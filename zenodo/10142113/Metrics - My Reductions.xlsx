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9"/>
  <workbookPr codeName="ThisWorkbook"/>
  <mc:AlternateContent xmlns:mc="http://schemas.openxmlformats.org/markup-compatibility/2006">
    <mc:Choice Requires="x15">
      <x15ac:absPath xmlns:x15ac="http://schemas.microsoft.com/office/spreadsheetml/2010/11/ac" url="https://liveunibo-my.sharepoint.com/personal/g_gori_unibo_it/Documents/"/>
    </mc:Choice>
  </mc:AlternateContent>
  <xr:revisionPtr revIDLastSave="0" documentId="8_{06EC0D7A-8E65-4A82-B788-7D4613E85297}" xr6:coauthVersionLast="47" xr6:coauthVersionMax="47" xr10:uidLastSave="{00000000-0000-0000-0000-000000000000}"/>
  <bookViews>
    <workbookView xWindow="0" yWindow="500" windowWidth="33600" windowHeight="18860" firstSheet="5" activeTab="5" xr2:uid="{00000000-000D-0000-FFFF-FFFF00000000}"/>
  </bookViews>
  <sheets>
    <sheet name="riduzione 1 OLD" sheetId="3" state="hidden" r:id="rId1"/>
    <sheet name="riduzione 1 (Network, Device)" sheetId="11" r:id="rId2"/>
    <sheet name="riduzione 2 (Usable)" sheetId="4" r:id="rId3"/>
    <sheet name="Nuove metriche (CSSM)" sheetId="6" r:id="rId4"/>
    <sheet name="riduzione 3 (CSSM)" sheetId="5" r:id="rId5"/>
    <sheet name="TUTTE" sheetId="1" r:id="rId6"/>
    <sheet name="riduzione 4 (merge)" sheetId="7" r:id="rId7"/>
    <sheet name="Example for paper" sheetId="8" r:id="rId8"/>
  </sheets>
  <definedNames>
    <definedName name="_xlnm._FilterDatabase" localSheetId="0" hidden="1">'riduzione 1 OLD'!$T$1:$T$106</definedName>
    <definedName name="_xlnm._FilterDatabase" localSheetId="2" hidden="1">'riduzione 2 (Usable)'!$A$1:$Z$93</definedName>
    <definedName name="_xlnm._FilterDatabase" localSheetId="4" hidden="1">'riduzione 3 (CSSM)'!$A$1:$T$41</definedName>
    <definedName name="_xlnm._FilterDatabase" localSheetId="5" hidden="1">TUTTE!$A$1:$V$279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7" i="1" l="1"/>
  <c r="D296" i="1"/>
  <c r="D295" i="1"/>
  <c r="C297" i="1"/>
  <c r="C296" i="1"/>
  <c r="C295" i="1"/>
  <c r="C319" i="1"/>
  <c r="C318" i="1"/>
  <c r="C317" i="1"/>
  <c r="W101" i="4"/>
  <c r="V103" i="4"/>
  <c r="V101" i="4"/>
  <c r="E296" i="1"/>
  <c r="E297" i="1"/>
  <c r="E295" i="1"/>
  <c r="C286" i="1" s="1"/>
  <c r="D286" i="1" s="1"/>
  <c r="F66" i="7"/>
  <c r="G66" i="7"/>
  <c r="M98" i="4"/>
  <c r="L98" i="4"/>
  <c r="F290" i="1"/>
  <c r="E290" i="1"/>
  <c r="E60" i="5"/>
  <c r="E61" i="5"/>
  <c r="E62" i="5"/>
  <c r="E59" i="5"/>
  <c r="D60" i="5"/>
  <c r="D61" i="5"/>
  <c r="D62" i="5"/>
  <c r="D59" i="5"/>
  <c r="C59" i="5" a="1"/>
  <c r="C59" i="5"/>
  <c r="B36" i="7" a="1"/>
  <c r="B36" i="7" s="1"/>
  <c r="C36" i="7" s="1"/>
  <c r="C289" i="1" l="1"/>
  <c r="D289" i="1" s="1"/>
  <c r="C288" i="1"/>
  <c r="D288" i="1" s="1"/>
  <c r="C287" i="1"/>
  <c r="D287" i="1" s="1"/>
  <c r="C37" i="7"/>
  <c r="D36" i="7"/>
  <c r="D290" i="1" l="1"/>
  <c r="C38" i="7"/>
  <c r="D37" i="7"/>
  <c r="C39" i="7" l="1"/>
  <c r="D39" i="7" s="1"/>
  <c r="D38" i="7"/>
  <c r="V10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<sst xmlns="http://schemas.openxmlformats.org/spreadsheetml/2006/main" count="13855" uniqueCount="1312">
  <si>
    <t>#</t>
  </si>
  <si>
    <t>ID</t>
  </si>
  <si>
    <t>PAPER</t>
  </si>
  <si>
    <t>TAXONOMY</t>
  </si>
  <si>
    <t>LEVEL 0</t>
  </si>
  <si>
    <t>LEVEL 1</t>
  </si>
  <si>
    <t>LEVEL 2</t>
  </si>
  <si>
    <t>LEVEL 3</t>
  </si>
  <si>
    <t>LEVEL 4</t>
  </si>
  <si>
    <t>METRIC</t>
  </si>
  <si>
    <t>KEY WORD</t>
  </si>
  <si>
    <t>DEFINITION</t>
  </si>
  <si>
    <t>SCALE</t>
  </si>
  <si>
    <t>SCOPE</t>
  </si>
  <si>
    <t>AUTOMATION</t>
  </si>
  <si>
    <t>MEASUREMENT</t>
  </si>
  <si>
    <t>WHAT?</t>
  </si>
  <si>
    <t>USABLE</t>
  </si>
  <si>
    <t>REASON</t>
  </si>
  <si>
    <t>GIAC: USABLE</t>
  </si>
  <si>
    <t>GIAC: reason</t>
  </si>
  <si>
    <t>LORENZ USABLE</t>
  </si>
  <si>
    <t>8</t>
  </si>
  <si>
    <t>2</t>
  </si>
  <si>
    <t/>
  </si>
  <si>
    <t>YES</t>
  </si>
  <si>
    <t>Vulnerability metrics</t>
  </si>
  <si>
    <t>Measuring Interface-Induced Vulnerabilities</t>
  </si>
  <si>
    <t>-</t>
  </si>
  <si>
    <t>Attack surface</t>
  </si>
  <si>
    <t>SURFACE</t>
  </si>
  <si>
    <t>It aim to measure the ways by which an attacker can compromise a targeted software</t>
  </si>
  <si>
    <t>ABSOLUTE</t>
  </si>
  <si>
    <t>DEVICE</t>
  </si>
  <si>
    <t>STATIC</t>
  </si>
  <si>
    <t>Yes</t>
  </si>
  <si>
    <t>Misurare la superficie d'attacco è teoricamente possibile sulle reti</t>
  </si>
  <si>
    <t>9</t>
  </si>
  <si>
    <t>Measuring Software Vulnerabilities</t>
  </si>
  <si>
    <t>Temporal Attributes of Vulnerabilities</t>
  </si>
  <si>
    <t>Evolution of vulnerabilities</t>
  </si>
  <si>
    <t>Historical vulnerability metric</t>
  </si>
  <si>
    <t>VULNERABILITY</t>
  </si>
  <si>
    <t>It measures the degree that a system is vulnerable (i.e., frequency of vulnerabilities) in the past</t>
  </si>
  <si>
    <t>RATIO BSOLUTE ISTRIBUTION</t>
  </si>
  <si>
    <t>This could be part of a checklist of task, to check if there is any vulnerability that affects the device</t>
  </si>
  <si>
    <t>Occore tener traccia di tutte le vulnerabilità incontrate in passato</t>
  </si>
  <si>
    <t>10</t>
  </si>
  <si>
    <t>Historically exploited vulnerability metric</t>
  </si>
  <si>
    <t>It measures the number of vulnerabilities exploited in the past</t>
  </si>
  <si>
    <t>Occore tener traccia di tutte le vulnerabilità exploitate in passato</t>
  </si>
  <si>
    <t>11</t>
  </si>
  <si>
    <t>Future vulnerability metric</t>
  </si>
  <si>
    <t>It measures the number of vulnerabilities that will be discovered during a future period of time</t>
  </si>
  <si>
    <t>NO</t>
  </si>
  <si>
    <t>If this has to do with statistic and probabilities, I think it is better not to use it</t>
  </si>
  <si>
    <t>Occore poter fare una proiezione statistica</t>
  </si>
  <si>
    <t>12</t>
  </si>
  <si>
    <t>Future exploited vulnerability metric</t>
  </si>
  <si>
    <t>It measures the number of vulnerabilities that will be exploited during a future period of time</t>
  </si>
  <si>
    <t>13</t>
  </si>
  <si>
    <t>Tendency-to-be-exploited metric</t>
  </si>
  <si>
    <t>It measures the tendency that a vulnerability may be exploited, where the “tendency” may be derived from information sources such as posts on Twitter before vulnerability disclosures</t>
  </si>
  <si>
    <t>¿?</t>
  </si>
  <si>
    <t>This research work might not be part of a security evaluation, but could be applied if so</t>
  </si>
  <si>
    <t>No</t>
  </si>
  <si>
    <t>14</t>
  </si>
  <si>
    <t>Vulnerability lifetime</t>
  </si>
  <si>
    <t>Client-end vulnerabilities Server-end vulnerabilities Cloud-end vulnerabilities</t>
  </si>
  <si>
    <t>NETWORK</t>
  </si>
  <si>
    <t>Clearly related to nerworks</t>
  </si>
  <si>
    <t>Occorre poter misurare quanto una vulnerabilità è stata presente nel sistema</t>
  </si>
  <si>
    <t>27</t>
  </si>
  <si>
    <t>Severity of a Collection of Vulnerabilities</t>
  </si>
  <si>
    <t>Deterministic Severity Metrics (attack graphs)</t>
  </si>
  <si>
    <t>Topology metrics</t>
  </si>
  <si>
    <t>Depth metric</t>
  </si>
  <si>
    <t>Ratio of the diameter of a domain-level attack graph over the diameter in the most secure case, implying that the larger the diameter, the more secure the network</t>
  </si>
  <si>
    <t>It is related to the topological properties of attack graphs</t>
  </si>
  <si>
    <t>Occorre sviluppare un attack graph</t>
  </si>
  <si>
    <t>28</t>
  </si>
  <si>
    <t>Existence, number, and lengths of attack paths metrics</t>
  </si>
  <si>
    <t>It uses the attributes of attack paths from an initial state to the goal state. These metrics can be used to compare two attacks</t>
  </si>
  <si>
    <t>29</t>
  </si>
  <si>
    <t>Effort metrics</t>
  </si>
  <si>
    <t>Necessary defense metric</t>
  </si>
  <si>
    <t>It estimates a minimal set of defense countermeasures necessary for thwarting a certain attack</t>
  </si>
  <si>
    <t>This is related with the defenses that are necesary to implement so the system is secure for a certain vulnerability</t>
  </si>
  <si>
    <t>30</t>
  </si>
  <si>
    <t>Effort-to-security-failure metric</t>
  </si>
  <si>
    <t>EFFORT</t>
  </si>
  <si>
    <t>It measures an attacker’s effort to reach its goal state</t>
  </si>
  <si>
    <t>DYNAMIC*</t>
  </si>
  <si>
    <t>Although it might be difficult to estimate, this could be also included in the evaluation process</t>
  </si>
  <si>
    <t>31</t>
  </si>
  <si>
    <t>Weakest adversary metric</t>
  </si>
  <si>
    <t>It estimates minimum adversary capabilities required to achieve an attack goal</t>
  </si>
  <si>
    <t>If the effort can be calculated in an objective manner, this could be used in embedded systems</t>
  </si>
  <si>
    <t>Occorre sviluppare un attack graph?</t>
  </si>
  <si>
    <t>32</t>
  </si>
  <si>
    <t>k-zero-day-safety metric</t>
  </si>
  <si>
    <t>It measures a number of zero-day vulnerabilities for an attacker to compromise a target</t>
  </si>
  <si>
    <t>This has to do with probabilities. Can be applied, but I won't</t>
  </si>
  <si>
    <t>35</t>
  </si>
  <si>
    <t>Defense metrics</t>
  </si>
  <si>
    <t>Strength of Preventive Defenses</t>
  </si>
  <si>
    <t>Metrics for Blacklisting</t>
  </si>
  <si>
    <t>Reaction time metric</t>
  </si>
  <si>
    <t>TIME</t>
  </si>
  <si>
    <t>It captures the delay between the observation of the malicious entity at time t and the blacklisting of the malicious entity at time t (i.e., t − t)</t>
  </si>
  <si>
    <t>DYNAMIC</t>
  </si>
  <si>
    <t>If the device has any kind of detection mechanism, this could be used. Detection and reaction might have different times</t>
  </si>
  <si>
    <t>Detection</t>
  </si>
  <si>
    <t>36</t>
  </si>
  <si>
    <t>Coverage metric</t>
  </si>
  <si>
    <t>COVERAGE</t>
  </si>
  <si>
    <t>It estimates the portion of blacklisted malicious players</t>
  </si>
  <si>
    <t>ORDINAL</t>
  </si>
  <si>
    <t>This could be used, but the device has to have a blacklist</t>
  </si>
  <si>
    <t>37</t>
  </si>
  <si>
    <t>Metrics for DEP</t>
  </si>
  <si>
    <t>NO METRIC IS DEFINED</t>
  </si>
  <si>
    <t>No metrics have been defined to measure the effectiveness of DEP. The effectiveness of DEP can be measured based on the probability of being compromised by a certain attack A(t) over all possible classes of attacks</t>
  </si>
  <si>
    <t>No metric is defined</t>
  </si>
  <si>
    <t>41</t>
  </si>
  <si>
    <t>Measuring the Strength of Reactive Defenses</t>
  </si>
  <si>
    <t>Metrics for Monitoring</t>
  </si>
  <si>
    <t>It measures the fraction of events detectable by a specific sensor deployment, reflecting a defender’s need in monitoring events</t>
  </si>
  <si>
    <t>UNKNOWN</t>
  </si>
  <si>
    <t>42</t>
  </si>
  <si>
    <t>Redundancy metric</t>
  </si>
  <si>
    <t>It estimates the amount of evidence provided by a specific sensor deployment to detect an event</t>
  </si>
  <si>
    <t>This can be applied to devices as a whole, to check any mechanism of intrusion detection (mostly, tanti-tampering and software)</t>
  </si>
  <si>
    <t>43</t>
  </si>
  <si>
    <t>Confidence metric</t>
  </si>
  <si>
    <t>It measures how well-deployed sensors detect an event in the presence of compromised sensors</t>
  </si>
  <si>
    <t>Una sorta di resilienza in caso di sensori compromessi. Detection</t>
  </si>
  <si>
    <t>46</t>
  </si>
  <si>
    <t>Metrics for Detection Mechanisms</t>
  </si>
  <si>
    <t>Individual Strength of Defense Mechanisms</t>
  </si>
  <si>
    <t>Intrusion detection metrics</t>
  </si>
  <si>
    <t>True-positive rate</t>
  </si>
  <si>
    <t>INTRUSION</t>
  </si>
  <si>
    <t>It is the probability that an intrusion is detected as an attack</t>
  </si>
  <si>
    <t>This is clearly a network-oriented metric</t>
  </si>
  <si>
    <t>47</t>
  </si>
  <si>
    <t>False-negative rate</t>
  </si>
  <si>
    <t>It is the probability that an intrusion is not detected as an attack</t>
  </si>
  <si>
    <t>48</t>
  </si>
  <si>
    <t>True-negative rate</t>
  </si>
  <si>
    <t>It is the probability that a non-intrusion is not detected as an attack</t>
  </si>
  <si>
    <t>49</t>
  </si>
  <si>
    <t>False-positive rate</t>
  </si>
  <si>
    <t>Also known as false alarm rate, it is the probability that a nonintrusion is detected as an attack</t>
  </si>
  <si>
    <t>50</t>
  </si>
  <si>
    <t>Intrusion detection capability metric</t>
  </si>
  <si>
    <t>It is the normalized metric of I(I, O) with respect to H(I) based on the base rate where I is the input to the IDS as a stream of 0/1 random variables (0 for benign/normal and 1 for malicious/abnormal), O is the output of the IDS as a stream of 0/1 random variables (0 for no alert or normal; 1 for alert / abnormal), H(I) and H(O), respectively, denote the entropy of I and O, and I(I, O) = H(I) − H(I\O) is the mutual information between I and O</t>
  </si>
  <si>
    <t>51</t>
  </si>
  <si>
    <t>Receiver operating characteristic (ROC)</t>
  </si>
  <si>
    <t>It reflects the dependence of the true-positive rate on the false-positive rate, reflecting a tradeoff between the true-positive and the false-positive rates</t>
  </si>
  <si>
    <t>52</t>
  </si>
  <si>
    <t>Intrusion detection operating characteristic (IDOC)</t>
  </si>
  <si>
    <t>It describes the dependence of the true positive rate Pr(A\I) on the Bayesian detection rate Pr(I\A), while accommodating the base rate Pr(I)</t>
  </si>
  <si>
    <t>53</t>
  </si>
  <si>
    <t>Cost metric (damage / response / operational)</t>
  </si>
  <si>
    <t>COST</t>
  </si>
  <si>
    <t>It includes the damage cost incurred by undetected attacks, the response cost spent on the reaction to detected attacks including both true and false alarms, and the operational cost for running an IDS</t>
  </si>
  <si>
    <t>This is clearly a network-oriented metric, that aims to translate the impact into moneu</t>
  </si>
  <si>
    <t>54</t>
  </si>
  <si>
    <t>Relative Strength of Defense Mechanisms</t>
  </si>
  <si>
    <t>Relative effectiviness</t>
  </si>
  <si>
    <t>This metric reflects the strength of a defense tool when employed in addition to other defense tools. A defense tool does not offer any extra strength if it cannot detect any attack undetected by other defense tools in place</t>
  </si>
  <si>
    <t>RATIO</t>
  </si>
  <si>
    <t>Per capire se ha senso implementare altre contromisure</t>
  </si>
  <si>
    <t>55</t>
  </si>
  <si>
    <t>Collective Strength of Defense Mechanisms</t>
  </si>
  <si>
    <t>Collective effectiviness</t>
  </si>
  <si>
    <t>This metric measures the collective strength of IDSs and anti-malware programs</t>
  </si>
  <si>
    <t>58</t>
  </si>
  <si>
    <t>Measuring the Strength of Proactive Defenses</t>
  </si>
  <si>
    <t>Moving Target Defense (MTD)</t>
  </si>
  <si>
    <t>It measures the degree that an enterprise system can tolerate some undesirable security configurations in order to direct the global security state S(t) towards a desired stable system state</t>
  </si>
  <si>
    <t>This is only applicable to an enterprise system</t>
  </si>
  <si>
    <t>Necessita di fare delle prove e valutare il sistema</t>
  </si>
  <si>
    <t>59</t>
  </si>
  <si>
    <t>Measuring the Strength of Overall Defenses</t>
  </si>
  <si>
    <t>Penetration resistance (PR)</t>
  </si>
  <si>
    <t>Running a penetration test to estimate the level of effort (e.g., person-day or cost) required for a red team to penetrate into a system</t>
  </si>
  <si>
    <t>DEVICE ETWORK</t>
  </si>
  <si>
    <t>Penetration testing is a really common way to test this kind of device</t>
  </si>
  <si>
    <t>Pentest</t>
  </si>
  <si>
    <t>60</t>
  </si>
  <si>
    <t>Network diversity (ND)</t>
  </si>
  <si>
    <t>It measures the least or average effort an attacker must make to compromise a target entity based on the causal relationships between resource types to be considered as the inclusion in an attack graph</t>
  </si>
  <si>
    <t>61</t>
  </si>
  <si>
    <t>Attack metrics</t>
  </si>
  <si>
    <t>Measuring Zero-Day Attacks</t>
  </si>
  <si>
    <t>Lifetime of zero-day attacks</t>
  </si>
  <si>
    <t>ZERODAY</t>
  </si>
  <si>
    <t>It measures the period of time between when an attack was launched and when the corresponding vulnerability is disclosed to the public</t>
  </si>
  <si>
    <t>SOFTWARE ARDWARE EVICE</t>
  </si>
  <si>
    <t>This can be computed, but it is not feasible for a security evaluation</t>
  </si>
  <si>
    <t>63</t>
  </si>
  <si>
    <t>Susceptibility of a device to zero-day attacks</t>
  </si>
  <si>
    <t>If we can capture the degree of the susceptibility of a device to zero-day attacks, then we can prioritize resource allocation to the ones requiring higher attention for mitigating the damage</t>
  </si>
  <si>
    <t>This metric is proposed in [2] as a future concept, but it is not developed</t>
  </si>
  <si>
    <t>65</t>
  </si>
  <si>
    <t>Measuring Botnets</t>
  </si>
  <si>
    <t>Botnet size</t>
  </si>
  <si>
    <t>Number of bots, x, that can be instructed to launch attacks (e.g., distributed denial-of-service attacks) at time t, denoted by y(t). Due to time zone difference, y(t) is often much smaller than the actual x as some of x is turned off during night time at time zones</t>
  </si>
  <si>
    <t>66</t>
  </si>
  <si>
    <t>Network bandwidth</t>
  </si>
  <si>
    <t>Network bandwidth that a botnet can use to launch denial-of-service attacks</t>
  </si>
  <si>
    <t>STATIC YNAMIC</t>
  </si>
  <si>
    <t>67</t>
  </si>
  <si>
    <t>Botnet efficiency</t>
  </si>
  <si>
    <t>Network diameter of the botnet network topology. It measures a botnet’s capability in communicating command-and-control messages and updating bot programs</t>
  </si>
  <si>
    <t>68</t>
  </si>
  <si>
    <t>Botnet robustness</t>
  </si>
  <si>
    <t>Robustness of botnets under random or intelligent disruptions. The idea was derived from the concept of complex network robustness, characterized by the percolation threshold under which a network is disrupted into small components</t>
  </si>
  <si>
    <t>69</t>
  </si>
  <si>
    <t>Measuring Malware Spreading</t>
  </si>
  <si>
    <t>Infection rate</t>
  </si>
  <si>
    <t>Average number of vulnerable computers that are infected by a compromised computer (per time unit) at the early stage of spreading</t>
  </si>
  <si>
    <t>This is usefull for networks or an organisation. It can be computed for a network of devices, but it is not useful for a security evaluation</t>
  </si>
  <si>
    <t>70</t>
  </si>
  <si>
    <t>Measuring Attack Evasion Techniques</t>
  </si>
  <si>
    <t>Adversarial Machine Learning Attacks</t>
  </si>
  <si>
    <t>Increased false-positive rate</t>
  </si>
  <si>
    <t>The strength of attacks as a consequence of applying a certain evasion method</t>
  </si>
  <si>
    <t>This can only be calculated if the embedded system has implemented an evasion mechanism against machine learning attacks</t>
  </si>
  <si>
    <t>Solo se ci sono contromisure che utilizzano ML</t>
  </si>
  <si>
    <t>71</t>
  </si>
  <si>
    <t>Increased false-negative rate</t>
  </si>
  <si>
    <t>RIPETUTA</t>
  </si>
  <si>
    <t>76</t>
  </si>
  <si>
    <t>Situation metrics</t>
  </si>
  <si>
    <t>Measuring Security State</t>
  </si>
  <si>
    <t>Data-Driven State Metrics</t>
  </si>
  <si>
    <t>Network maliciousness metric</t>
  </si>
  <si>
    <t>It estimates the fraction of blacklisted IP addresses n a network</t>
  </si>
  <si>
    <t>This metric works at network level, for systems in a network. Cannot be applied to embedded systems</t>
  </si>
  <si>
    <t>77</t>
  </si>
  <si>
    <t>Rogue networkmetric</t>
  </si>
  <si>
    <t>Population of networks used to launch drive-by download or phishing attacks</t>
  </si>
  <si>
    <t>This metric works at network level, for systems in a network. Phishing cannot be applied to embedded systems</t>
  </si>
  <si>
    <t>78</t>
  </si>
  <si>
    <t>ISP badness metric</t>
  </si>
  <si>
    <t>Quantifies the effect of spam from one ISP or Autonomous System (AS) on the rest of the Internet</t>
  </si>
  <si>
    <t>82</t>
  </si>
  <si>
    <t>Model-Driven Metrics</t>
  </si>
  <si>
    <t>Probability a computer is compromised at time t</t>
  </si>
  <si>
    <t>It quantifies the degree of security in enterprise systems by using modeling techniques based on a holistic perspective</t>
  </si>
  <si>
    <t>Although this is a network-oriented metric, this might be adapted to be used with an embedded system</t>
  </si>
  <si>
    <t>Da trovare</t>
  </si>
  <si>
    <t>83</t>
  </si>
  <si>
    <t>Measuring Security Incidents</t>
  </si>
  <si>
    <t>Frequency of Security Incidents</t>
  </si>
  <si>
    <t>Encounter rate</t>
  </si>
  <si>
    <t>Measures the fraction of computers that encountered some malware or attack during a period of time</t>
  </si>
  <si>
    <t>Directly related to the systems in a network</t>
  </si>
  <si>
    <t>Occorre tener traccia degli attacchi passati</t>
  </si>
  <si>
    <t>84</t>
  </si>
  <si>
    <t>Incident rate</t>
  </si>
  <si>
    <t>Measures the fraction of computers successfully infected or attacked at least once during a period of time</t>
  </si>
  <si>
    <t>85</t>
  </si>
  <si>
    <t>Blocking rate</t>
  </si>
  <si>
    <t>The rate an encountered attack is successfully defended by a deployed defense</t>
  </si>
  <si>
    <t>Although this is a network-oriented metric, this might be adapted to be used with an embedded system (maybe for a penetration test)</t>
  </si>
  <si>
    <t>86</t>
  </si>
  <si>
    <t>Breach frequencymetric</t>
  </si>
  <si>
    <t>How often breaches occur</t>
  </si>
  <si>
    <t>87</t>
  </si>
  <si>
    <t>Breach size metric</t>
  </si>
  <si>
    <t>Number of records breached in individual breaches</t>
  </si>
  <si>
    <t>88</t>
  </si>
  <si>
    <t>Time-between-incidents metric</t>
  </si>
  <si>
    <t>Period of time between two incidents</t>
  </si>
  <si>
    <t>89</t>
  </si>
  <si>
    <t>Time-to-first-compromise metric</t>
  </si>
  <si>
    <t>Estimates the duration of time between when a computer starts to run and the first malware alarm is triggered on the computer where the alarm indicates detection rather than infection</t>
  </si>
  <si>
    <t>This can be used in embedded systems, but it might not be suitable for a security evaluation (maybe for a penetration test)</t>
  </si>
  <si>
    <t>96</t>
  </si>
  <si>
    <t>Host-based</t>
  </si>
  <si>
    <t>Without Probability Values</t>
  </si>
  <si>
    <t>Attack Impact</t>
  </si>
  <si>
    <t>It is the quantitative measure of the potential harm caused by an attacker to exploit a vulnerability</t>
  </si>
  <si>
    <t>Occorre conoscere le Vulnerabilities</t>
  </si>
  <si>
    <t>97</t>
  </si>
  <si>
    <t>Attack Cost</t>
  </si>
  <si>
    <t>It is the cost spent by an attacker to successfully exploit a vulnerability (i.e., security weakness) on a host</t>
  </si>
  <si>
    <t>This is related to network, but this could be applicable to devices too</t>
  </si>
  <si>
    <t>98</t>
  </si>
  <si>
    <t>Structural Important Measured</t>
  </si>
  <si>
    <t>It it used to qualitatively determine the most critical event (attack, detection or mitigation) in a graphical attack model</t>
  </si>
  <si>
    <t>Related to networks</t>
  </si>
  <si>
    <t>100</t>
  </si>
  <si>
    <t>Mean-time-to-compromise (MTTC)</t>
  </si>
  <si>
    <t>It is used to measure how quickly a network can be penetrated</t>
  </si>
  <si>
    <t>This is no directly applicable, but its equivalent would be a penetration attack in an embedded system</t>
  </si>
  <si>
    <t>101</t>
  </si>
  <si>
    <t>Mean-time-to-recovery (MTTR)</t>
  </si>
  <si>
    <t>It is used to assess the effectiveness of a network to recovery from an attack incidents. It is defined as the average amount of time required to restore a system out of attack state</t>
  </si>
  <si>
    <t>Although this is developed for networks, the same concept can be translated into embeded systems</t>
  </si>
  <si>
    <t>104</t>
  </si>
  <si>
    <t>Return on Investment</t>
  </si>
  <si>
    <t>It measures the financial net gain of an investment based on the gain from investment minus the cost of investment</t>
  </si>
  <si>
    <t>Network-related and cost related. Useful for organisation managing</t>
  </si>
  <si>
    <t>105</t>
  </si>
  <si>
    <t>Return on Attack</t>
  </si>
  <si>
    <t>The gain the attacker expects from successful attack over the losses he sustains due to the countermeasure deployed by his target</t>
  </si>
  <si>
    <t>Network-related, but it scent can be translated into embedded systems</t>
  </si>
  <si>
    <t>106</t>
  </si>
  <si>
    <t>With Probability Values</t>
  </si>
  <si>
    <t>Common Vulnerability Scoring System (CVSS) - Overall value</t>
  </si>
  <si>
    <t>The overall score is determined by generating a base score and modifying it through the temporal and environmental formulas</t>
  </si>
  <si>
    <t>This could be used tohether with other metics to obtain a numeric value</t>
  </si>
  <si>
    <t>107</t>
  </si>
  <si>
    <t>Probability of Vulnerability Exploited</t>
  </si>
  <si>
    <t>It is used to assess the likelihood of an attacker exploiting a specific vulnerability on a host</t>
  </si>
  <si>
    <t>SOFTWARE ARDWARE ETWORK</t>
  </si>
  <si>
    <t>Network-related metric. This is also related to risk assessment. Can be traslated into embedded systems</t>
  </si>
  <si>
    <t>108</t>
  </si>
  <si>
    <t>Probability of attack detection</t>
  </si>
  <si>
    <t>It is used to assess the likelihood of a countermeasure to successfully identify the event of an attack on a target.</t>
  </si>
  <si>
    <t>109</t>
  </si>
  <si>
    <t>Probability of host compromised</t>
  </si>
  <si>
    <t>It is used to assess the likelihood of an attacker to successfully compromise a target</t>
  </si>
  <si>
    <t>HARDWARE OFTWARE ETWORK</t>
  </si>
  <si>
    <t>110</t>
  </si>
  <si>
    <t>Network-based</t>
  </si>
  <si>
    <t>Non-path based</t>
  </si>
  <si>
    <t>Network Compromise Percentage</t>
  </si>
  <si>
    <t>It quantifies the percentage of hosts on the network on which an attacker can obtain an user or administration level privilege</t>
  </si>
  <si>
    <t>It's about networks, and we can't predict where the device will be used, so this metric is not representative</t>
  </si>
  <si>
    <t>112</t>
  </si>
  <si>
    <t>Vulnerable Host Percentage</t>
  </si>
  <si>
    <t>This metric quantifies the percentage of hosts with vulnerability on a network. It is used to assess the overall security of a network</t>
  </si>
  <si>
    <t>Con sw automatizzati ws: Nessus</t>
  </si>
  <si>
    <t>113</t>
  </si>
  <si>
    <t>Path based</t>
  </si>
  <si>
    <t>Attack Shortest Path</t>
  </si>
  <si>
    <t>PATH</t>
  </si>
  <si>
    <t>It is the smallest distance from the attacker to the target. This metric represents the minimum number of hosts an attacker will use to compromise the target host</t>
  </si>
  <si>
    <t>AUTOMATIC*</t>
  </si>
  <si>
    <t>If it has to do with paths, it has to do with networks, and we can't assume where is this going to be used</t>
  </si>
  <si>
    <t>114</t>
  </si>
  <si>
    <t>Number of Attack Paths</t>
  </si>
  <si>
    <t>It is the total number of ways an attacker can compromise the target</t>
  </si>
  <si>
    <t>115</t>
  </si>
  <si>
    <t>Mean of Attack Path Lengths</t>
  </si>
  <si>
    <t>It is the average of all path lengths. It gives the expected effort that an attacker may use to breach a network policy</t>
  </si>
  <si>
    <t>116</t>
  </si>
  <si>
    <t>Normalised Mean of Path Lengths</t>
  </si>
  <si>
    <t>Expected number of exploits an attacker should execute in order to reach the target</t>
  </si>
  <si>
    <t>117</t>
  </si>
  <si>
    <t>Standand Deviation of Path Lengths</t>
  </si>
  <si>
    <t>It is used to determine the attack paths of interest</t>
  </si>
  <si>
    <t>118</t>
  </si>
  <si>
    <t>Mode of Path Lengths</t>
  </si>
  <si>
    <t>It is the attack path length that occurs most frequently</t>
  </si>
  <si>
    <t>119</t>
  </si>
  <si>
    <t>Median of Path Lengths</t>
  </si>
  <si>
    <t>It is used by network administrator to determine how close is an attack path length to the value of the median path length (i.e. path length that is at the middle of all the path length values)</t>
  </si>
  <si>
    <t>120</t>
  </si>
  <si>
    <t>Attack Resistance Metric</t>
  </si>
  <si>
    <t>It is use to assess the resistance of a network configuration based on the composition of measures of individual exploits. It is also use for assessing and comparing the security of different network configurations</t>
  </si>
  <si>
    <t>Come capire se una conf è meglio dell'altra?</t>
  </si>
  <si>
    <t>121</t>
  </si>
  <si>
    <t>4</t>
  </si>
  <si>
    <t>Mean Time To Failure (MTTF) - Time to compromise</t>
  </si>
  <si>
    <t>Mean time for a potential intruder to reach the specified target</t>
  </si>
  <si>
    <t>AUTOMATIC</t>
  </si>
  <si>
    <t>Si può calcolare?</t>
  </si>
  <si>
    <t>122</t>
  </si>
  <si>
    <t>Mean Effort To Failure (METF) - Effort to compromise</t>
  </si>
  <si>
    <t>Mean effort for a potential attacker to reach the specified target</t>
  </si>
  <si>
    <t>SEMI-AUTOMATIC</t>
  </si>
  <si>
    <t>123</t>
  </si>
  <si>
    <t>Mean Time to Security Failure (MTTSF) - Time to compromise</t>
  </si>
  <si>
    <t>Expected amount of time attackers need to successfully complete an attack process</t>
  </si>
  <si>
    <t>132</t>
  </si>
  <si>
    <t>Network compromise percentage</t>
  </si>
  <si>
    <t>If we are evaluating a device, it has no sense talking about networks</t>
  </si>
  <si>
    <t>133</t>
  </si>
  <si>
    <t>Compromise probability</t>
  </si>
  <si>
    <t>135</t>
  </si>
  <si>
    <t>Expected dificulty</t>
  </si>
  <si>
    <t>136</t>
  </si>
  <si>
    <t>Percentage of distinct hosts (d1-Diversity)</t>
  </si>
  <si>
    <t>This is related with servers in a network, cannot be applied to a single device</t>
  </si>
  <si>
    <t>137</t>
  </si>
  <si>
    <t>Number of bits leaked (mean privacy)</t>
  </si>
  <si>
    <t>DATA</t>
  </si>
  <si>
    <t>If adapted, this metric can be used to test memory related vulnerabilities</t>
  </si>
  <si>
    <t>139</t>
  </si>
  <si>
    <t>5</t>
  </si>
  <si>
    <t>rav</t>
  </si>
  <si>
    <t>OPSEC</t>
  </si>
  <si>
    <t>It is a scale measurement of the attack surface, the amount of uncontrolled interactions with a target, which is calculated by the quantitative balance between operations, limitations, and controls</t>
  </si>
  <si>
    <t>177</t>
  </si>
  <si>
    <t>Cost</t>
  </si>
  <si>
    <t>Remediation Impact (RI)</t>
  </si>
  <si>
    <t>The remediation impact provides an overview of how much impact the remediation could have on the affected system</t>
  </si>
  <si>
    <t>181</t>
  </si>
  <si>
    <t>Coverage</t>
  </si>
  <si>
    <t>Administrator and operator logs</t>
  </si>
  <si>
    <t>LOG</t>
  </si>
  <si>
    <t>Total number corrective actions taken after specific event is recorded in log / total number of events recorded in log * 100</t>
  </si>
  <si>
    <t>316</t>
  </si>
  <si>
    <t>Effort</t>
  </si>
  <si>
    <t>Access Complexity (AC)</t>
  </si>
  <si>
    <t>ACCESS</t>
  </si>
  <si>
    <t>This metric measures the complexity of attacks exploiting the vulnerability. A vulnerability with low complexity can be for example a buffer overflow in a web server, the vulnerability can be exploited at will</t>
  </si>
  <si>
    <t>317</t>
  </si>
  <si>
    <t>Access Vector (AV)</t>
  </si>
  <si>
    <t>This metric indicates from where an attacker can exploit the vulnerability</t>
  </si>
  <si>
    <t>318</t>
  </si>
  <si>
    <t>Adversary Work Factor</t>
  </si>
  <si>
    <t>Adversary work factor is an informative metric for gauging the relative strengths and weaknesses of modem information systems. However, this metric can be difficult to measure and evaluate</t>
  </si>
  <si>
    <t>MANUAL*</t>
  </si>
  <si>
    <t>This metric has nothing to do with embedded systems and it is directly retaled to networks</t>
  </si>
  <si>
    <t>319</t>
  </si>
  <si>
    <t>Attackability</t>
  </si>
  <si>
    <t>The number of inbound edges of a node in the hostbased attack graph represents all the direct attack paths that other hosts in the considered network can compromise to that node. This number can be used to compute the attackability metric of a host in the context of the system under study. The metric is based on intuitive properties derived from common sense. For example, the metric will indicate reduced confidence when more inbound edges exist. (1 - # inbound edges of the node/ total inbound edges)</t>
  </si>
  <si>
    <t>STATIC*</t>
  </si>
  <si>
    <t>320</t>
  </si>
  <si>
    <t>Authentication (AU)</t>
  </si>
  <si>
    <t>AUTHENTICATION</t>
  </si>
  <si>
    <t>This metric counts how often an attacker must authenticate before the vulnerability can be exploited</t>
  </si>
  <si>
    <t>322</t>
  </si>
  <si>
    <t>Damage potential-effort ratio</t>
  </si>
  <si>
    <t>It indicates the level of damage an attacker can potentially cause to the system and the effort required for the attacker to cause such damage</t>
  </si>
  <si>
    <t>SEMI-AUTOMATIC*</t>
  </si>
  <si>
    <t>It seems that it can be applied to embeded systems, but I am not sure if it is applicable in the evaluation phase</t>
  </si>
  <si>
    <t>324</t>
  </si>
  <si>
    <t>ExclusiveExeTime</t>
  </si>
  <si>
    <t>Execution time for the set of functions, S, defined in an entity excluding the execution time spent by the functions called by the functions in S</t>
  </si>
  <si>
    <t>327</t>
  </si>
  <si>
    <t>InclusiveExeTime</t>
  </si>
  <si>
    <t>Execution time for the set of functions, S, defined in an entity including all the execution time spent by the functions called directly or indirectly by the functions in S</t>
  </si>
  <si>
    <t>330</t>
  </si>
  <si>
    <t>Minimal cost of attack</t>
  </si>
  <si>
    <t>Minimal cost of attack represents the minimal cost that the attacker has to pay for the execution of an attack on a system</t>
  </si>
  <si>
    <t>NETWORK*</t>
  </si>
  <si>
    <t>Formal model. Formal verification. Too much notation. I think this is more related to networks</t>
  </si>
  <si>
    <t>331</t>
  </si>
  <si>
    <t>Minimal length of attacks</t>
  </si>
  <si>
    <t>An intuition behind this metric is the following: the less steps an attacker has to make, the simpler is to execute the attack successfully, and the less secure the system is</t>
  </si>
  <si>
    <t>334</t>
  </si>
  <si>
    <t>Side-channel Vulnerability Factor (SVF)</t>
  </si>
  <si>
    <t>SVF quantifies patterns in attackers’ observations and measures their correlation to the victim’s actual execution patterns and in doing so captures systems’ vulnerability to side-channel attacks. we can measure information leakage by computing the correlation between ground-truth patterns and attacker observed patterns. We call this correlation Side-channel Vulnerability Factor (SVF). SVF measures the signal-to-noise ratio in an attacker’s observations. While any amount of leakage could compromise a system, a low signal-to-noise ratio means that the attacker must either make do with inaccurate results (and thus make many observations to create an accurate result) or become much more intelligent about recovering the original signal. We use phase detection techniques to find patterns in both sets of data then compute the correlation between actual patterns in the victim and observed patterns.</t>
  </si>
  <si>
    <t>HARDWARE</t>
  </si>
  <si>
    <t>Embedded devices can be vulnerable to side-channel attacks and they can be tested</t>
  </si>
  <si>
    <t>0</t>
  </si>
  <si>
    <t>Vulnerability Index (VI)</t>
  </si>
  <si>
    <t>Probability of a component’s vulnerability being exposed in a single execution</t>
  </si>
  <si>
    <t>Effective Vulnerability Index (EVI)</t>
  </si>
  <si>
    <t>Relative measure of the impact of a component on the system’s insecurity</t>
  </si>
  <si>
    <t>341</t>
  </si>
  <si>
    <t>Organization</t>
  </si>
  <si>
    <t>Depth of Master Ownership</t>
  </si>
  <si>
    <t>This metric determines the level of ownership of the binary depending on the number of edits done. The organization level of the person whose reporting engineers perform more than 75% of the rolled up edits is considered as the DMO. This metric determines the binary owner based on activity on that binary. Our choice of 75% is based on prior historical information on Windows to quantify ownership.</t>
  </si>
  <si>
    <t>Relativo solo a binari sw</t>
  </si>
  <si>
    <t>350</t>
  </si>
  <si>
    <t>Edit Frequency</t>
  </si>
  <si>
    <t>Total number of times the source code that makes up the binary was edited. An edit is when an engineer checks out code from the version control system, alters it, and checks it in again. This is independent of the number of lines of code altered during the edit</t>
  </si>
  <si>
    <t>355</t>
  </si>
  <si>
    <t>Organization Intersection Factor</t>
  </si>
  <si>
    <t>The number of different organizations that contribute more than 10% of edits, as measured at the level of the overall org owners</t>
  </si>
  <si>
    <t>376</t>
  </si>
  <si>
    <t>Size</t>
  </si>
  <si>
    <t>Number of Attacks</t>
  </si>
  <si>
    <t>How many attacks on a system exist. The idea behind this metric is that the more attacks on a system exist the less secure the system is. This metric is applied for the simplest analysis of attack graphs. Number of attacks also can be used for the analysis of results of the penetration testing</t>
  </si>
  <si>
    <t>410</t>
  </si>
  <si>
    <t>Strength</t>
  </si>
  <si>
    <t>CommentDensity</t>
  </si>
  <si>
    <t>The ratio of lines of comments to lines of code</t>
  </si>
  <si>
    <t>452</t>
  </si>
  <si>
    <t>Weakness</t>
  </si>
  <si>
    <t>Maximal probability of successful attack</t>
  </si>
  <si>
    <t>The probability to accomplish an attack successfully is a well-known metric. The metric describes the most probable way to compromise the system</t>
  </si>
  <si>
    <t>476</t>
  </si>
  <si>
    <t>Remediation Potency (RP)</t>
  </si>
  <si>
    <t>Remediation potency refers to how good the remediation is against the vulnerability</t>
  </si>
  <si>
    <t>477</t>
  </si>
  <si>
    <t>Remediation Scheme (RS)</t>
  </si>
  <si>
    <t>It is used to describe the remediation process</t>
  </si>
  <si>
    <t>USABLE: reason</t>
  </si>
  <si>
    <t>Well defined?</t>
  </si>
  <si>
    <t>WD: reason</t>
  </si>
  <si>
    <t xml:space="preserve"> Progressive?</t>
  </si>
  <si>
    <t>PR: reason</t>
  </si>
  <si>
    <t>Reproducible?</t>
  </si>
  <si>
    <t>R: reason</t>
  </si>
  <si>
    <t>Static</t>
  </si>
  <si>
    <t>No - cambiare</t>
  </si>
  <si>
    <t>biased</t>
  </si>
  <si>
    <t>Non sempre può essere ottenuto il valore</t>
  </si>
  <si>
    <t>Dynamic</t>
  </si>
  <si>
    <t>https://link.springer.com/chapter/10.1007/978-3-642-15497-3_35</t>
  </si>
  <si>
    <t xml:space="preserve">Una sorta di resilienza in caso di sensori compromessi. </t>
  </si>
  <si>
    <t>come fai a capire quanti non ne ha detected ?</t>
  </si>
  <si>
    <t>DESIGN</t>
  </si>
  <si>
    <t>https://www.sciencedirect.com/science/article/abs/pii/S1084804520302770</t>
  </si>
  <si>
    <t>https://ieeexplore.ieee.org/abstract/document/4215604</t>
  </si>
  <si>
    <t>Metric not complete, it's an estimation without considering what's vuln or not</t>
  </si>
  <si>
    <t>da deefinire come calcolarlo</t>
  </si>
  <si>
    <t>pentest?</t>
  </si>
  <si>
    <t>https://ieeexplore-ieee-org.ezproxy.unibo.it/stamp/stamp.jsp?tp=&amp;arnumber=8017389</t>
  </si>
  <si>
    <t xml:space="preserve">Riadattare per  plc </t>
  </si>
  <si>
    <t>?</t>
  </si>
  <si>
    <t>c'è già CVSS</t>
  </si>
  <si>
    <t>https://dl.acm.org/doi/pdf/10.1145/366173.366185</t>
  </si>
  <si>
    <t>http://www.cs.columbia.edu/~simha/preprint_isca12_svf.pdf</t>
  </si>
  <si>
    <t>forse</t>
  </si>
  <si>
    <t>http://wwwold.iit.cnr.it/staff/artsiom.yautsiukhin/Resources/KRAU-10-MESSA.pdf</t>
  </si>
  <si>
    <t>Initial set</t>
  </si>
  <si>
    <t>Metric</t>
  </si>
  <si>
    <t>Definition</t>
  </si>
  <si>
    <t>Meaning</t>
  </si>
  <si>
    <t>Weaknesses</t>
  </si>
  <si>
    <t>Scope</t>
  </si>
  <si>
    <t>Result types</t>
  </si>
  <si>
    <t>Automation</t>
  </si>
  <si>
    <t>Measurement</t>
  </si>
  <si>
    <t>Construction</t>
  </si>
  <si>
    <t>Usable</t>
  </si>
  <si>
    <t>Classificazione</t>
  </si>
  <si>
    <t>Paper</t>
  </si>
  <si>
    <t>Rogue Change Days</t>
  </si>
  <si>
    <t>Number of rogue changes in system configuration multiplied by number of days the changes were unknown to the Security Group (SG)</t>
  </si>
  <si>
    <t>The security risk from changes to the system without notification to the security group is, on average, worse than for changes which are announced in a well managed system.</t>
  </si>
  <si>
    <t>It does not include any measure of the actual security impact of changes</t>
  </si>
  <si>
    <t>System</t>
  </si>
  <si>
    <t>Quantitative</t>
  </si>
  <si>
    <t>Auto</t>
  </si>
  <si>
    <t>Measure</t>
  </si>
  <si>
    <t>Situation</t>
  </si>
  <si>
    <t>Ideal Based</t>
  </si>
  <si>
    <t>Component Test Count</t>
  </si>
  <si>
    <t>Number of control system components that have not undergone independent security testing</t>
  </si>
  <si>
    <t>independent security testing of the system components will reduce risk</t>
  </si>
  <si>
    <t>Do tests become obsolete with the passage of time or when there is a new version of the component? If so, then how do you determine when the tests are obsolete?</t>
  </si>
  <si>
    <t>Device</t>
  </si>
  <si>
    <t>Minimum Password Strength</t>
  </si>
  <si>
    <t>Shortest time (in days) needed to crack a single password for any account on the system</t>
  </si>
  <si>
    <t>Passwords are the most critical information to protect on the system and the system security tends to improve when minimum password strength increases</t>
  </si>
  <si>
    <t>You need time and power to try to crack pwds</t>
  </si>
  <si>
    <t>User</t>
  </si>
  <si>
    <t>Data transmission exposure</t>
  </si>
  <si>
    <t>Unencrypted data transmission volume</t>
  </si>
  <si>
    <t>Any data that can be monitored by a potential attacker increases the security risk</t>
  </si>
  <si>
    <t>Some data/path can be more critical than others.</t>
  </si>
  <si>
    <t>Network</t>
  </si>
  <si>
    <t>Root privilege count</t>
  </si>
  <si>
    <t>Number of unique user IDs with administration (root) access privilege</t>
  </si>
  <si>
    <t xml:space="preserve"> Risk is strongly related to the principle of least privilege</t>
  </si>
  <si>
    <t>Detection mechanism deficiency count</t>
  </si>
  <si>
    <t>Number of externally accessible devices without any malware/attack detection mechanisms</t>
  </si>
  <si>
    <t>Detection mechanisms reduce risk especially when applied to devices that can be used as entry points for attacks</t>
  </si>
  <si>
    <t>Defense</t>
  </si>
  <si>
    <t>Reachability count</t>
  </si>
  <si>
    <t>Number of access points (relative to a specific point of origin such as the Internet)</t>
  </si>
  <si>
    <t xml:space="preserve"> Reduction in the number of access points tends to reduce the cyber security risk</t>
  </si>
  <si>
    <t>Requires complete network configuration information including con- nectivity and firewall rules</t>
  </si>
  <si>
    <t>Model</t>
  </si>
  <si>
    <t>Defense depth</t>
  </si>
  <si>
    <t>The minimum number of independent single machine compromises required for a successful network attack, calculated based on an attack graph</t>
  </si>
  <si>
    <t>Avoid a protection configuration that can be defeated by a Spof</t>
  </si>
  <si>
    <t>There may be common vulnerabilities on various paths of entry, therefore the attack steps may not be truly independent and this metric may be optimistic</t>
  </si>
  <si>
    <t>Vulnerability</t>
  </si>
  <si>
    <t>Vulnerability exposure</t>
  </si>
  <si>
    <t>Sum of known and unpatched vulnerabilities, each multiplied by their exposure time interval measured with CVSS</t>
  </si>
  <si>
    <t>For publicly disclosed vulnerabilities, the discovery date is the disclosure date from the public vulnerability database. For vulnerabilities that are discovered locally, such as configuration errors, it is the local discovery date</t>
  </si>
  <si>
    <t>Only known vulnerabilities. MERGED - with VEA-bility</t>
  </si>
  <si>
    <t>Worst case loss</t>
  </si>
  <si>
    <t>Maximum dollar value of the damage/loss that could be in- flicted by malicious personnel via a compromised control system</t>
  </si>
  <si>
    <t>The risk is strongly related to the worst case loss</t>
  </si>
  <si>
    <t>Estimation, not easy to do</t>
  </si>
  <si>
    <t>Manual</t>
  </si>
  <si>
    <t>Biased.</t>
  </si>
  <si>
    <t>Detection performance</t>
  </si>
  <si>
    <t>Measure of the effectiveness of the detection mechanisms (intrusion detection system, anti-virus software, etc.) implemented on the system.</t>
  </si>
  <si>
    <t>Detection probability discounted by false alarm rate</t>
  </si>
  <si>
    <t>This metric is difficult to obtain currently but is theoretically measurable. Maybe during pentest?? MERGED - with Intrusion detection capability metric</t>
  </si>
  <si>
    <t>Qualitative</t>
  </si>
  <si>
    <t>Restoration time</t>
  </si>
  <si>
    <t>Worst case elapsed time to restore the system to a known uncorrupted version</t>
  </si>
  <si>
    <t>Measuring the actual time elapsed from "start" to a fully restored and 100% operational system</t>
  </si>
  <si>
    <t>If it is impractical to perform that kind of a test on an operational system then this data should be collected for actual security events if they have occurred. If a recovery test is not feasible, then a worst case recovery analysis may be used to estimate recovery time</t>
  </si>
  <si>
    <t>REPEATED - we use Attack Surface</t>
  </si>
  <si>
    <t>Cyber-Risk Index</t>
  </si>
  <si>
    <t>CVSS based</t>
  </si>
  <si>
    <t>REPEATED - we use VEA-bility</t>
  </si>
  <si>
    <t>A propose</t>
  </si>
  <si>
    <t>Usable: reason</t>
  </si>
  <si>
    <t>The more action you take, the more secure the system</t>
  </si>
  <si>
    <t>You need to keep track of all logs and action taken for a specific log</t>
  </si>
  <si>
    <t>https://ieeexplore.ieee.org/document/9505178</t>
  </si>
  <si>
    <t>Attack Shortest Path (SP)</t>
  </si>
  <si>
    <t>REPEATED - we use Defense Depth</t>
  </si>
  <si>
    <t>https://ieeexplore.ieee.org/document/8017389</t>
  </si>
  <si>
    <t>Definition 12 paper</t>
  </si>
  <si>
    <t>There is the need of manual work to maps each method/channel/dataitem to its damage potential-effort ratio</t>
  </si>
  <si>
    <t>https://ieeexplore.ieee.org/stamp/stamp.jsp?tp=&amp;arnumber=5482589</t>
  </si>
  <si>
    <t>Breach frequency metric</t>
  </si>
  <si>
    <t>MERGED - with Incident Rate, as is a specific version</t>
  </si>
  <si>
    <t>https://dl.acm.org/doi/pdf/10.1145/3005714</t>
  </si>
  <si>
    <t>MERGED  - with the VEA-bility</t>
  </si>
  <si>
    <t>https://dl.acm.org/doi/pdf/10.1145/3005714 https://ieeexplore.ieee.org/document/8017389</t>
  </si>
  <si>
    <t>Comparison of costs from attacks and cost from running the IDS and react</t>
  </si>
  <si>
    <t>Need of an IDS</t>
  </si>
  <si>
    <t>MERGED - with Defense  depth</t>
  </si>
  <si>
    <t>REPEATED  - we use the Attack Path related  metrics</t>
  </si>
  <si>
    <t>The more vulnerabilities exploited, the less secure</t>
  </si>
  <si>
    <t>You need to keep track of all vulnerabilities exploited, keeping in mind that not always you are able to identify which vulnerability was exploited during an attack</t>
  </si>
  <si>
    <t>The more it detect, the more is secure</t>
  </si>
  <si>
    <t>How many distinct zero day vulnerabilities are required to compromise a network asset</t>
  </si>
  <si>
    <t>It requires a Zero Day Attack Graph, not easy to calculate</t>
  </si>
  <si>
    <t>Not feasible</t>
  </si>
  <si>
    <t>https://ieeexplore.ieee.org/abstract/document/5611550</t>
  </si>
  <si>
    <t>Mean of Attack Path Lengths (MPL)</t>
  </si>
  <si>
    <t>REPEATED - subsituted with MTTC</t>
  </si>
  <si>
    <t>RIPETUTA - substituted with Restoration Time</t>
  </si>
  <si>
    <t>https://ieeexplore.ieee.org/document/8017390</t>
  </si>
  <si>
    <t>Median of Path Lengths (MePL)</t>
  </si>
  <si>
    <t>Mode of Path Lengths (MoPL)</t>
  </si>
  <si>
    <t>Moving Target Defense (MTD) evaluation</t>
  </si>
  <si>
    <t>Evaluate how well the MTD techniques are driving to a secure state</t>
  </si>
  <si>
    <t>Requires the calculation of many metrics, with a final formula combining them with wheigts</t>
  </si>
  <si>
    <t>Not a sure indicator of security</t>
  </si>
  <si>
    <t>Normalised Mean of Path Lengths (NMPL)</t>
  </si>
  <si>
    <t>MERGE - with Mean of Attack Path Length (MPL)</t>
  </si>
  <si>
    <t>Number of Attack Paths (NP)</t>
  </si>
  <si>
    <t>REPEATED - we use Number of Attack Path</t>
  </si>
  <si>
    <t>Static/Dynamic</t>
  </si>
  <si>
    <t>Mimic the attacker to see which vulnerabilities you have</t>
  </si>
  <si>
    <t>You need a manual work from a Pentester</t>
  </si>
  <si>
    <t>Biodiversity-inspired metric based on the effective number of distinct resources</t>
  </si>
  <si>
    <t>The more diversity, the more secure: it's less probable that the same vulnerability is shared between different HWs/SWs</t>
  </si>
  <si>
    <t>https://ieeexplore.ieee.org/abstract/document/7378495</t>
  </si>
  <si>
    <t>It measure the reaction speed to malicious events</t>
  </si>
  <si>
    <t>You need some malicious event in the past</t>
  </si>
  <si>
    <t>This metric reflects the strength of a defense tool when employed in addition to other defense tools. A defense tool does not offer any extra strength if it cannot detect any attack undetected by other defense tools already in place</t>
  </si>
  <si>
    <t>Understanding if the addition of another security mechanism is increasing the security</t>
  </si>
  <si>
    <t>Needs of an analysis of the layers of security of a system</t>
  </si>
  <si>
    <t>https://ieeexplore.ieee.org/stamp/stamp.jsp?tp=&amp;arnumber=8017389</t>
  </si>
  <si>
    <t>NOT FOUND</t>
  </si>
  <si>
    <t>Calcolare oracle e side-channel e fare similarity matrix per confrontare i pattern</t>
  </si>
  <si>
    <t>Se il valore è più alto significa che può essere più soggettoa vulnerabilità side channel, non che sia meno sicuro</t>
  </si>
  <si>
    <t>Standand Deviation of Path Lengths (SDPL)</t>
  </si>
  <si>
    <t>VEA-bility</t>
  </si>
  <si>
    <t>The VEA-bility score is expressed by a value in the range [0,10] that represents the desirability of network configurations. This means that a higher VEA-bility score implies more security. The VEA acronym in the name of this metric stands for Vulnerability, Exploitability, and Attackability</t>
  </si>
  <si>
    <t>Aggregating scores from CVSS  for the overall system</t>
  </si>
  <si>
    <t>Need of performing a vulnerability analysis on the system</t>
  </si>
  <si>
    <t>https://ieeexplore.ieee.org/abstract/document/4529446</t>
  </si>
  <si>
    <t>https://link.springer.com/chapter/10.1007/978-3-319-11391-3_13</t>
  </si>
  <si>
    <t>The calculation may be subjective</t>
  </si>
  <si>
    <t>Ripetuta</t>
  </si>
  <si>
    <t>1</t>
  </si>
  <si>
    <t>Measuring User Vulnerabilities</t>
  </si>
  <si>
    <t>Phishing Susceptibility</t>
  </si>
  <si>
    <t>False positives (FP)</t>
  </si>
  <si>
    <t>USER</t>
  </si>
  <si>
    <t>Percentage of flagging genuine email as phishing email</t>
  </si>
  <si>
    <t>Phishing affects only people. It exploits a user vulnerability. This evaluates the user, not the device</t>
  </si>
  <si>
    <t>HERE, THE ROWS WITH NO INFORMATION WERE DELETED</t>
  </si>
  <si>
    <t>False negatives (FN)</t>
  </si>
  <si>
    <t>Percentage of detecting a phishing email as a genuine email</t>
  </si>
  <si>
    <t>HERE, THE ROWS WITH "SIMILAR TO X" WERE DELETED</t>
  </si>
  <si>
    <t>3</t>
  </si>
  <si>
    <t>Malware Susceptibility</t>
  </si>
  <si>
    <t>User’s online behavior</t>
  </si>
  <si>
    <t>Phishing affects only people. It exploits a user vulnerability. This evaluates the user, not the device. This is only a suggestion. Not defined</t>
  </si>
  <si>
    <t>HERE, THE ROWS WHOSE SCOPE IS "ORGANISATION" WERE DELETED</t>
  </si>
  <si>
    <t>Users’ susceptibility to attacks</t>
  </si>
  <si>
    <t>This evaluates the user, not the device. This is only a suggestion. Not defined</t>
  </si>
  <si>
    <t>*</t>
  </si>
  <si>
    <t>This information was induced by me</t>
  </si>
  <si>
    <t>Password Vulnerabilities</t>
  </si>
  <si>
    <t>Entropy</t>
  </si>
  <si>
    <t>PASSWORD</t>
  </si>
  <si>
    <t>This could be used with keys instead of passwords to measure randomness</t>
  </si>
  <si>
    <t>HW + SW</t>
  </si>
  <si>
    <t>6</t>
  </si>
  <si>
    <t>Password guessability (statistical / parameterized)</t>
  </si>
  <si>
    <t>This metric measures the guessability of a set of passwords (rather than for individual passwords) by an “idealized” attacker with the assumption of a perfect guess / This metric measures the number of guesses an attacker needs to make via a particular cracking algorithm (i.e., a particular threat model) before recovering a particular password and training data. Different password cracking algorithms leads to different results</t>
  </si>
  <si>
    <t>RATIO BSOLUTE</t>
  </si>
  <si>
    <t>Passwords are for people. Devices use keys (that are much more larger)</t>
  </si>
  <si>
    <t>7</t>
  </si>
  <si>
    <t>Password strength meter</t>
  </si>
  <si>
    <t>This metric measures the password strength via an estimated effort to guess the password, while considering factors such as the character set (e.g., special symbols are required or not), password length, whitespace permissibility, password entropy, and blacklisted passwords being prevented or not. One variant metric is adaptive password strength, which is used to improve the accuracy of strength estimation</t>
  </si>
  <si>
    <t>15</t>
  </si>
  <si>
    <t>Severity of Individual Software Vulnerabilities</t>
  </si>
  <si>
    <t>CVSS Base</t>
  </si>
  <si>
    <t>Exploitability Metrics</t>
  </si>
  <si>
    <t>Attack vector</t>
  </si>
  <si>
    <t>Describes whether a vulnerability can be exploited remotely, adjacently, locally, or physically (i.e., attacker must have physical access to the computer)</t>
  </si>
  <si>
    <t>NOMINAL</t>
  </si>
  <si>
    <t>SOFTWARE</t>
  </si>
  <si>
    <t>For calculating new vulnerabilities, or to know each dimension of known vulnerabilities</t>
  </si>
  <si>
    <t>16</t>
  </si>
  <si>
    <t>Attack complexity</t>
  </si>
  <si>
    <t>Describes the conditions that must hold before an attacker can exploit the vulnerability, such as low or high</t>
  </si>
  <si>
    <t>ORDINA</t>
  </si>
  <si>
    <t>17</t>
  </si>
  <si>
    <t>Privilege required</t>
  </si>
  <si>
    <t>Describes the level of privileges that an attacker must have in order to exploit a vulnerability, such as none, low, or high</t>
  </si>
  <si>
    <t>18</t>
  </si>
  <si>
    <t>User interaction</t>
  </si>
  <si>
    <t>Describes whether the exploitation of a vulnerability requires the participation of a user (other than the attacker), such as none or required</t>
  </si>
  <si>
    <t>19</t>
  </si>
  <si>
    <t>Authorization scope</t>
  </si>
  <si>
    <t>Describes whether or not a vulnerability has an impact on resources beyond its privileges (e.g., sandbox or virtual machine), such as unchanged or changed</t>
  </si>
  <si>
    <t>20</t>
  </si>
  <si>
    <t>Impact Metrics</t>
  </si>
  <si>
    <t>Confidentiality impact</t>
  </si>
  <si>
    <t>CONFIDENTIALITY</t>
  </si>
  <si>
    <t>The impact of a successful exploitation of a vulnerability in terms of confidentiality such as none, low, high</t>
  </si>
  <si>
    <t>21</t>
  </si>
  <si>
    <t>Integrity impact</t>
  </si>
  <si>
    <t>The impact of a successful exploitation of a vulnerability in terms of integrity such as none, low, high</t>
  </si>
  <si>
    <t>22</t>
  </si>
  <si>
    <t>Availability impact</t>
  </si>
  <si>
    <t>AVAILABILITY</t>
  </si>
  <si>
    <t>The impact of a successful exploitation of a vulnerability in terms of availability, such as none, low, high</t>
  </si>
  <si>
    <t>23</t>
  </si>
  <si>
    <t>CVSS Temporal Metrics</t>
  </si>
  <si>
    <t>Exploit code maturity</t>
  </si>
  <si>
    <t>The likelihood a vulnerability can be attacked based on the current exploitation techniques, such as undefined, unproven, proof-of-concept, functional, or high</t>
  </si>
  <si>
    <t>24</t>
  </si>
  <si>
    <t>Remediation level</t>
  </si>
  <si>
    <t>Describes whether or not a remediation method is available for a given vulnerability, such as undefined, unavailable, workaround, temporary fix, or official fix</t>
  </si>
  <si>
    <t>25</t>
  </si>
  <si>
    <t>Report confidence</t>
  </si>
  <si>
    <t>Measures the level of confidence for a given vulnerability as well as known technical details, such as unknown, reasonable, or confirmed</t>
  </si>
  <si>
    <t>26</t>
  </si>
  <si>
    <t>CVSS Environmental Metrics</t>
  </si>
  <si>
    <t>Security requirement</t>
  </si>
  <si>
    <t>Describes environment-dependent security requirements in terms of confidentiality, integrity, and availability, such as not defined, low, medium, or high</t>
  </si>
  <si>
    <t>33</t>
  </si>
  <si>
    <t>Probabilistic Severity Metrics</t>
  </si>
  <si>
    <t>Metrics treating CVSS scores as atomic parameters</t>
  </si>
  <si>
    <t>Likelihood of exploitation</t>
  </si>
  <si>
    <t>It measures the probability that an exploit will be executed by an attacker with certain capabilities</t>
  </si>
  <si>
    <t>This is related with statistics and risk assessment. It could be applied</t>
  </si>
  <si>
    <t>34</t>
  </si>
  <si>
    <t>Metrics not treating CVSS scores as atomic parameters</t>
  </si>
  <si>
    <t>Effective base metric / scope</t>
  </si>
  <si>
    <t>Given an attack graph and a subset of exploits, the effective base metric aims to adjust the CVSS base metric by taking the highest value of the ancestors of an exploit to reflect the worst-case scenario, while the effective base score metric is calculated based on the effective base metric</t>
  </si>
  <si>
    <t>38</t>
  </si>
  <si>
    <t>Metrics for CFI</t>
  </si>
  <si>
    <t>Average indirect target reduction</t>
  </si>
  <si>
    <t>It counts the overall reduction of targets for any indirect control-flow transfer. It measures the overall reduction in terms of the number of targets exploitable by the attacker where smaller targets are more secure</t>
  </si>
  <si>
    <t>39</t>
  </si>
  <si>
    <t>Average target size</t>
  </si>
  <si>
    <t>Ratio between the size of the largest target and the number of targets</t>
  </si>
  <si>
    <t>40</t>
  </si>
  <si>
    <t>Evasion resistance</t>
  </si>
  <si>
    <t>It is measured against control flow bending attacks, reflecting the effort (or premises) that an attacker must make (or satisfy) for evading the CFI scheme</t>
  </si>
  <si>
    <t>45</t>
  </si>
  <si>
    <t>Detection time</t>
  </si>
  <si>
    <t>For instrument-based attack detection, this metric is used to measure the delay between the time t0 at which a compromised computer sends its first scan packet and the time t that a scan packet is observed by the instrument</t>
  </si>
  <si>
    <t>57</t>
  </si>
  <si>
    <t>Address Space Layout Randomization (ASLR)</t>
  </si>
  <si>
    <t>ASLR-induced Effective entropy metric</t>
  </si>
  <si>
    <t>Measure of entropy in user space memory which quantitatively considers an adversary’s ability to leverage low entropy regions of memory via absolute and dynamic inter-section connections</t>
  </si>
  <si>
    <t>OS</t>
  </si>
  <si>
    <t>If the device runs an OS, this could be applied</t>
  </si>
  <si>
    <t>Attack</t>
  </si>
  <si>
    <t>72</t>
  </si>
  <si>
    <t>Obfuscation Attacks</t>
  </si>
  <si>
    <t>Obfuscation prevalence metric</t>
  </si>
  <si>
    <t>CODE</t>
  </si>
  <si>
    <t>Occurrence of obfuscation in malware samples</t>
  </si>
  <si>
    <t>MALWARE</t>
  </si>
  <si>
    <t>Malware-related</t>
  </si>
  <si>
    <t>73</t>
  </si>
  <si>
    <t>Structural complexity metric</t>
  </si>
  <si>
    <t>Runtime complexity of packers in terms of their layers or granularity</t>
  </si>
  <si>
    <t>74</t>
  </si>
  <si>
    <t>Evasion capability of attacks</t>
  </si>
  <si>
    <t>Allows comparing the evasion power of two attacks, but also allows computing the damage caused by evasion attacks</t>
  </si>
  <si>
    <t>Proposed, but not defined</t>
  </si>
  <si>
    <t>75</t>
  </si>
  <si>
    <t>Obfuscation sophistication</t>
  </si>
  <si>
    <t>In terms of the amount of effort required for unpacking packed malware</t>
  </si>
  <si>
    <t>Proposed, but not defined. Malware related</t>
  </si>
  <si>
    <t>79</t>
  </si>
  <si>
    <t>Control-plane reputation metric</t>
  </si>
  <si>
    <t>Calibrates the maliciousness of attacker-owned (i.e., rather than legitimate but mismanaged/abused) ASs based on their control plane information (e.g., routing behavior), which can achieve an early-detection time of 50–60 days (before these malicious ASs are noticed by other defense means)</t>
  </si>
  <si>
    <t>ATTACKER</t>
  </si>
  <si>
    <t>This is related to external systems that could be potential attackers</t>
  </si>
  <si>
    <t>80</t>
  </si>
  <si>
    <t>Cybersecurity posturemetric</t>
  </si>
  <si>
    <t>Measures the dynamic threat imposed by the attacking computers</t>
  </si>
  <si>
    <t>This is related to attacks themselves</t>
  </si>
  <si>
    <t>141</t>
  </si>
  <si>
    <t>Churn</t>
  </si>
  <si>
    <t>Count of Source Lines of Code that has been added or changed in a component since the previous revision of the software</t>
  </si>
  <si>
    <t>142</t>
  </si>
  <si>
    <t>Frequency</t>
  </si>
  <si>
    <t>Number of times that a binary was edited during its development cycle</t>
  </si>
  <si>
    <t>This is more related to the development of the software</t>
  </si>
  <si>
    <t>143</t>
  </si>
  <si>
    <t>Lines Changed</t>
  </si>
  <si>
    <t>The cumulated number of code lines changed since the creation of a file</t>
  </si>
  <si>
    <t>144</t>
  </si>
  <si>
    <t>Lines new</t>
  </si>
  <si>
    <t>The cumulated number of new code lines since the creation of a file</t>
  </si>
  <si>
    <t>146</t>
  </si>
  <si>
    <t>Number of commits</t>
  </si>
  <si>
    <t>Counting the commits a given developer made</t>
  </si>
  <si>
    <t>148</t>
  </si>
  <si>
    <t>Relative churn</t>
  </si>
  <si>
    <t>Normalized by parameters such as lines of code, files counts</t>
  </si>
  <si>
    <t>149</t>
  </si>
  <si>
    <t>Repeat frequency</t>
  </si>
  <si>
    <t>The number of consecutive edits that are performed on a binary</t>
  </si>
  <si>
    <t>150</t>
  </si>
  <si>
    <t>Total churn</t>
  </si>
  <si>
    <t>The total added, modified, and deleted lines of code of a binary during the development</t>
  </si>
  <si>
    <t>155</t>
  </si>
  <si>
    <t>Cyclomatic number</t>
  </si>
  <si>
    <t>M = E − N + P, where E = the number of edges of the graph. N = the number of nodes of the graph. P = the number of connected components.</t>
  </si>
  <si>
    <t>If the software is available, it can be applied. It can be also applied to embedded software</t>
  </si>
  <si>
    <t>158</t>
  </si>
  <si>
    <t>Fan in (FI)</t>
  </si>
  <si>
    <t>COUPLING</t>
  </si>
  <si>
    <t>Number of inputs a function uses. Inputs include parameters and global variables that are used (read) in the function / Number of functions calling a function</t>
  </si>
  <si>
    <t>159</t>
  </si>
  <si>
    <t>Fan out (FO)</t>
  </si>
  <si>
    <t>Number of outputs that are set. The outputs can be parameters or global variables (modified) / Number of functions called by a function</t>
  </si>
  <si>
    <t>162</t>
  </si>
  <si>
    <t>Max fan in</t>
  </si>
  <si>
    <t>The largest number of inputs to a function such as parameters and global variables</t>
  </si>
  <si>
    <t>163</t>
  </si>
  <si>
    <t>Max fan out</t>
  </si>
  <si>
    <t>The largest number of assignment to the parameters to call a function or global variables</t>
  </si>
  <si>
    <t>164</t>
  </si>
  <si>
    <t>MaxMaxNesting</t>
  </si>
  <si>
    <t>The maximum of MaxNesting in a file</t>
  </si>
  <si>
    <t>165</t>
  </si>
  <si>
    <t>MaxNesting</t>
  </si>
  <si>
    <t>Maximum nesting level of control constructs such as if or while statements in a function</t>
  </si>
  <si>
    <t>166</t>
  </si>
  <si>
    <t>Nesting complexity</t>
  </si>
  <si>
    <t>Maximum nesting level of control constructs (if, while, for, switch, etc.) in the function</t>
  </si>
  <si>
    <t>167</t>
  </si>
  <si>
    <t>Number of children (NOC)</t>
  </si>
  <si>
    <t>Number of immediate sub-classes of a class or the count of derived classes. If class CA inherits class CB, then CB is the base class and CA is the derived class. In other words, CA is the children of class CB, and CB is the parent of class CB.</t>
  </si>
  <si>
    <t>168</t>
  </si>
  <si>
    <t>SumCyclomaticStrict</t>
  </si>
  <si>
    <t>The sum of the strict cyclomatic complexity, where strict cyclomatic complexity is defined as the number of conditional statements in a function</t>
  </si>
  <si>
    <t>169</t>
  </si>
  <si>
    <t>SumEssential</t>
  </si>
  <si>
    <t>The sum of essential complexity, where essential complexity is defined as the number of branches after reducing all the programming primitives such as a for loop in a function’s control flow graph into a node iteratively until the graph cannot be reduced any further. Completely well-structured code has essential complexity 1</t>
  </si>
  <si>
    <t>170</t>
  </si>
  <si>
    <t>SumFanIn</t>
  </si>
  <si>
    <t>The sum of FanIn, where FanIn is defined as the number of inputs to a function such as parameters and global variables</t>
  </si>
  <si>
    <t>171</t>
  </si>
  <si>
    <t>SumFanOut</t>
  </si>
  <si>
    <t>The sum of FanOut, where FanOut is defined as the number of assignment to the parameters to call a function or global variables</t>
  </si>
  <si>
    <t>172</t>
  </si>
  <si>
    <t>SumMaxNesting</t>
  </si>
  <si>
    <t>The sum of the MaxNesting in a file, where MaxNesting is defined as the maximum nesting level of control constructs such as if or while statements in a function</t>
  </si>
  <si>
    <t>173</t>
  </si>
  <si>
    <t>McCabe Cyclomatic Complexity</t>
  </si>
  <si>
    <t>M = E − N + 2P, where E = the number of edges of the graph. N = the number of nodes of the graph. P = the number of connected components</t>
  </si>
  <si>
    <t>174</t>
  </si>
  <si>
    <t>Weighted methods per class (WMC)</t>
  </si>
  <si>
    <t>Number of local methods defined in the class</t>
  </si>
  <si>
    <t>182</t>
  </si>
  <si>
    <t>X</t>
  </si>
  <si>
    <t>Anomalous session count</t>
  </si>
  <si>
    <t>The first phase derives a SessionTableAccessProfile by correlating application server user log entries for a user session with accessed database tables; the resulting value of SessionTableAccessProfile is represented as a user ID followed by a set of ordered pairs with a table name and a count. The second phase derives the AnomalousSessionCount by counting how many SessionTableAccessCounts don’t fit a predefined user profile. If AnamalousSessionCount is greater than one for any user, especially a privileged user, it could indicate the need for significant refactoring and redesign of the Web application’s persistence layer. This is a clear case in which detection at design time is preferable.</t>
  </si>
  <si>
    <t>If adapted, it could be used</t>
  </si>
  <si>
    <t>185</t>
  </si>
  <si>
    <t>Audit logging</t>
  </si>
  <si>
    <t>Total number of log files monitored in specific time interval / number of available log files * 100</t>
  </si>
  <si>
    <t>Although this has to do with larger systems, embedded systems could not be able to produce log files</t>
  </si>
  <si>
    <t>187</t>
  </si>
  <si>
    <t>Classified Accessor Attribute Interactions (CAAI)</t>
  </si>
  <si>
    <t>The ratio of the sum of all interactions between accessors and classified attributes to the possible maximum number of interactions between accessors and classified attributes in the program</t>
  </si>
  <si>
    <t>Object-oriented programs. If the software is available, it can be applied. It can be also applied to embedded software</t>
  </si>
  <si>
    <t>188</t>
  </si>
  <si>
    <t>Classified Attributes Interaction Weight (CAIW)</t>
  </si>
  <si>
    <t>The ratio of the number of all interactions with classified attributes to the total number of all interactions with all attributes in the program</t>
  </si>
  <si>
    <t>189</t>
  </si>
  <si>
    <t>Classified Class Data Accessibility (CCDA)</t>
  </si>
  <si>
    <t>The ratio of the number of non-private classified class attributes to the number of classified attributes in the program</t>
  </si>
  <si>
    <t>190</t>
  </si>
  <si>
    <t>Classified Instance Data Accessibility (CIDA)</t>
  </si>
  <si>
    <t>The ratio of the number of non-private classified instance attributes to the number of classified attributes in the program</t>
  </si>
  <si>
    <t>191</t>
  </si>
  <si>
    <t>Classified Method Extensibility (CME)</t>
  </si>
  <si>
    <t>The ratio of the number of the non-finalised classified methods in program to the total number of classified methods in the program</t>
  </si>
  <si>
    <t>192</t>
  </si>
  <si>
    <t>Classified Methods Weight (CMW)</t>
  </si>
  <si>
    <t>The ratio of the number of classified methods to the total number of methods in the program</t>
  </si>
  <si>
    <t>193</t>
  </si>
  <si>
    <t>Classified Mutator Attribute Interactions (CMAI)</t>
  </si>
  <si>
    <t>The ratio of the sum of all interactions between mutators and classified attributes to the possible maximum number of interactions between mutators and classified attributes in the program.</t>
  </si>
  <si>
    <t>194</t>
  </si>
  <si>
    <t>Classified Operation Accessibility (COA)</t>
  </si>
  <si>
    <t>The ratio of the number of non-private classified methods to the number of classified methods in the program</t>
  </si>
  <si>
    <t>195</t>
  </si>
  <si>
    <t>Classified Writing Methods Proportion (CWMP)</t>
  </si>
  <si>
    <t>The ratio of the number of methods which write classified attributes to the total number of classified methods in the program</t>
  </si>
  <si>
    <t>196</t>
  </si>
  <si>
    <t>Composite-Part Critical Classes (CPCC)</t>
  </si>
  <si>
    <t>The ratio of the number of critical composed-part classes to the total number of critical classes in the program</t>
  </si>
  <si>
    <t>Classes Design Proportion (CDP)</t>
  </si>
  <si>
    <t>Ratio of the number of critical classes to the total number of classes, from the group of Design Size Metrics.</t>
  </si>
  <si>
    <t>197</t>
  </si>
  <si>
    <t>Controls against malicious code</t>
  </si>
  <si>
    <t>Number of incidents as results of malware (malicious software) outbreaks on system / number of detected and blocked malware occurrences * 100</t>
  </si>
  <si>
    <t>This metric could be adapted to embedded systems, but it might not make sense in the testing phase</t>
  </si>
  <si>
    <t>201</t>
  </si>
  <si>
    <t>Critical Class Extensibility (CCE)</t>
  </si>
  <si>
    <t>The ratio of the number of the non-finalised critical classes in program to the total number of critical classes in the program</t>
  </si>
  <si>
    <t>202</t>
  </si>
  <si>
    <t>Critical Design Proportion (CDP)</t>
  </si>
  <si>
    <t>The ratio of the number of critical classes to the total number of classes in the program</t>
  </si>
  <si>
    <t>203</t>
  </si>
  <si>
    <t>Critical Element Ratio</t>
  </si>
  <si>
    <t>A process may not require all aspects of an object to be instantiated. Critical Elements Ratio = (Critical Data Elements in an Object) / (Total number of elements in the object)</t>
  </si>
  <si>
    <t>204</t>
  </si>
  <si>
    <t>Critical Serialized Classes Proportion (CSCP)</t>
  </si>
  <si>
    <t>The ratio of the number of critical serialized classes to the total number of critical classes in the program</t>
  </si>
  <si>
    <t>205</t>
  </si>
  <si>
    <t>Critical Superclasses Inheritance (CSI)</t>
  </si>
  <si>
    <t>The ratio of the sum of classes which may inherit from each critical superclass to the number of possible inheritances from all critical classes in the program’s inheritance hierarchy</t>
  </si>
  <si>
    <t>206</t>
  </si>
  <si>
    <t>Critical Superclasses Proportion (CSP)</t>
  </si>
  <si>
    <t>The ratio of the number of critical superclasses to the total number of critical classes in the program’s inheritance hierarchy</t>
  </si>
  <si>
    <t>207</t>
  </si>
  <si>
    <t>Depth of inspection</t>
  </si>
  <si>
    <t>It calculates the depth of inspection by collecting the statistical data of inspection and testing approaches and finds out the defect capturing capability as a ratio. DI can be measured phase-wise or as a whole before the deployment of the product. # defects captured by inspection process / # defects captured by both inspection and testing approaches</t>
  </si>
  <si>
    <t>This metric is intended to be use in the design phase. This cannot be applied in a security assessment</t>
  </si>
  <si>
    <t>212</t>
  </si>
  <si>
    <t>Isolation (PI)</t>
  </si>
  <si>
    <t>This assesses the level of security isolation between system components. This means getting privileges to a component does not imply accessibility of other co-located components. This metric can be assessed using system architecture and deployment models. Components marked as confidential should not be hosted with nonconfidential (public) components. Methods that are not marked as confidential should not have access to confidential attributes or methods</t>
  </si>
  <si>
    <t>I am not sure if this metric can be applied to embedded software</t>
  </si>
  <si>
    <t>214</t>
  </si>
  <si>
    <t>Number of Catch Blocks Per Class (NCBC)</t>
  </si>
  <si>
    <t>It measures the exception handing factor (EHF) in some way. It is defined as the percentage of catch blocks in a class over the theoretical maximum number of catch blocks in the class</t>
  </si>
  <si>
    <t>215</t>
  </si>
  <si>
    <t>Percentage High-, medium- and moderate-Risk Software Hazards with Safety Requirements</t>
  </si>
  <si>
    <t>It reveals whether all high-, medium- and moderate-risk software hazards have resulted in applicable safety requirements through hazard analysis</t>
  </si>
  <si>
    <t>This is related to software and the design</t>
  </si>
  <si>
    <t>218</t>
  </si>
  <si>
    <t>Percentage of Software Safety Requirements (PSSR)</t>
  </si>
  <si>
    <t>How sufficient hazard analysis has been performed. (# Software Safety Requirements / # SoftwareRequirements) * 100</t>
  </si>
  <si>
    <t>219</t>
  </si>
  <si>
    <t>Percentage of Software Safety Requirements Traceable to Hazards</t>
  </si>
  <si>
    <t>Ensuring traceability to system hazards or System of Systems hazards increases the validation case. Percentage indicator of traceability of requirements. All derived software safety requirements must be traceable to system hazards or System of Systems hazards (# Traceable Software Safety Requirements / # Software Safety Requirements) * 100</t>
  </si>
  <si>
    <t>246</t>
  </si>
  <si>
    <t>PercentValidatedInput</t>
  </si>
  <si>
    <t>INPUTS</t>
  </si>
  <si>
    <t>To compute this metric, let T equal the count of the amount of input forms or interfaces the application exposes (the number of HTML form POSTs, GETs, and so on) and let V equal the number of these interfaces that use input validation mechanisms. The ratio V/T makes a strong statement about the Web application’s vulnerability to exploits from invalid input</t>
  </si>
  <si>
    <t>This could be adapted to other pieces of code, rather than just HTML</t>
  </si>
  <si>
    <t>247</t>
  </si>
  <si>
    <t>Ratio of Design Decisions (RDD)</t>
  </si>
  <si>
    <t>Ratio of the number of design decisions related to security to the total number of design decisions of the entire system. The objective is to assess the portion of design dedicated to security</t>
  </si>
  <si>
    <t>This is related to design phase</t>
  </si>
  <si>
    <t>248</t>
  </si>
  <si>
    <t>Ratio of Design Flaws Related to Security (RDF)</t>
  </si>
  <si>
    <t>Ratio of design flaws related to security to the total number of design flaws applicable to the whole system</t>
  </si>
  <si>
    <t>249</t>
  </si>
  <si>
    <t>Ratio of extension misuse cases extended once to the total number of extension misuse cases</t>
  </si>
  <si>
    <t>Are the functional decompositions between misuse cases correctly handled? 1 - (# Extension Misuse Cases included once / # Extension Misuse Cases)</t>
  </si>
  <si>
    <t>250</t>
  </si>
  <si>
    <t>Ratio of Implementation Errors That Have an Impact on Security (RSERR)</t>
  </si>
  <si>
    <t>Ratio of the number of errors related to security to the total number of errors in the implementation of the system (i.e. NERR)</t>
  </si>
  <si>
    <t>251</t>
  </si>
  <si>
    <t>Ratio of inclusion misuse cases included once to the total number of inclusion misuse cases</t>
  </si>
  <si>
    <t>Are the functional decompositions between misuse cases correctly handled? (# Inclusion Misuse Cases included once) / (# Inclusion Misuse Cases)</t>
  </si>
  <si>
    <t>252</t>
  </si>
  <si>
    <t>Ratio of misuse cases used as pre/post conditions of other misuse cases to the total number of misuse cases</t>
  </si>
  <si>
    <t>Are the functional decompositions between misuse cases correctly handled? (# Misuse Cases used as pre/post conditions) / (# Misuse Cases)</t>
  </si>
  <si>
    <t>253</t>
  </si>
  <si>
    <t>Ratio of Patches Issued to Address Security Vulnerabilities (RP)</t>
  </si>
  <si>
    <t>Ratio of the number of patches that are issued to address security vulnerabilities to the total number of patches of the system</t>
  </si>
  <si>
    <t>If the design is available, it can be applied</t>
  </si>
  <si>
    <t>254</t>
  </si>
  <si>
    <t>Ratio of Security Requirements (RSR)</t>
  </si>
  <si>
    <t>Ratio of the number of requirements that have direct impact on security to the total number of requirements of the system</t>
  </si>
  <si>
    <t>255</t>
  </si>
  <si>
    <t>Ratio of Security Test Cases (RTC)</t>
  </si>
  <si>
    <t>Number of test cases designed to detect security issues to the total number of test cases of the entire system</t>
  </si>
  <si>
    <t>256</t>
  </si>
  <si>
    <t>Ratio of Security Test Cases that Fail (RTCP)</t>
  </si>
  <si>
    <t>Number of test cases that detect implementation errors (i.e. the ones that fail) to the total number of test cases, designed specifically to target security issues</t>
  </si>
  <si>
    <t>258</t>
  </si>
  <si>
    <t>Ratio of Software Changes Due to Security Considerations (RSC)</t>
  </si>
  <si>
    <t>Number of changes in the system triggered by a new set of security requirements. Software changes due to security considerations include patches that are released after a system is delivered, or any other security updates</t>
  </si>
  <si>
    <t>259</t>
  </si>
  <si>
    <t>Ratio of the number of included security requirements to the total number of stated security requirements</t>
  </si>
  <si>
    <t>How vulnerable is the application based on the stated security requirements? 1 - ( (# Stated Security Requirements - # Excluded Stated Security Requirements) / # Stated Security Requirements )</t>
  </si>
  <si>
    <t>260</t>
  </si>
  <si>
    <t>Ratio of the number of misuse cases that do not threaten the application to the total number of misuse cases</t>
  </si>
  <si>
    <t>Do the misuse cases correctly represent the application vulnerabilities and are they consistent with application security use cases? (# Non-Threatening Misuse Cases) / (# Misuse Cases)</t>
  </si>
  <si>
    <t>261</t>
  </si>
  <si>
    <t>Ratio of the Number of Omitted Exceptions (ROEX)</t>
  </si>
  <si>
    <t>Ratio of the number of omitted exceptions (i.e. Noex) to the total number of exceptions that are related to security</t>
  </si>
  <si>
    <t>262</t>
  </si>
  <si>
    <t>Ratio of the Number of Omitted Security Requirements (ROSR)</t>
  </si>
  <si>
    <t>Ratio of the number of security requirements that have not been considered during the analysis phase (i.e. NOSR) to the total number of security requirements identified during the analysis phase (NSR)</t>
  </si>
  <si>
    <t>263</t>
  </si>
  <si>
    <t>Ratio of the number of the base misuse cases associated to one misuser to the total number of base misuse cases</t>
  </si>
  <si>
    <t>Are the misusers presented and handled correctly in the misuse case model? 1 - (# Base Misuse Cases Associated to one misuser / # Misuse Cases)</t>
  </si>
  <si>
    <t>264</t>
  </si>
  <si>
    <t>Ratio of the number of unmitigated misuse cases that threaten the application to the total number of misuse cases</t>
  </si>
  <si>
    <t>Do the misuse cases correctly represent the application vulnerabilities and are they consistent with application security use cases? (# Unmitigated Misuse Cases) / (# Misuse Cases)</t>
  </si>
  <si>
    <t>269</t>
  </si>
  <si>
    <t>Software Hazard Analysis Depth</t>
  </si>
  <si>
    <t>Hazardous software, or safety-critical software, allocated as high- or medium-risk, according to the Software Hazard Criticality Matrix, requires analysis of second- and third-order causal factors (should they exist)</t>
  </si>
  <si>
    <t>Hazard is similar to risk.</t>
  </si>
  <si>
    <t>273</t>
  </si>
  <si>
    <t>Unaccessed Assigned Classified Attribute (UACA)</t>
  </si>
  <si>
    <t>The ratio of the number of classified attributes that are assigned but never used to the total number of classified attributes in the program</t>
  </si>
  <si>
    <t>Object-oriented programs</t>
  </si>
  <si>
    <t>274</t>
  </si>
  <si>
    <t>Uncalled Classified Accessor Method (UCAM)</t>
  </si>
  <si>
    <t>The ratio of the number of classified methods that access a classified attribute but are never called by other methods to the total number of classified methods in the program</t>
  </si>
  <si>
    <t>275</t>
  </si>
  <si>
    <t>Unused Critical Accessor Class (UCAC)</t>
  </si>
  <si>
    <t>The ratio of the number of classes which contain classified methods that access classified attributes but are never used by other classes to the total number of critical classes in the program</t>
  </si>
  <si>
    <t>284</t>
  </si>
  <si>
    <t>Classified Attributes Inheritance (CAI)</t>
  </si>
  <si>
    <t>The ratio of the number of classified attributes which can be inherited in a hierarchy to the total number of classified attributes in the program’s inheritance hierarchy</t>
  </si>
  <si>
    <t>285</t>
  </si>
  <si>
    <t>Classified Methods Inheritance (CMI)</t>
  </si>
  <si>
    <t>The ratio of the number of classified methods which can be inherited in a hierarchy to the total number of classified methods in the program’s inheritance hierarchy</t>
  </si>
  <si>
    <t>286</t>
  </si>
  <si>
    <t>Coupling</t>
  </si>
  <si>
    <t>Measures the following three coupling dimensions between modules: referential dependency, structural dependency, and data integrity dependency</t>
  </si>
  <si>
    <t>288</t>
  </si>
  <si>
    <t>Coupling Between Object classes (CBOC)</t>
  </si>
  <si>
    <t>Number of other classes coupled to a class C</t>
  </si>
  <si>
    <t>290</t>
  </si>
  <si>
    <t>Coupling Corruption Propagation</t>
  </si>
  <si>
    <t>Coupling corruption propagation is meant to measure the total number of methods that could be affected by erroneous originating method. Coupling Corruption Propagation = Number of child methods invoked with the parameter(s) based on the parameter(s) of the original invocation</t>
  </si>
  <si>
    <t>291</t>
  </si>
  <si>
    <t>Critical Classes Coupling (CCC)</t>
  </si>
  <si>
    <t>The ratio of the number of all classes’ links with classified attributes to the total number of possible links with classified attributes in the program</t>
  </si>
  <si>
    <t>292</t>
  </si>
  <si>
    <t>Depth of Inheritance Tree (DIT)</t>
  </si>
  <si>
    <t>Maximum depth of the class in the inheritance tree</t>
  </si>
  <si>
    <t>301</t>
  </si>
  <si>
    <t>Lack of cohesion of methods (LCOM)</t>
  </si>
  <si>
    <t>The LCOM value for a class C is defined as LCOM(C) = (1- \E(C)\ ÷ (\V(C)\ × \M(C)\)) × 100%, where V(C) is the set of instance variables, M(C) is the set of instance methods, and E(C) is the set of pairs (v,m) for each instance variable v in V(C) that is used by method m in M(C)</t>
  </si>
  <si>
    <t>304</t>
  </si>
  <si>
    <t>NumCalls</t>
  </si>
  <si>
    <t>The number of calls to the functions defined in an entity</t>
  </si>
  <si>
    <t>312</t>
  </si>
  <si>
    <t>Reflection Package Boolean (RPB)</t>
  </si>
  <si>
    <t>A boolean value representing whether the Java program imports the reflection package (1) or not (0)</t>
  </si>
  <si>
    <t>Vulnerability Propagation (VP)</t>
  </si>
  <si>
    <t>Vulnerability Propagation (VP) of a class C, denoted by VP(C), is the set containing classes in the hierarchy which directly or indirectly inherit class C. Cardinality of set VP(C) represents the number of classes which have become vulnerable due to class C. Alternatively, Vulnerability Propagation of a class C is the total number of classes which directly or indirectly inherit class C.</t>
  </si>
  <si>
    <t>This metric can be applied to embedded software</t>
  </si>
  <si>
    <t>315</t>
  </si>
  <si>
    <t>Vulnerability Propagation Factor (VPF)</t>
  </si>
  <si>
    <t>An Inheritance hierarchy may contain no class or one or more vulnerable classes. Also, there are more than one Inheritance hierarchies present in a design. So, calculation of Vulnerability Propagation Factor (VPF) of a design requires calculation of Vulnerability Propagation due to each vulnerable class in Inheritance hierarchies present in the design. Then, union of Vulnerability Propagation due to each vulnerable class will give overall Vulnerability Propagation in design.</t>
  </si>
  <si>
    <t>332</t>
  </si>
  <si>
    <t>Protection Rate (PR)</t>
  </si>
  <si>
    <t>It expresses the efficiency of security mechanisms. Percentage of the known vulnerabilities protected by a given security mechanism. It is based on the Attack Surface metric. PR = (1 - AttackSurfaceEvaluatedSystem / AttackSurfaceReferenceSystem) * 100</t>
  </si>
  <si>
    <t>This metric was developed specificaly for OSGi platform, but I think it can be adapted to be applied to embedded systems</t>
  </si>
  <si>
    <t>335</t>
  </si>
  <si>
    <t>Social Engineering Resistance (SER)</t>
  </si>
  <si>
    <t>SER = &lt;SERlow, SERhigh&gt;; SERlow = (1 − (P + N − A)/N) ∗ 100; SERhigh = (1 − P/N) ∗ 100; where N is the number of individuals selected or invited to take part in the experiment; A is the number of active participants; P is the total number of valid password/username pairs obtained during the experiment</t>
  </si>
  <si>
    <t>Social engineering cannot be applied to a device</t>
  </si>
  <si>
    <t>336</t>
  </si>
  <si>
    <t>Structural severity</t>
  </si>
  <si>
    <t>RISK</t>
  </si>
  <si>
    <t>Measure that uses software attributes to evaluate the risk of an attacker reaching a vulnerability location from attack surface entry points. It is measured based on three values: high (reachable from an entry point), medium (reachable from an entry point with no dangerous system calls), low (not reachable from any entry points)</t>
  </si>
  <si>
    <t>361</t>
  </si>
  <si>
    <t>Classified Attributes Total (CAT)</t>
  </si>
  <si>
    <t>The total number of classified attributes in the program</t>
  </si>
  <si>
    <t>362</t>
  </si>
  <si>
    <t>Classified Methods Total (CMT)</t>
  </si>
  <si>
    <t>The total number of classified methods in the program</t>
  </si>
  <si>
    <t>366</t>
  </si>
  <si>
    <t>Count of Base Classes (CBC)</t>
  </si>
  <si>
    <t>Number of base classes</t>
  </si>
  <si>
    <t>367</t>
  </si>
  <si>
    <t>Critical Classes Total (CCT)</t>
  </si>
  <si>
    <t>The total number of critical classes in the program</t>
  </si>
  <si>
    <t>378</t>
  </si>
  <si>
    <t>Number of Design Decisions Related to Security (NDD)</t>
  </si>
  <si>
    <t>The proposed metric aims at assessing the number of design decisions that address the security requirements of the system. During the design phase, it is common to end up with multiple solutions to the same problem. Software engineers make many design decisions in order to choose among alternative design solutions.</t>
  </si>
  <si>
    <t>380</t>
  </si>
  <si>
    <t>Number of elicited security use cases *</t>
  </si>
  <si>
    <t>What is the number of elicited security use cases? # Elicited Security Use Cases</t>
  </si>
  <si>
    <t>MANUAL</t>
  </si>
  <si>
    <t>381</t>
  </si>
  <si>
    <t>Number of excluded security requirements that ensure session handling *</t>
  </si>
  <si>
    <t>Is session identifier created on server side? Is new session identifier assigned to user on authentication? Is session identifier changed on reauthentication? Is logout option provided for all operations that require authentication? Is session identifier cancelled when authenticated user logs out? Is session identifier killed after a period of time without any actions? Is user’s authenticated session identifier protected via secure data transmission protocol?</t>
  </si>
  <si>
    <t>382</t>
  </si>
  <si>
    <t>Number of excluded security requirements that put the system at risk of possible attacks *</t>
  </si>
  <si>
    <t>Summation of the excluded security requirements that put the system at risk</t>
  </si>
  <si>
    <t>383</t>
  </si>
  <si>
    <t>Number of global variables *</t>
  </si>
  <si>
    <t>384</t>
  </si>
  <si>
    <t>Number of identified misuse cases *</t>
  </si>
  <si>
    <t>What is the number of misuse cases found? # Misuse Cases</t>
  </si>
  <si>
    <t>390</t>
  </si>
  <si>
    <t>Number of return points in the method</t>
  </si>
  <si>
    <t>391</t>
  </si>
  <si>
    <t>Number of Security Algorithms (NSA)</t>
  </si>
  <si>
    <t>Number of security algorithms that are supported by the application</t>
  </si>
  <si>
    <t>If the design is available, it can be applied, but this metric can be used in finals stages of the development life-cycle</t>
  </si>
  <si>
    <t>392</t>
  </si>
  <si>
    <t>Number of Security Incidents Reported (NSR)</t>
  </si>
  <si>
    <t>Number of incidents related to security that are reported by the users of the system</t>
  </si>
  <si>
    <t>By definition, the values of this metric are collectec by the user. Son it can't be used in the valuation</t>
  </si>
  <si>
    <t>393</t>
  </si>
  <si>
    <t>Number of Security Requirements (NSR) *</t>
  </si>
  <si>
    <t>Number of security requirements identified during the analysis phase of the application</t>
  </si>
  <si>
    <t>394</t>
  </si>
  <si>
    <t>Number of sub classes</t>
  </si>
  <si>
    <t>395</t>
  </si>
  <si>
    <t>NumFunctions</t>
  </si>
  <si>
    <t>400</t>
  </si>
  <si>
    <t>Response set for a Class (RFC)</t>
  </si>
  <si>
    <t>Set of methods that can potentially be executed in response to a message received by an object of that class. RFC is simply the number of methods in the set, including inherited methods</t>
  </si>
  <si>
    <t>402</t>
  </si>
  <si>
    <t>Stall Ratio</t>
  </si>
  <si>
    <t>Stall ratio is a measure of how much a program’s progress is impeded by frivolous activities. stall ratio = (lines of non-progressive statements in a loop) / (total lines in the loop)</t>
  </si>
  <si>
    <t>409</t>
  </si>
  <si>
    <t>Comment ratio</t>
  </si>
  <si>
    <t>Ratio of number of comment lines to number of code lines</t>
  </si>
  <si>
    <t>411</t>
  </si>
  <si>
    <t>Compartmentalization</t>
  </si>
  <si>
    <t>Compartmentalization means that systems and their components run in different compartments, isolated from each other. Thus a compromise of any of them does not impact the others. This metric can be measured as the number of independent components that do not trust each other (performs authentication and authorization for requests/calls coming from other system components) that the system is based on to deliver its function. The higher the compartmentalization value, the more secure the system</t>
  </si>
  <si>
    <t>415</t>
  </si>
  <si>
    <t>Defense-In-Depth</t>
  </si>
  <si>
    <t>This metric verifies that security controls are used at different points in the system chain including network security, host security, and application security. Components that have critical data should employ security controls in the network, host, and component layers. To assess this metric we need to capture system architecture and deployment models as well as the security architecture model. Then we can calculate the ratio of components with critical data that apply the layered security principle compared to number of critical components</t>
  </si>
  <si>
    <t>I am not sure if this metric can be applied to embedded software, or at verification phases</t>
  </si>
  <si>
    <t>417</t>
  </si>
  <si>
    <t>Fail Securely</t>
  </si>
  <si>
    <t>The system does not disclose any data that should not be disclosed ordinarily at system failure. This includes system data as well as data about the system in case of exceptions. This metric can be evaluated from the security control responses – i.e. how the control behaves in case it failed to operate. From the system architecture perspective, we can assess it as the number of critical attributes and methods that can be accessed in a given component. The smaller the metric value, the likely more secure the system in case of failure</t>
  </si>
  <si>
    <t>This could be used in evaluation</t>
  </si>
  <si>
    <t>419</t>
  </si>
  <si>
    <t>Inspection Performance Metric (IPM)</t>
  </si>
  <si>
    <t>TESTER</t>
  </si>
  <si>
    <t>It measures the performance of the people during the inspection process using the aforementioned parameters. # defects captured by inspection process /inspection effort</t>
  </si>
  <si>
    <t>This metric is related to the tester</t>
  </si>
  <si>
    <t>421</t>
  </si>
  <si>
    <t>423</t>
  </si>
  <si>
    <t>Least Privilege</t>
  </si>
  <si>
    <t>This metric states that each component and user should be granted the minimal privileges required to complete their tasks. This metric can be assessed from two perspectives: from the security controls perspective we can review users’ granted privileges. From the architectural analysis perspective this can be assessed as how the system is broken down to minimal possible actions i.e. the number of components that can access critical data. The smaller the value, the more secure the system</t>
  </si>
  <si>
    <t>431</t>
  </si>
  <si>
    <t>Trustworthiness</t>
  </si>
  <si>
    <t>Trustworthiness of software means its worthy of being trusted to fulfill requirements which may be needed for a particular software component, application, system, or network. It involves attributes of stability, data security, quality, privacy, safety and so on. Software trustworthiness is interrelated with not only risk control in the software process, but also the quality management of the software development process. Furthermore, vision is needed to avoid excessive costs and schedule delays in development and risks management costs in operation; to improve development efforts; and above all</t>
  </si>
  <si>
    <t>433</t>
  </si>
  <si>
    <t>Variable Security Vulnerability</t>
  </si>
  <si>
    <t>The security vulnerability of a variable v@l is determined by the combined security damage it might cause to the overall system security when v@l is attacked. The more security properties that can be left intact, the less vulnerable the variable is; on the other hand, the more security properties are violated, the more criticall the variable is.</t>
  </si>
  <si>
    <t>This is only applicable if the source code is available</t>
  </si>
  <si>
    <t>435</t>
  </si>
  <si>
    <t>Vulnerability Free Days (VFD)</t>
  </si>
  <si>
    <t>Percent of days in which the vendor’s queue of reported vulnerabilities for the product is empty</t>
  </si>
  <si>
    <t>This metric is not suitable for the evaluation phase</t>
  </si>
  <si>
    <t>437</t>
  </si>
  <si>
    <t>Average Active Vulnerabilities per day (AAV)</t>
  </si>
  <si>
    <t>Median number of software vulnerabilities which are known to the vendor of a particular piece of software but for which patch has been publicly released by the vendor</t>
  </si>
  <si>
    <t>439</t>
  </si>
  <si>
    <t>BrokenAccountCount</t>
  </si>
  <si>
    <t>Number of accounts that have no activity for more than 90 days and will never expire. Such accounts represent a clear risk of password compromise and resulting illegal access.</t>
  </si>
  <si>
    <t>449</t>
  </si>
  <si>
    <t>Faults found during manual inspection</t>
  </si>
  <si>
    <t>It is related to software and it can be applied to embedded software</t>
  </si>
  <si>
    <t>458</t>
  </si>
  <si>
    <t>Number of Design Flaws Related to Security (NSDF)</t>
  </si>
  <si>
    <t>Security-related design flaws occur when software is planned and specified without proper consideration of security requirements and principles. For instance, clear-text passwords are considered as design flaws. Design flaws can be detected using design inspection techniques (e.g., design reviews). Identifying the number of design flaws related to security can help detect security issues earlier in the design process</t>
  </si>
  <si>
    <t>459</t>
  </si>
  <si>
    <t>Number of Exceptions That Have Been Implemented to Handle Execution Failures Related to Security (NEX)</t>
  </si>
  <si>
    <t>Number of exceptions that have been included in the code to handle possible failures of the system due to an error in a code segment that has an impact on security</t>
  </si>
  <si>
    <t>460</t>
  </si>
  <si>
    <t>Number of excluded security requirements that ensure input/output handling</t>
  </si>
  <si>
    <t>Is a specific encoding scheme defined for all inputs? Is a process of canonicalization applied to all inputs? Is an appropriate validation defined and applied to all inputs, in terms of type, length, format/syntax and range? Is a whitelist Filtering approach is applied to all inputs? Are all the validations performed on the client and server side? Is all unsuccessful input handling rejected with an error message? Is all unsuccessful input handling logged? Is output data to the client filtered and encoded? Is output encoding performed on server side?</t>
  </si>
  <si>
    <t>462</t>
  </si>
  <si>
    <t>Number of Implementation Errors Found in the System (NERR)</t>
  </si>
  <si>
    <t>Number of implementation errors of the system</t>
  </si>
  <si>
    <t>Related to the implementation phase</t>
  </si>
  <si>
    <t>463</t>
  </si>
  <si>
    <t>Number of Implementation Errors Related to Security (NSERR)</t>
  </si>
  <si>
    <t>Number of implementation errors of the system that have a direct impact on security. One of the most common security related implementation errors is the buffer overflow</t>
  </si>
  <si>
    <t>464</t>
  </si>
  <si>
    <t>Number of Omitted Exceptions for Handling Execution Failures Related to Security (NOEX)</t>
  </si>
  <si>
    <t>Number of missing exceptions that have been omitted by software engineers when implementing the system. These exceptions can easily be determined through testing techniques.</t>
  </si>
  <si>
    <t>465</t>
  </si>
  <si>
    <t>Number of Omitted Security Requirements (NOSR)</t>
  </si>
  <si>
    <t>Number of requirements that should have been considered when building the application</t>
  </si>
  <si>
    <t>471</t>
  </si>
  <si>
    <t>Number of violations of the LP principle</t>
  </si>
  <si>
    <t>Number of violations of the Least Privilege principle. A component does not adhere to LP if it, based upon the permissions attributed as described before, is capable of executing tasks it is not responsible for</t>
  </si>
  <si>
    <t>AUTOCATIC*</t>
  </si>
  <si>
    <t>This could be used in embedded systems</t>
  </si>
  <si>
    <t>473</t>
  </si>
  <si>
    <t>Percentage Software Hazards (PSH)</t>
  </si>
  <si>
    <t>Comparing the number of software hazards identified against historical data, it indicates the sufficiency of the software hazard identification based on the identified hazards. (# software hazards / # System hazards ) * 100</t>
  </si>
  <si>
    <t>SÍ</t>
  </si>
  <si>
    <t>480</t>
  </si>
  <si>
    <t>Static analysis alert count (number of)</t>
  </si>
  <si>
    <t>488</t>
  </si>
  <si>
    <t>Vulnerability Density</t>
  </si>
  <si>
    <t>Number of vulnerabilities in the unit size of a code. VD = size of the software / # vulnerabilities in the system</t>
  </si>
  <si>
    <t>490</t>
  </si>
  <si>
    <t>XsiteVulnCount</t>
  </si>
  <si>
    <t>It is obtained via a penetration-testing tools</t>
  </si>
  <si>
    <t>It is not clearly defined</t>
  </si>
  <si>
    <t>494</t>
  </si>
  <si>
    <t>Security metrics of Arithmetic Expression</t>
  </si>
  <si>
    <t>The security flaws of arithmetic expression include divide by zero, overflow of arithmetic operation, misused data type of arithmetic expression, and truncation error of arithmetic operation</t>
  </si>
  <si>
    <t>This is not a metric, but a group of them. Individually, they could be used if they are specified. Part of a checklist</t>
  </si>
  <si>
    <t>495</t>
  </si>
  <si>
    <t>Security Metrics of Array Index</t>
  </si>
  <si>
    <t>The security flaws of array index include index out of range, incorrect index variable and uncontrollable array index</t>
  </si>
  <si>
    <t>496</t>
  </si>
  <si>
    <t>Security Metrics of Component Interfaces</t>
  </si>
  <si>
    <t>The security flaws of component interface include inconsistent parameter numbers, inconsistent data types, and inconsistent size of data types</t>
  </si>
  <si>
    <t>497</t>
  </si>
  <si>
    <t>Security Metrics of Control Operation</t>
  </si>
  <si>
    <t>The security flaws of control operations include infinite loop, deadlock situations and boundary defects</t>
  </si>
  <si>
    <t>498</t>
  </si>
  <si>
    <t>Security Metrics of I/O Management</t>
  </si>
  <si>
    <t>File is an important media which can store critical information and record log data. However, file privilege definition, file access management, file contents, file organization and file size are major factors to affect the security software operation</t>
  </si>
  <si>
    <t>499</t>
  </si>
  <si>
    <t>Security Metrics of Input Format</t>
  </si>
  <si>
    <t>The security flaws of data format include mismatched data contents, mismatched data type, mismatch data volume</t>
  </si>
  <si>
    <t>500</t>
  </si>
  <si>
    <t>Security Metrics of Kernel Operation</t>
  </si>
  <si>
    <t>A released software system must be adapted to a suitable operating system and environment. The kernel of operating system and environment become a critical factor to affect the operating security of software system. Resource management, execution file protection, main memory control and process scheduling are major tasks of operating system. The security flaws, which embedded in the tasks of operating system, become high security risk for software system operation</t>
  </si>
  <si>
    <t>This is not a metric, but a group of them. Individually, they could be used if they are specified. Checklist. Only when there is an OS</t>
  </si>
  <si>
    <t>501</t>
  </si>
  <si>
    <t>Security Metrics of Network Environment</t>
  </si>
  <si>
    <t>Network environment is a critical tool in the e-commerce years. However, data transmission management, remote access control, and transmission contents always become the security holes of software system operation</t>
  </si>
  <si>
    <t>This is not a metric, but a group of them. Individually, they could be used if they are specified</t>
  </si>
  <si>
    <t>502</t>
  </si>
  <si>
    <t>Security Metrics of Resources Allocation</t>
  </si>
  <si>
    <t>The security flaws of resource allocation include exhausted memory, unreleased memory exhausted resources, and unreleased resources</t>
  </si>
  <si>
    <t>503</t>
  </si>
  <si>
    <t>Security Metrics of User Authority</t>
  </si>
  <si>
    <t>Many users may use the released system to do specific jobs. However, user privilege definition, user password management and user detailed information maintenance are important tasks to control and manage the user authority. Without user authority control and management, the operation environment of software system will be on high security risk</t>
  </si>
  <si>
    <t>526</t>
  </si>
  <si>
    <t>Kolmogorov Complexity</t>
  </si>
  <si>
    <t>COUNTING OCCURENCE OF DIFFERENT TYPES OF METRICS</t>
  </si>
  <si>
    <t>COUNTING OCCURENCE OF DYN/STAT</t>
  </si>
  <si>
    <t>After filtering</t>
  </si>
  <si>
    <t>After validation</t>
  </si>
  <si>
    <t>NUMERO METRICHE PER OGNI PASSAGGIO</t>
  </si>
  <si>
    <t>After WD Step</t>
  </si>
  <si>
    <t>After P Step</t>
  </si>
  <si>
    <t>After R Step (final)</t>
  </si>
  <si>
    <t>CSSM</t>
  </si>
  <si>
    <t>Type</t>
  </si>
  <si>
    <t>C</t>
  </si>
  <si>
    <t>I</t>
  </si>
  <si>
    <t>A</t>
  </si>
  <si>
    <t>PAPER Future Internet</t>
  </si>
  <si>
    <t>https://ieeexplore.ieee.org/stamp/stamp.jsp?tp=&amp;arnumber=6596425</t>
  </si>
  <si>
    <t>IN-CONTROLLER</t>
  </si>
  <si>
    <t>Help on prioritizing vulnerabilities with more potential impact</t>
  </si>
  <si>
    <t>Make inference to assess impact</t>
  </si>
  <si>
    <t>The attack surface represent how big is the set of elements that need protection</t>
  </si>
  <si>
    <t>https://link.springer.com/chapter/10.1007/978-3-540-89173-4_21</t>
  </si>
  <si>
    <t>Need of an IDS and a dataset to have the ground truth</t>
  </si>
  <si>
    <t>IN-CONTROLLER / IN-SWITCH?</t>
  </si>
  <si>
    <t>come migliora se separo ot e it</t>
  </si>
  <si>
    <t>Do not consider detection mechanism's effectiveness</t>
  </si>
  <si>
    <t>Measures the fraction of computers successfully infected or attacked at least once during a period of time and the number of record breached during the data breach</t>
  </si>
  <si>
    <t>It gives an overview on incident trends and impacts</t>
  </si>
  <si>
    <t>Difficult to evaluate in certain cases</t>
  </si>
  <si>
    <t>It is the normalized metric of I(I, O) with respect to H(I) based on the base rate where I is the input to the IDS as a stream of 0/1 random variables (0 for benign/normal and 1 for malicious/abnormal), O is the output of the IDS as a stream of 0/1 random variables (0 for no alert or normal; 1 for alert / abnormal), H(I) and H(O), respectively, denote the entropy of I and O, and I(I, O) = H(I) − H(I\O) is the mutual information between I and O.</t>
  </si>
  <si>
    <t>Need of an IDS. Data can also be retrieved during pentest</t>
  </si>
  <si>
    <t xml:space="preserve">https://dl.acm.org/doi/10.1145/1128817.1128834 </t>
  </si>
  <si>
    <t>https://people.engr.tamu.edu/guofei/paper/Gu_CoCTR05_cid.pdf</t>
  </si>
  <si>
    <t>Mean and Normalised Mean of Attack Path Lengths (MPL)</t>
  </si>
  <si>
    <t xml:space="preserve">The average of all path lengths. </t>
  </si>
  <si>
    <t>It gives the expected effort that an attacker may use to breach a network policy</t>
  </si>
  <si>
    <t>It requires an Attack Graph</t>
  </si>
  <si>
    <t>It requires an Attack Graph, sometimes could be difficult to evaluate</t>
  </si>
  <si>
    <t>https://ieeexplore.ieee.org/stamp/stamp.jsp?tp=&amp;arnumber=4446698</t>
  </si>
  <si>
    <t xml:space="preserve">It gives the expected effort that an attacker may use to breach the network </t>
  </si>
  <si>
    <t>The more hosts are available with the possibility to gain user or even admin privileges, the more the system is insecure</t>
  </si>
  <si>
    <t>It depends on attacker's capabilities</t>
  </si>
  <si>
    <t>The more paths are available, the more the system is insecure</t>
  </si>
  <si>
    <t>https://ieeexplore.ieee.org/abstract/document/7378495?casa_token=ljC9XN0gaI4AAAAA:NxfHrEqvCAqWnRulSVKSeN6_pZ3FYd4-HCQb80aezajOwVs2T6Fzp_c01RgZyP6tHzj22w</t>
  </si>
  <si>
    <t>IN-CONTROLLER / IN-SWITCH</t>
  </si>
  <si>
    <t>Relative effectiveness</t>
  </si>
  <si>
    <t>The return can motivate companies to invest more in security</t>
  </si>
  <si>
    <t>Sometimes it's difficult to estimate correctly the gain from investments</t>
  </si>
  <si>
    <t>The security risk from changes to the system without notification to the security group is, on average, worse than for changes that are announced in a well managed system.</t>
  </si>
  <si>
    <t>This count should include all the machines</t>
  </si>
  <si>
    <t>Understand if there is enough noise to make Side Channel attack more difficult</t>
  </si>
  <si>
    <t>Need to estimates the oracle and side-channel to make the Similarity Matrix and compare the patterns.</t>
  </si>
  <si>
    <t>Standand Deviation and Mode of Path Lengths (SDPL and MoPL)</t>
  </si>
  <si>
    <t>SDPL is used to determine the attack paths of interest and MoPL to find the attack path length that occurs most frequently</t>
  </si>
  <si>
    <t>It can drive towards the fix of the most critical paths: the more, the less the system is secure</t>
  </si>
  <si>
    <t>Aggregating scores from CVSS for the overall system, identifying all the (well-known) vulnerabilities on hosts</t>
  </si>
  <si>
    <t>dyn/stat</t>
  </si>
  <si>
    <t>Average time that vulnerabilities are present in the system</t>
  </si>
  <si>
    <t>Not feasible to calculate</t>
  </si>
  <si>
    <t>It estimates the fraction of blacklisted IP addresses in a network</t>
  </si>
  <si>
    <t>Maximum dollar value of the damage/loss that could be inflicted by malicious personnel via a compromised control system</t>
  </si>
  <si>
    <t>Estimation, not easy to do and very subjective</t>
  </si>
  <si>
    <t>No - ok network ma non ha senso in ind sys</t>
  </si>
  <si>
    <t>Average number of computers that can be infected by a compromised computer (per time unit) at the early stage of spreading</t>
  </si>
  <si>
    <t>No - non è completa non considerando le vulnerabilità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</si>
</sst>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
      <sz val="14"/>
      <color theme="1"/>
      <name val="Calibri"/>
      <family val="2"/>
      <scheme val="minor"/>
    </font>
    <font>
      <b/>
      <sz val="14"/>
      <color rgb="FFFF0000"/>
      <name val="Calibri"/>
      <family val="2"/>
      <scheme val="minor"/>
    </font>
    <font>
      <b/>
      <sz val="18"/>
      <color theme="1"/>
      <name val="Calibri"/>
      <family val="2"/>
      <scheme val="minor"/>
    </font>
    <font>
      <sz val="16"/>
      <color theme="1"/>
      <name val="Calibri"/>
      <family val="2"/>
      <scheme val="minor"/>
    </font>
    <font>
      <b/>
      <sz val="16"/>
      <color rgb="FF000000"/>
      <name val="Calibri"/>
      <family val="2"/>
    </font>
    <font>
      <b/>
      <sz val="18"/>
      <color rgb="FF375623"/>
      <name val="Calibri"/>
      <family val="2"/>
      <scheme val="minor"/>
    </font>
    <font>
      <b/>
      <sz val="14"/>
      <color rgb="FF000000"/>
      <name val="Calibri"/>
      <family val="2"/>
      <scheme val="minor"/>
    </font>
    <font>
      <u/>
      <sz val="12"/>
      <color theme="10"/>
      <name val="Calibri"/>
      <family val="2"/>
      <scheme val="minor"/>
    </font>
    <font>
      <sz val="16"/>
      <color rgb="FF000000"/>
      <name val="Calibri"/>
      <family val="2"/>
    </font>
    <font>
      <sz val="18"/>
      <color theme="1"/>
      <name val="Calibri"/>
      <family val="2"/>
      <scheme val="minor"/>
    </font>
    <font>
      <b/>
      <sz val="24"/>
      <color theme="1"/>
      <name val="Calibri"/>
      <family val="2"/>
      <scheme val="minor"/>
    </font>
    <font>
      <sz val="14"/>
      <color rgb="FFC00000"/>
      <name val="Calibri"/>
      <family val="2"/>
      <scheme val="minor"/>
    </font>
    <font>
      <sz val="12"/>
      <color theme="1"/>
      <name val="Calibri"/>
      <family val="2"/>
      <scheme val="minor"/>
    </font>
    <font>
      <b/>
      <sz val="12"/>
      <color rgb="FF000000"/>
      <name val="Calibri"/>
      <family val="2"/>
      <scheme val="minor"/>
    </font>
    <font>
      <b/>
      <sz val="12"/>
      <color theme="1"/>
      <name val="Georgia"/>
    </font>
    <font>
      <sz val="12"/>
      <color theme="1"/>
      <name val="Georgia"/>
    </font>
  </fonts>
  <fills count="16">
    <fill>
      <patternFill patternType="none"/>
    </fill>
    <fill>
      <patternFill patternType="gray125"/>
    </fill>
    <fill>
      <patternFill patternType="solid">
        <fgColor theme="3" tint="0.59999389629810485"/>
        <bgColor indexed="64"/>
      </patternFill>
    </fill>
    <fill>
      <patternFill patternType="solid">
        <fgColor rgb="FFFFF695"/>
        <bgColor indexed="64"/>
      </patternFill>
    </fill>
    <fill>
      <patternFill patternType="solid">
        <fgColor rgb="FFFFF695"/>
        <bgColor rgb="FF000000"/>
      </patternFill>
    </fill>
    <fill>
      <patternFill patternType="solid">
        <fgColor theme="5" tint="-0.249977111117893"/>
        <bgColor indexed="64"/>
      </patternFill>
    </fill>
    <fill>
      <patternFill patternType="solid">
        <fgColor rgb="FF690000"/>
        <bgColor indexed="64"/>
      </patternFill>
    </fill>
    <fill>
      <patternFill patternType="solid">
        <fgColor rgb="FF833C0C"/>
        <bgColor indexed="64"/>
      </patternFill>
    </fill>
    <fill>
      <patternFill patternType="solid">
        <fgColor rgb="FFFFD966"/>
        <bgColor indexed="64"/>
      </patternFill>
    </fill>
    <fill>
      <patternFill patternType="solid">
        <fgColor rgb="FF808080"/>
        <bgColor indexed="64"/>
      </patternFill>
    </fill>
    <fill>
      <patternFill patternType="solid">
        <fgColor rgb="FFF2F2F2"/>
        <bgColor indexed="64"/>
      </patternFill>
    </fill>
    <fill>
      <patternFill patternType="solid">
        <fgColor theme="4" tint="0.79998168889431442"/>
        <bgColor indexed="64"/>
      </patternFill>
    </fill>
    <fill>
      <patternFill patternType="solid">
        <fgColor rgb="FFFFFFFF"/>
        <bgColor indexed="64"/>
      </patternFill>
    </fill>
    <fill>
      <patternFill patternType="solid">
        <fgColor rgb="FFD9E1F2"/>
        <bgColor indexed="64"/>
      </patternFill>
    </fill>
    <fill>
      <patternFill patternType="solid">
        <fgColor theme="4" tint="0.59999389629810485"/>
        <bgColor indexed="64"/>
      </patternFill>
    </fill>
    <fill>
      <patternFill patternType="solid">
        <fgColor rgb="FFDCE6F1"/>
        <bgColor rgb="FF000000"/>
      </patternFill>
    </fill>
  </fills>
  <borders count="14">
    <border>
      <left/>
      <right/>
      <top/>
      <bottom/>
      <diagonal/>
    </border>
    <border>
      <left/>
      <right/>
      <top/>
      <bottom style="thin">
        <color indexed="64"/>
      </bottom>
      <diagonal/>
    </border>
    <border>
      <left style="thin">
        <color rgb="FFD9D9D9"/>
      </left>
      <right style="thin">
        <color rgb="FFD9D9D9"/>
      </right>
      <top style="thin">
        <color rgb="FFD9D9D9"/>
      </top>
      <bottom style="thin">
        <color rgb="FFD9D9D9"/>
      </bottom>
      <diagonal/>
    </border>
    <border>
      <left style="thin">
        <color rgb="FFE7E6E6"/>
      </left>
      <right/>
      <top/>
      <bottom style="thin">
        <color rgb="FFE7E6E6"/>
      </bottom>
      <diagonal/>
    </border>
    <border>
      <left style="thin">
        <color rgb="FFE7E6E6"/>
      </left>
      <right/>
      <top style="thin">
        <color rgb="FFE7E6E6"/>
      </top>
      <bottom style="thin">
        <color rgb="FFE7E6E6"/>
      </bottom>
      <diagonal/>
    </border>
    <border>
      <left style="thin">
        <color rgb="FFE7E6E6"/>
      </left>
      <right style="thin">
        <color rgb="FFE7E6E6"/>
      </right>
      <top style="thin">
        <color rgb="FFE7E6E6"/>
      </top>
      <bottom style="thin">
        <color rgb="FFE7E6E6"/>
      </bottom>
      <diagonal/>
    </border>
    <border>
      <left style="thin">
        <color rgb="FFE7E6E6"/>
      </left>
      <right style="thin">
        <color rgb="FFE7E6E6"/>
      </right>
      <top style="thin">
        <color rgb="FFE7E6E6"/>
      </top>
      <bottom/>
      <diagonal/>
    </border>
    <border>
      <left style="thin">
        <color rgb="FFE7E6E6"/>
      </left>
      <right style="thin">
        <color rgb="FFE7E6E6"/>
      </right>
      <top/>
      <bottom style="thin">
        <color rgb="FFE7E6E6"/>
      </bottom>
      <diagonal/>
    </border>
    <border>
      <left/>
      <right/>
      <top/>
      <bottom style="thin">
        <color rgb="FFE7E6E6"/>
      </bottom>
      <diagonal/>
    </border>
    <border>
      <left style="thin">
        <color rgb="FFD0CECE"/>
      </left>
      <right style="thin">
        <color rgb="FFD0CECE"/>
      </right>
      <top style="thin">
        <color rgb="FFD0CECE"/>
      </top>
      <bottom style="thin">
        <color rgb="FFD0CECE"/>
      </bottom>
      <diagonal/>
    </border>
    <border>
      <left style="thin">
        <color rgb="FFD0CECE"/>
      </left>
      <right/>
      <top style="thin">
        <color rgb="FFD0CECE"/>
      </top>
      <bottom/>
      <diagonal/>
    </border>
    <border>
      <left/>
      <right style="thin">
        <color rgb="FFD0CECE"/>
      </right>
      <top style="thin">
        <color rgb="FFD0CECE"/>
      </top>
      <bottom/>
      <diagonal/>
    </border>
    <border>
      <left/>
      <right style="thin">
        <color rgb="FFD0CECE"/>
      </right>
      <top/>
      <bottom style="thin">
        <color rgb="FFD0CECE"/>
      </bottom>
      <diagonal/>
    </border>
    <border>
      <left style="thin">
        <color rgb="FFD0CECE"/>
      </left>
      <right/>
      <top style="thin">
        <color rgb="FFD0CECE"/>
      </top>
      <bottom style="thin">
        <color rgb="FFD0CECE"/>
      </bottom>
      <diagonal/>
    </border>
  </borders>
  <cellStyleXfs count="3">
    <xf numFmtId="0" fontId="0" fillId="0" borderId="0"/>
    <xf numFmtId="0" fontId="11" fillId="0" borderId="0" applyNumberFormat="0" applyFill="0" applyBorder="0" applyAlignment="0" applyProtection="0"/>
    <xf numFmtId="9" fontId="16" fillId="0" borderId="0" applyFont="0" applyFill="0" applyBorder="0" applyAlignment="0" applyProtection="0"/>
  </cellStyleXfs>
  <cellXfs count="99">
    <xf numFmtId="0" fontId="0" fillId="0" borderId="0" xfId="0"/>
    <xf numFmtId="0" fontId="0" fillId="0" borderId="0" xfId="0" applyAlignment="1">
      <alignment horizontal="center"/>
    </xf>
    <xf numFmtId="0" fontId="0" fillId="0" borderId="0" xfId="0" applyAlignment="1">
      <alignment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3" fillId="0" borderId="0" xfId="0" applyFont="1"/>
    <xf numFmtId="0" fontId="4" fillId="3" borderId="0" xfId="0" applyFont="1" applyFill="1" applyAlignment="1">
      <alignment horizontal="center" vertical="center" wrapText="1"/>
    </xf>
    <xf numFmtId="0" fontId="3" fillId="3" borderId="0" xfId="0" applyFont="1" applyFill="1" applyAlignment="1">
      <alignment horizontal="center" vertical="center" wrapText="1"/>
    </xf>
    <xf numFmtId="0" fontId="6" fillId="3" borderId="0" xfId="0" applyFont="1" applyFill="1" applyAlignment="1">
      <alignment horizontal="center" vertical="center" wrapText="1"/>
    </xf>
    <xf numFmtId="0" fontId="0" fillId="3" borderId="0" xfId="0" applyFill="1"/>
    <xf numFmtId="0" fontId="11" fillId="0" borderId="0" xfId="1" applyAlignment="1">
      <alignment horizontal="center" vertical="center" wrapText="1"/>
    </xf>
    <xf numFmtId="0" fontId="11" fillId="3" borderId="0" xfId="1" applyFill="1" applyAlignment="1">
      <alignment horizontal="center" vertical="center" wrapText="1"/>
    </xf>
    <xf numFmtId="0" fontId="9" fillId="4" borderId="2" xfId="0" applyFont="1" applyFill="1" applyBorder="1" applyAlignment="1">
      <alignment horizontal="center" vertical="center" wrapText="1"/>
    </xf>
    <xf numFmtId="0" fontId="11" fillId="0" borderId="0" xfId="1" applyFill="1" applyAlignment="1">
      <alignment horizontal="center" vertical="center" wrapText="1"/>
    </xf>
    <xf numFmtId="0" fontId="1" fillId="0" borderId="0" xfId="0" applyFont="1" applyAlignment="1">
      <alignment horizontal="center" vertical="center"/>
    </xf>
    <xf numFmtId="0" fontId="12" fillId="2" borderId="1" xfId="0" applyFont="1" applyFill="1" applyBorder="1" applyAlignment="1">
      <alignment horizontal="center" vertical="center" wrapText="1"/>
    </xf>
    <xf numFmtId="0" fontId="13" fillId="0" borderId="0" xfId="0" applyFont="1" applyAlignment="1">
      <alignment horizontal="center" vertical="center" wrapText="1"/>
    </xf>
    <xf numFmtId="0" fontId="4" fillId="5" borderId="0" xfId="0" applyFont="1" applyFill="1" applyAlignment="1">
      <alignment horizontal="center" vertical="center" wrapText="1"/>
    </xf>
    <xf numFmtId="0" fontId="3" fillId="5" borderId="0" xfId="0" applyFont="1" applyFill="1" applyAlignment="1">
      <alignment horizontal="center" vertical="center" wrapText="1"/>
    </xf>
    <xf numFmtId="0" fontId="6" fillId="5" borderId="0" xfId="0" applyFont="1" applyFill="1" applyAlignment="1">
      <alignment horizontal="center" vertical="center" wrapText="1"/>
    </xf>
    <xf numFmtId="0" fontId="0" fillId="5" borderId="0" xfId="0" applyFill="1"/>
    <xf numFmtId="0" fontId="1" fillId="5" borderId="0" xfId="0" applyFont="1" applyFill="1" applyAlignment="1">
      <alignment horizontal="center" vertical="center"/>
    </xf>
    <xf numFmtId="0" fontId="7" fillId="5" borderId="0" xfId="0" applyFont="1" applyFill="1" applyAlignment="1">
      <alignment horizontal="center" vertical="center" wrapText="1"/>
    </xf>
    <xf numFmtId="0" fontId="7" fillId="0" borderId="0" xfId="0" applyFont="1"/>
    <xf numFmtId="0" fontId="4" fillId="6" borderId="0" xfId="0" applyFont="1" applyFill="1" applyAlignment="1">
      <alignment horizontal="center" vertical="center" wrapText="1"/>
    </xf>
    <xf numFmtId="0" fontId="3" fillId="6" borderId="0" xfId="0" applyFont="1" applyFill="1" applyAlignment="1">
      <alignment horizontal="center" vertical="center" wrapText="1"/>
    </xf>
    <xf numFmtId="0" fontId="6" fillId="6" borderId="0" xfId="0" applyFont="1" applyFill="1" applyAlignment="1">
      <alignment horizontal="center" vertical="center" wrapText="1"/>
    </xf>
    <xf numFmtId="0" fontId="0" fillId="6" borderId="0" xfId="0" applyFill="1"/>
    <xf numFmtId="0" fontId="1" fillId="6" borderId="0" xfId="0" applyFont="1" applyFill="1" applyAlignment="1">
      <alignment horizontal="center" vertical="center"/>
    </xf>
    <xf numFmtId="0" fontId="4" fillId="7" borderId="0" xfId="0" applyFont="1" applyFill="1" applyAlignment="1">
      <alignment horizontal="center" vertical="center" wrapText="1"/>
    </xf>
    <xf numFmtId="0" fontId="3" fillId="7" borderId="0" xfId="0" applyFont="1" applyFill="1" applyAlignment="1">
      <alignment horizontal="center" vertical="center" wrapText="1"/>
    </xf>
    <xf numFmtId="0" fontId="6" fillId="7" borderId="0" xfId="0" applyFont="1" applyFill="1" applyAlignment="1">
      <alignment horizontal="center" vertical="center" wrapText="1"/>
    </xf>
    <xf numFmtId="0" fontId="0" fillId="7" borderId="0" xfId="0" applyFill="1"/>
    <xf numFmtId="0" fontId="1" fillId="7" borderId="0" xfId="0" applyFont="1" applyFill="1" applyAlignment="1">
      <alignment horizontal="center" vertical="center"/>
    </xf>
    <xf numFmtId="0" fontId="11" fillId="6" borderId="0" xfId="1" applyFill="1" applyAlignment="1">
      <alignment horizontal="center" vertical="center" wrapText="1"/>
    </xf>
    <xf numFmtId="0" fontId="0" fillId="8" borderId="0" xfId="0" applyFill="1"/>
    <xf numFmtId="0" fontId="11" fillId="7" borderId="0" xfId="1" applyFill="1" applyAlignment="1">
      <alignment horizontal="center" vertical="center" wrapText="1"/>
    </xf>
    <xf numFmtId="0" fontId="9" fillId="4" borderId="0" xfId="0" applyFont="1" applyFill="1" applyAlignment="1">
      <alignment horizontal="center" vertical="center" wrapText="1"/>
    </xf>
    <xf numFmtId="0" fontId="7" fillId="7" borderId="0" xfId="0" applyFont="1" applyFill="1" applyAlignment="1">
      <alignment horizontal="center" vertical="center" wrapText="1"/>
    </xf>
    <xf numFmtId="0" fontId="4" fillId="9" borderId="0" xfId="0" applyFont="1" applyFill="1" applyAlignment="1">
      <alignment horizontal="center" vertical="center" wrapText="1"/>
    </xf>
    <xf numFmtId="0" fontId="3" fillId="9" borderId="0" xfId="0" applyFont="1" applyFill="1" applyAlignment="1">
      <alignment horizontal="center" vertical="center" wrapText="1"/>
    </xf>
    <xf numFmtId="0" fontId="6" fillId="9" borderId="0" xfId="0" applyFont="1" applyFill="1" applyAlignment="1">
      <alignment horizontal="center" vertical="center" wrapText="1"/>
    </xf>
    <xf numFmtId="0" fontId="0" fillId="9" borderId="0" xfId="0" applyFill="1"/>
    <xf numFmtId="0" fontId="1" fillId="9" borderId="0" xfId="0" applyFont="1" applyFill="1" applyAlignment="1">
      <alignment horizontal="center" vertical="center"/>
    </xf>
    <xf numFmtId="0" fontId="0" fillId="0" borderId="2" xfId="0" applyBorder="1"/>
    <xf numFmtId="0" fontId="0" fillId="0" borderId="3" xfId="0" applyBorder="1"/>
    <xf numFmtId="0" fontId="6" fillId="0" borderId="4" xfId="0" applyFont="1" applyBorder="1" applyAlignment="1">
      <alignment horizontal="center" vertical="center" wrapText="1"/>
    </xf>
    <xf numFmtId="0" fontId="0" fillId="0" borderId="4" xfId="0" applyBorder="1"/>
    <xf numFmtId="0" fontId="1" fillId="0" borderId="4" xfId="0" applyFont="1" applyBorder="1" applyAlignment="1">
      <alignment horizontal="center" vertical="center"/>
    </xf>
    <xf numFmtId="0" fontId="11" fillId="12" borderId="5" xfId="1" applyFill="1" applyBorder="1" applyAlignment="1">
      <alignment horizontal="center" vertical="center" wrapText="1"/>
    </xf>
    <xf numFmtId="0" fontId="11" fillId="0" borderId="7" xfId="1" applyBorder="1" applyAlignment="1">
      <alignment horizontal="center" vertical="center" wrapText="1"/>
    </xf>
    <xf numFmtId="0" fontId="1" fillId="0" borderId="8" xfId="0" applyFont="1" applyBorder="1" applyAlignment="1">
      <alignment horizontal="center" vertical="center"/>
    </xf>
    <xf numFmtId="0" fontId="4" fillId="0" borderId="0" xfId="0" applyFont="1" applyAlignment="1">
      <alignment horizontal="center" vertical="center"/>
    </xf>
    <xf numFmtId="0" fontId="11" fillId="7" borderId="6" xfId="1" applyFill="1" applyBorder="1" applyAlignment="1">
      <alignment horizontal="center" vertical="center" wrapText="1"/>
    </xf>
    <xf numFmtId="0" fontId="11" fillId="12" borderId="9" xfId="1" applyFill="1" applyBorder="1" applyAlignment="1">
      <alignment horizontal="center" vertical="center" wrapText="1"/>
    </xf>
    <xf numFmtId="0" fontId="11" fillId="0" borderId="10" xfId="1" applyBorder="1" applyAlignment="1">
      <alignment horizontal="center" vertical="center" wrapText="1"/>
    </xf>
    <xf numFmtId="0" fontId="0" fillId="0" borderId="11" xfId="0" applyBorder="1"/>
    <xf numFmtId="0" fontId="0" fillId="0" borderId="12" xfId="0" applyBorder="1"/>
    <xf numFmtId="0" fontId="1" fillId="0" borderId="13" xfId="0" applyFont="1" applyBorder="1" applyAlignment="1">
      <alignment horizontal="center" vertical="center"/>
    </xf>
    <xf numFmtId="0" fontId="2" fillId="2" borderId="9" xfId="0" applyFont="1" applyFill="1" applyBorder="1" applyAlignment="1">
      <alignment horizontal="center" vertical="center" wrapText="1"/>
    </xf>
    <xf numFmtId="0" fontId="10" fillId="2" borderId="9" xfId="0" applyFont="1" applyFill="1" applyBorder="1" applyAlignment="1">
      <alignment horizontal="center" vertical="center" wrapText="1"/>
    </xf>
    <xf numFmtId="0" fontId="8" fillId="2" borderId="9" xfId="0" applyFont="1" applyFill="1" applyBorder="1" applyAlignment="1">
      <alignment horizontal="center" vertical="center" wrapText="1"/>
    </xf>
    <xf numFmtId="0" fontId="0" fillId="0" borderId="9" xfId="0" applyBorder="1"/>
    <xf numFmtId="0" fontId="4" fillId="0" borderId="9" xfId="0" applyFont="1" applyBorder="1" applyAlignment="1">
      <alignment horizontal="center" vertical="center" wrapText="1"/>
    </xf>
    <xf numFmtId="0" fontId="3" fillId="0" borderId="9" xfId="0" applyFont="1" applyBorder="1" applyAlignment="1">
      <alignment horizontal="center" vertical="center" wrapText="1"/>
    </xf>
    <xf numFmtId="0" fontId="6" fillId="0" borderId="9" xfId="0" applyFont="1" applyBorder="1" applyAlignment="1">
      <alignment horizontal="center" vertical="center" wrapText="1"/>
    </xf>
    <xf numFmtId="0" fontId="1" fillId="0" borderId="9" xfId="0" applyFont="1" applyBorder="1" applyAlignment="1">
      <alignment horizontal="center" vertical="center"/>
    </xf>
    <xf numFmtId="0" fontId="11" fillId="0" borderId="9" xfId="1" applyBorder="1" applyAlignment="1">
      <alignment horizontal="center" vertical="center" wrapText="1"/>
    </xf>
    <xf numFmtId="0" fontId="14" fillId="10" borderId="9" xfId="0" applyFont="1" applyFill="1" applyBorder="1" applyAlignment="1">
      <alignment horizontal="center" vertical="center" wrapText="1"/>
    </xf>
    <xf numFmtId="0" fontId="4" fillId="11" borderId="9" xfId="0" applyFont="1" applyFill="1" applyBorder="1" applyAlignment="1">
      <alignment horizontal="center" vertical="center" wrapText="1"/>
    </xf>
    <xf numFmtId="0" fontId="3" fillId="11" borderId="9" xfId="0" applyFont="1" applyFill="1" applyBorder="1" applyAlignment="1">
      <alignment horizontal="center" vertical="center" wrapText="1"/>
    </xf>
    <xf numFmtId="0" fontId="6" fillId="11" borderId="9" xfId="0" applyFont="1" applyFill="1" applyBorder="1" applyAlignment="1">
      <alignment horizontal="center" vertical="center" wrapText="1"/>
    </xf>
    <xf numFmtId="0" fontId="1" fillId="11" borderId="9" xfId="0" applyFont="1" applyFill="1" applyBorder="1" applyAlignment="1">
      <alignment horizontal="center" vertical="center"/>
    </xf>
    <xf numFmtId="0" fontId="11" fillId="11" borderId="9" xfId="1" applyFill="1" applyBorder="1" applyAlignment="1">
      <alignment horizontal="center" vertical="center" wrapText="1"/>
    </xf>
    <xf numFmtId="0" fontId="11" fillId="10" borderId="9" xfId="1" applyFill="1" applyBorder="1" applyAlignment="1">
      <alignment horizontal="center" vertical="center" wrapText="1"/>
    </xf>
    <xf numFmtId="0" fontId="11" fillId="13" borderId="9" xfId="1" applyFill="1" applyBorder="1" applyAlignment="1">
      <alignment horizontal="center" vertical="center" wrapText="1"/>
    </xf>
    <xf numFmtId="0" fontId="4" fillId="12" borderId="9" xfId="0" applyFont="1" applyFill="1" applyBorder="1" applyAlignment="1">
      <alignment horizontal="center" vertical="center" wrapText="1"/>
    </xf>
    <xf numFmtId="0" fontId="3" fillId="12" borderId="9" xfId="0" applyFont="1" applyFill="1" applyBorder="1" applyAlignment="1">
      <alignment horizontal="center" vertical="center" wrapText="1"/>
    </xf>
    <xf numFmtId="0" fontId="6" fillId="12" borderId="9" xfId="0" applyFont="1" applyFill="1" applyBorder="1" applyAlignment="1">
      <alignment horizontal="center" vertical="center" wrapText="1"/>
    </xf>
    <xf numFmtId="0" fontId="1" fillId="12" borderId="9" xfId="0" applyFont="1" applyFill="1" applyBorder="1" applyAlignment="1">
      <alignment horizontal="center" vertical="center"/>
    </xf>
    <xf numFmtId="0" fontId="15" fillId="12" borderId="9" xfId="0" applyFont="1" applyFill="1" applyBorder="1" applyAlignment="1">
      <alignment horizontal="center" vertical="center" wrapText="1"/>
    </xf>
    <xf numFmtId="0" fontId="0" fillId="0" borderId="0" xfId="0" applyAlignment="1">
      <alignment horizontal="center" vertical="center"/>
    </xf>
    <xf numFmtId="9" fontId="0" fillId="0" borderId="0" xfId="2" applyFont="1"/>
    <xf numFmtId="0" fontId="1" fillId="11" borderId="9" xfId="0" applyFont="1" applyFill="1" applyBorder="1" applyAlignment="1">
      <alignment horizontal="center" vertical="center" wrapText="1"/>
    </xf>
    <xf numFmtId="0" fontId="8" fillId="14" borderId="9" xfId="0" applyFont="1" applyFill="1" applyBorder="1" applyAlignment="1">
      <alignment horizontal="center" vertical="center" wrapText="1"/>
    </xf>
    <xf numFmtId="0" fontId="17" fillId="15" borderId="9" xfId="0" applyFont="1" applyFill="1" applyBorder="1" applyAlignment="1">
      <alignment horizontal="center" vertical="center"/>
    </xf>
    <xf numFmtId="0" fontId="18" fillId="2" borderId="1" xfId="0" applyFont="1" applyFill="1" applyBorder="1" applyAlignment="1">
      <alignment horizontal="center"/>
    </xf>
    <xf numFmtId="0" fontId="19" fillId="0" borderId="0" xfId="0" applyFont="1"/>
    <xf numFmtId="0" fontId="19" fillId="0" borderId="0" xfId="0" applyFont="1" applyAlignment="1">
      <alignment horizontal="center"/>
    </xf>
    <xf numFmtId="9" fontId="19" fillId="0" borderId="0" xfId="2" applyFont="1"/>
    <xf numFmtId="9" fontId="19" fillId="0" borderId="0" xfId="0" applyNumberFormat="1" applyFont="1"/>
  </cellXfs>
  <cellStyles count="3">
    <cellStyle name="Hyperlink" xfId="1" builtinId="8"/>
    <cellStyle name="Normal" xfId="0" builtinId="0"/>
    <cellStyle name="Percent" xfId="2" builtinId="5"/>
  </cellStyles>
  <dxfs count="81">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
      <font>
        <color rgb="FF375623"/>
      </font>
      <fill>
        <patternFill patternType="solid">
          <bgColor rgb="FFE2EFDA"/>
        </patternFill>
      </fill>
      <border>
        <left style="thin">
          <color rgb="FFD9D9D9"/>
        </left>
        <right style="thin">
          <color rgb="FFD9D9D9"/>
        </right>
        <top style="thin">
          <color rgb="FFD9D9D9"/>
        </top>
        <bottom style="thin">
          <color rgb="FFD9D9D9"/>
        </bottom>
      </border>
    </dxf>
    <dxf>
      <font>
        <color rgb="FFC00000"/>
      </font>
      <fill>
        <patternFill patternType="solid">
          <bgColor rgb="FFFCE4D6"/>
        </patternFill>
      </fill>
      <border>
        <left style="thin">
          <color rgb="FFD9D9D9"/>
        </left>
        <right style="thin">
          <color rgb="FFD9D9D9"/>
        </right>
        <top style="thin">
          <color rgb="FFD9D9D9"/>
        </top>
        <bottom style="thin">
          <color rgb="FFD9D9D9"/>
        </bottom>
      </border>
    </dxf>
    <dxf>
      <font>
        <color rgb="FF806000"/>
      </font>
      <fill>
        <patternFill patternType="solid">
          <bgColor rgb="FFFFF2CC"/>
        </patternFill>
      </fill>
      <border>
        <left style="thin">
          <color rgb="FFD9D9D9"/>
        </left>
        <right style="thin">
          <color rgb="FFD9D9D9"/>
        </right>
        <top style="thin">
          <color rgb="FFD9D9D9"/>
        </top>
        <bottom style="thin">
          <color rgb="FFD9D9D9"/>
        </bottom>
      </border>
    </dxf>
  </dxfs>
  <tableStyles count="0" defaultTableStyle="TableStyleMedium9" defaultPivotStyle="PivotStyleMedium4"/>
  <colors>
    <mruColors>
      <color rgb="FF690000"/>
      <color rgb="FFFFF69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a:ea typeface="Georgia"/>
                <a:cs typeface="Georgia"/>
              </a:defRPr>
            </a:pPr>
            <a:r>
              <a:rPr lang="en-US"/>
              <a:t>Distribution of metrics for every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a:ea typeface="Georgia"/>
              <a:cs typeface="Georgia"/>
            </a:defRPr>
          </a:pPr>
          <a:endParaRPr lang="en-US"/>
        </a:p>
      </c:txPr>
    </c:title>
    <c:autoTitleDeleted val="0"/>
    <c:plotArea>
      <c:layout/>
      <c:barChart>
        <c:barDir val="col"/>
        <c:grouping val="clustered"/>
        <c:varyColors val="0"/>
        <c:ser>
          <c:idx val="1"/>
          <c:order val="0"/>
          <c:tx>
            <c:v>Initial set</c:v>
          </c:tx>
          <c:spPr>
            <a:solidFill>
              <a:schemeClr val="accent2"/>
            </a:solidFill>
            <a:ln>
              <a:noFill/>
            </a:ln>
            <a:effectLst/>
          </c:spPr>
          <c:invertIfNegative val="0"/>
          <c:cat>
            <c:strRef>
              <c:f>TUTTE!$B$286:$B$289</c:f>
              <c:strCache>
                <c:ptCount val="4"/>
                <c:pt idx="0">
                  <c:v>Vulnerability</c:v>
                </c:pt>
                <c:pt idx="1">
                  <c:v>Defense</c:v>
                </c:pt>
                <c:pt idx="2">
                  <c:v>Situation</c:v>
                </c:pt>
                <c:pt idx="3">
                  <c:v>Attack</c:v>
                </c:pt>
              </c:strCache>
            </c:strRef>
          </c:cat>
          <c:val>
            <c:numRef>
              <c:f>TUTTE!$D$286:$D$289</c:f>
              <c:numCache>
                <c:formatCode>0%</c:formatCode>
                <c:ptCount val="4"/>
                <c:pt idx="0">
                  <c:v>0.58273381294964033</c:v>
                </c:pt>
                <c:pt idx="1">
                  <c:v>0.14748201438848921</c:v>
                </c:pt>
                <c:pt idx="2">
                  <c:v>0.17625899280575538</c:v>
                </c:pt>
                <c:pt idx="3">
                  <c:v>9.3525179856115109E-2</c:v>
                </c:pt>
              </c:numCache>
            </c:numRef>
          </c:val>
          <c:extLst>
            <c:ext xmlns:c16="http://schemas.microsoft.com/office/drawing/2014/chart" uri="{C3380CC4-5D6E-409C-BE32-E72D297353CC}">
              <c16:uniqueId val="{00000016-C86A-4A5E-AED3-D86E17E244F5}"/>
            </c:ext>
          </c:extLst>
        </c:ser>
        <c:ser>
          <c:idx val="2"/>
          <c:order val="1"/>
          <c:tx>
            <c:v>After filtering</c:v>
          </c:tx>
          <c:spPr>
            <a:solidFill>
              <a:schemeClr val="accent3"/>
            </a:solidFill>
            <a:ln>
              <a:noFill/>
            </a:ln>
            <a:effectLst/>
          </c:spPr>
          <c:invertIfNegative val="0"/>
          <c:cat>
            <c:strRef>
              <c:f>TUTTE!$B$286:$B$289</c:f>
              <c:strCache>
                <c:ptCount val="4"/>
                <c:pt idx="0">
                  <c:v>Vulnerability</c:v>
                </c:pt>
                <c:pt idx="1">
                  <c:v>Defense</c:v>
                </c:pt>
                <c:pt idx="2">
                  <c:v>Situation</c:v>
                </c:pt>
                <c:pt idx="3">
                  <c:v>Attack</c:v>
                </c:pt>
              </c:strCache>
            </c:strRef>
          </c:cat>
          <c:val>
            <c:numRef>
              <c:f>TUTTE!$E$286:$E$289</c:f>
              <c:numCache>
                <c:formatCode>0%</c:formatCode>
                <c:ptCount val="4"/>
                <c:pt idx="0">
                  <c:v>0.53</c:v>
                </c:pt>
                <c:pt idx="1">
                  <c:v>0.19</c:v>
                </c:pt>
                <c:pt idx="2">
                  <c:v>0.21</c:v>
                </c:pt>
                <c:pt idx="3">
                  <c:v>7.0000000000000007E-2</c:v>
                </c:pt>
              </c:numCache>
            </c:numRef>
          </c:val>
          <c:extLst>
            <c:ext xmlns:c16="http://schemas.microsoft.com/office/drawing/2014/chart" uri="{C3380CC4-5D6E-409C-BE32-E72D297353CC}">
              <c16:uniqueId val="{00000018-C86A-4A5E-AED3-D86E17E244F5}"/>
            </c:ext>
          </c:extLst>
        </c:ser>
        <c:ser>
          <c:idx val="0"/>
          <c:order val="2"/>
          <c:tx>
            <c:v>After Validation</c:v>
          </c:tx>
          <c:spPr>
            <a:solidFill>
              <a:schemeClr val="accent1"/>
            </a:solidFill>
            <a:ln>
              <a:noFill/>
            </a:ln>
            <a:effectLst/>
          </c:spPr>
          <c:invertIfNegative val="0"/>
          <c:cat>
            <c:strRef>
              <c:f>TUTTE!$B$286:$B$289</c:f>
              <c:strCache>
                <c:ptCount val="4"/>
                <c:pt idx="0">
                  <c:v>Vulnerability</c:v>
                </c:pt>
                <c:pt idx="1">
                  <c:v>Defense</c:v>
                </c:pt>
                <c:pt idx="2">
                  <c:v>Situation</c:v>
                </c:pt>
                <c:pt idx="3">
                  <c:v>Attack</c:v>
                </c:pt>
              </c:strCache>
            </c:strRef>
          </c:cat>
          <c:val>
            <c:numRef>
              <c:f>TUTTE!$F$286:$F$289</c:f>
              <c:numCache>
                <c:formatCode>0%</c:formatCode>
                <c:ptCount val="4"/>
                <c:pt idx="0">
                  <c:v>0.44</c:v>
                </c:pt>
                <c:pt idx="1">
                  <c:v>0.25</c:v>
                </c:pt>
                <c:pt idx="2">
                  <c:v>0.25</c:v>
                </c:pt>
                <c:pt idx="3">
                  <c:v>0.06</c:v>
                </c:pt>
              </c:numCache>
            </c:numRef>
          </c:val>
          <c:extLst>
            <c:ext xmlns:c16="http://schemas.microsoft.com/office/drawing/2014/chart" uri="{C3380CC4-5D6E-409C-BE32-E72D297353CC}">
              <c16:uniqueId val="{00000001-5C31-4B20-8B97-FBFCAE06DF4A}"/>
            </c:ext>
          </c:extLst>
        </c:ser>
        <c:dLbls>
          <c:showLegendKey val="0"/>
          <c:showVal val="0"/>
          <c:showCatName val="0"/>
          <c:showSerName val="0"/>
          <c:showPercent val="0"/>
          <c:showBubbleSize val="0"/>
        </c:dLbls>
        <c:gapWidth val="219"/>
        <c:overlap val="-27"/>
        <c:axId val="1443401736"/>
        <c:axId val="1443403784"/>
      </c:barChart>
      <c:catAx>
        <c:axId val="1443401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eorgia"/>
                <a:ea typeface="Georgia"/>
                <a:cs typeface="Georgia"/>
              </a:defRPr>
            </a:pPr>
            <a:endParaRPr lang="en-US"/>
          </a:p>
        </c:txPr>
        <c:crossAx val="1443403784"/>
        <c:crosses val="autoZero"/>
        <c:auto val="1"/>
        <c:lblAlgn val="ctr"/>
        <c:lblOffset val="100"/>
        <c:noMultiLvlLbl val="0"/>
      </c:catAx>
      <c:valAx>
        <c:axId val="1443403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eorgia"/>
                <a:ea typeface="Georgia"/>
                <a:cs typeface="Georgia"/>
              </a:defRPr>
            </a:pPr>
            <a:endParaRPr lang="en-US"/>
          </a:p>
        </c:txPr>
        <c:crossAx val="1443401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Georgia"/>
              <a:ea typeface="Georgia"/>
              <a:cs typeface="Georgia"/>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a:ea typeface="Georgia"/>
                <a:cs typeface="Georgia"/>
              </a:defRPr>
            </a:pPr>
            <a:r>
              <a:rPr lang="en-US"/>
              <a:t>Distribution of dynamic and static metrics for every reduction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a:ea typeface="Georgia"/>
              <a:cs typeface="Georgia"/>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TUTTE!$B$295:$B$297</c:f>
              <c:strCache>
                <c:ptCount val="3"/>
                <c:pt idx="0">
                  <c:v>Initial set</c:v>
                </c:pt>
                <c:pt idx="1">
                  <c:v>After filtering</c:v>
                </c:pt>
                <c:pt idx="2">
                  <c:v>After validation</c:v>
                </c:pt>
              </c:strCache>
            </c:strRef>
          </c:cat>
          <c:val>
            <c:numRef>
              <c:f>TUTTE!$C$295:$C$297</c:f>
              <c:numCache>
                <c:formatCode>0%</c:formatCode>
                <c:ptCount val="3"/>
                <c:pt idx="0">
                  <c:v>0.25791855203619912</c:v>
                </c:pt>
                <c:pt idx="1">
                  <c:v>0.56000000000000005</c:v>
                </c:pt>
                <c:pt idx="2">
                  <c:v>0.53125</c:v>
                </c:pt>
              </c:numCache>
            </c:numRef>
          </c:val>
          <c:extLst>
            <c:ext xmlns:c16="http://schemas.microsoft.com/office/drawing/2014/chart" uri="{C3380CC4-5D6E-409C-BE32-E72D297353CC}">
              <c16:uniqueId val="{00000001-9093-4F0E-9B2A-37B4FC06C0E4}"/>
            </c:ext>
          </c:extLst>
        </c:ser>
        <c:ser>
          <c:idx val="1"/>
          <c:order val="1"/>
          <c:spPr>
            <a:solidFill>
              <a:schemeClr val="accent2"/>
            </a:solidFill>
            <a:ln>
              <a:noFill/>
            </a:ln>
            <a:effectLst/>
          </c:spPr>
          <c:invertIfNegative val="0"/>
          <c:cat>
            <c:strRef>
              <c:f>TUTTE!$B$295:$B$297</c:f>
              <c:strCache>
                <c:ptCount val="3"/>
                <c:pt idx="0">
                  <c:v>Initial set</c:v>
                </c:pt>
                <c:pt idx="1">
                  <c:v>After filtering</c:v>
                </c:pt>
                <c:pt idx="2">
                  <c:v>After validation</c:v>
                </c:pt>
              </c:strCache>
            </c:strRef>
          </c:cat>
          <c:val>
            <c:numRef>
              <c:f>TUTTE!$D$295:$D$297</c:f>
              <c:numCache>
                <c:formatCode>0%</c:formatCode>
                <c:ptCount val="3"/>
                <c:pt idx="0">
                  <c:v>0.74208144796380093</c:v>
                </c:pt>
                <c:pt idx="1">
                  <c:v>0.44</c:v>
                </c:pt>
                <c:pt idx="2">
                  <c:v>0.46875</c:v>
                </c:pt>
              </c:numCache>
            </c:numRef>
          </c:val>
          <c:extLst>
            <c:ext xmlns:c16="http://schemas.microsoft.com/office/drawing/2014/chart" uri="{C3380CC4-5D6E-409C-BE32-E72D297353CC}">
              <c16:uniqueId val="{00000003-9093-4F0E-9B2A-37B4FC06C0E4}"/>
            </c:ext>
          </c:extLst>
        </c:ser>
        <c:dLbls>
          <c:showLegendKey val="0"/>
          <c:showVal val="0"/>
          <c:showCatName val="0"/>
          <c:showSerName val="0"/>
          <c:showPercent val="0"/>
          <c:showBubbleSize val="0"/>
        </c:dLbls>
        <c:gapWidth val="219"/>
        <c:overlap val="-27"/>
        <c:axId val="1346279431"/>
        <c:axId val="1610697223"/>
      </c:barChart>
      <c:catAx>
        <c:axId val="1346279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eorgia"/>
                <a:ea typeface="Georgia"/>
                <a:cs typeface="Georgia"/>
              </a:defRPr>
            </a:pPr>
            <a:endParaRPr lang="en-US"/>
          </a:p>
        </c:txPr>
        <c:crossAx val="1610697223"/>
        <c:crosses val="autoZero"/>
        <c:auto val="1"/>
        <c:lblAlgn val="ctr"/>
        <c:lblOffset val="100"/>
        <c:noMultiLvlLbl val="0"/>
      </c:catAx>
      <c:valAx>
        <c:axId val="1610697223"/>
        <c:scaling>
          <c:orientation val="minMax"/>
          <c:max val="0.8"/>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eorgia"/>
                <a:ea typeface="Georgia"/>
                <a:cs typeface="Georgia"/>
              </a:defRPr>
            </a:pPr>
            <a:endParaRPr lang="en-US"/>
          </a:p>
        </c:txPr>
        <c:crossAx val="13462794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Georgia"/>
              <a:ea typeface="Georgia"/>
              <a:cs typeface="Georgia"/>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a:ea typeface="Georgia"/>
                <a:cs typeface="Georgia"/>
              </a:defRPr>
            </a:pPr>
            <a:r>
              <a:rPr lang="en-US"/>
              <a:t>Amount of metrics after every step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Georgia"/>
              <a:ea typeface="Georgia"/>
              <a:cs typeface="Georgia"/>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strRef>
              <c:f>TUTTE!$B$315:$B$319</c:f>
              <c:strCache>
                <c:ptCount val="5"/>
                <c:pt idx="0">
                  <c:v>Initial set</c:v>
                </c:pt>
                <c:pt idx="1">
                  <c:v>After filtering</c:v>
                </c:pt>
                <c:pt idx="2">
                  <c:v>After WD Step</c:v>
                </c:pt>
                <c:pt idx="3">
                  <c:v>After P Step</c:v>
                </c:pt>
                <c:pt idx="4">
                  <c:v>After R Step (final)</c:v>
                </c:pt>
              </c:strCache>
            </c:strRef>
          </c:cat>
          <c:val>
            <c:numRef>
              <c:f>TUTTE!$C$315:$C$319</c:f>
              <c:numCache>
                <c:formatCode>General</c:formatCode>
                <c:ptCount val="5"/>
                <c:pt idx="0">
                  <c:v>278</c:v>
                </c:pt>
                <c:pt idx="1">
                  <c:v>92</c:v>
                </c:pt>
                <c:pt idx="2">
                  <c:v>41</c:v>
                </c:pt>
                <c:pt idx="3">
                  <c:v>36</c:v>
                </c:pt>
                <c:pt idx="4">
                  <c:v>33</c:v>
                </c:pt>
              </c:numCache>
            </c:numRef>
          </c:val>
          <c:extLst>
            <c:ext xmlns:c16="http://schemas.microsoft.com/office/drawing/2014/chart" uri="{C3380CC4-5D6E-409C-BE32-E72D297353CC}">
              <c16:uniqueId val="{00000001-38A3-4348-80E7-5DD935C42B81}"/>
            </c:ext>
          </c:extLst>
        </c:ser>
        <c:dLbls>
          <c:showLegendKey val="0"/>
          <c:showVal val="0"/>
          <c:showCatName val="0"/>
          <c:showSerName val="0"/>
          <c:showPercent val="0"/>
          <c:showBubbleSize val="0"/>
        </c:dLbls>
        <c:gapWidth val="219"/>
        <c:overlap val="-27"/>
        <c:axId val="1610686471"/>
        <c:axId val="1610689031"/>
      </c:barChart>
      <c:catAx>
        <c:axId val="1610686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Georgia"/>
                <a:ea typeface="Georgia"/>
                <a:cs typeface="Georgia"/>
              </a:defRPr>
            </a:pPr>
            <a:endParaRPr lang="en-US"/>
          </a:p>
        </c:txPr>
        <c:crossAx val="1610689031"/>
        <c:crosses val="autoZero"/>
        <c:auto val="1"/>
        <c:lblAlgn val="ctr"/>
        <c:lblOffset val="100"/>
        <c:noMultiLvlLbl val="0"/>
      </c:catAx>
      <c:valAx>
        <c:axId val="1610689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Georgia"/>
                <a:ea typeface="Georgia"/>
                <a:cs typeface="Georgia"/>
              </a:defRPr>
            </a:pPr>
            <a:endParaRPr lang="en-US"/>
          </a:p>
        </c:txPr>
        <c:crossAx val="16106864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t-IT"/>
              <a:t>Counting occurence of different types of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27-491A-932A-4BAFA9A9A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27-491A-932A-4BAFA9A9A3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27-491A-932A-4BAFA9A9A3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27-491A-932A-4BAFA9A9A348}"/>
              </c:ext>
            </c:extLst>
          </c:dPt>
          <c:cat>
            <c:strRef>
              <c:f>'riduzione 4 (merge)'!$B$36:$B$39</c:f>
              <c:strCache>
                <c:ptCount val="4"/>
                <c:pt idx="0">
                  <c:v>Defense</c:v>
                </c:pt>
                <c:pt idx="1">
                  <c:v>Vulnerability</c:v>
                </c:pt>
                <c:pt idx="2">
                  <c:v>Situation</c:v>
                </c:pt>
                <c:pt idx="3">
                  <c:v>User</c:v>
                </c:pt>
              </c:strCache>
            </c:strRef>
          </c:cat>
          <c:val>
            <c:numRef>
              <c:f>'riduzione 4 (merge)'!$C$36:$C$39</c:f>
              <c:numCache>
                <c:formatCode>General</c:formatCode>
                <c:ptCount val="4"/>
                <c:pt idx="0">
                  <c:v>15</c:v>
                </c:pt>
                <c:pt idx="1">
                  <c:v>8</c:v>
                </c:pt>
                <c:pt idx="2">
                  <c:v>8</c:v>
                </c:pt>
                <c:pt idx="3">
                  <c:v>1</c:v>
                </c:pt>
              </c:numCache>
            </c:numRef>
          </c:val>
          <c:extLst>
            <c:ext xmlns:c16="http://schemas.microsoft.com/office/drawing/2014/chart" uri="{C3380CC4-5D6E-409C-BE32-E72D297353CC}">
              <c16:uniqueId val="{00000000-6ECE-7A4B-867D-08F971A3529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1.3815060723341786E-2"/>
          <c:y val="0.6424310485779442"/>
          <c:w val="0.25626818363806225"/>
          <c:h val="0.3575689514220558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466725</xdr:colOff>
      <xdr:row>280</xdr:row>
      <xdr:rowOff>171450</xdr:rowOff>
    </xdr:from>
    <xdr:to>
      <xdr:col>9</xdr:col>
      <xdr:colOff>1695450</xdr:colOff>
      <xdr:row>301</xdr:row>
      <xdr:rowOff>0</xdr:rowOff>
    </xdr:to>
    <xdr:graphicFrame macro="">
      <xdr:nvGraphicFramePr>
        <xdr:cNvPr id="3" name="Chart 2">
          <a:extLst>
            <a:ext uri="{FF2B5EF4-FFF2-40B4-BE49-F238E27FC236}">
              <a16:creationId xmlns:a16="http://schemas.microsoft.com/office/drawing/2014/main" id="{745480E8-7913-7613-59A0-04FBE80F4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485775</xdr:colOff>
      <xdr:row>302</xdr:row>
      <xdr:rowOff>47625</xdr:rowOff>
    </xdr:from>
    <xdr:to>
      <xdr:col>9</xdr:col>
      <xdr:colOff>1695450</xdr:colOff>
      <xdr:row>321</xdr:row>
      <xdr:rowOff>133350</xdr:rowOff>
    </xdr:to>
    <xdr:graphicFrame macro="">
      <xdr:nvGraphicFramePr>
        <xdr:cNvPr id="2" name="Chart 1">
          <a:extLst>
            <a:ext uri="{FF2B5EF4-FFF2-40B4-BE49-F238E27FC236}">
              <a16:creationId xmlns:a16="http://schemas.microsoft.com/office/drawing/2014/main" id="{4D0883A0-79B5-6AFC-1696-9376EA6AB541}"/>
            </a:ext>
            <a:ext uri="{147F2762-F138-4A5C-976F-8EAC2B608ADB}">
              <a16:predDERef xmlns:a16="http://schemas.microsoft.com/office/drawing/2014/main" pred="{745480E8-7913-7613-59A0-04FBE80F47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133350</xdr:colOff>
      <xdr:row>315</xdr:row>
      <xdr:rowOff>76200</xdr:rowOff>
    </xdr:from>
    <xdr:to>
      <xdr:col>6</xdr:col>
      <xdr:colOff>304800</xdr:colOff>
      <xdr:row>336</xdr:row>
      <xdr:rowOff>142875</xdr:rowOff>
    </xdr:to>
    <xdr:graphicFrame macro="">
      <xdr:nvGraphicFramePr>
        <xdr:cNvPr id="4" name="Chart 3">
          <a:extLst>
            <a:ext uri="{FF2B5EF4-FFF2-40B4-BE49-F238E27FC236}">
              <a16:creationId xmlns:a16="http://schemas.microsoft.com/office/drawing/2014/main" id="{B12EE350-82F1-5B6E-12C9-89851047A45C}"/>
            </a:ext>
            <a:ext uri="{147F2762-F138-4A5C-976F-8EAC2B608ADB}">
              <a16:predDERef xmlns:a16="http://schemas.microsoft.com/office/drawing/2014/main" pred="{4D0883A0-79B5-6AFC-1696-9376EA6AB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292100</xdr:colOff>
      <xdr:row>41</xdr:row>
      <xdr:rowOff>25400</xdr:rowOff>
    </xdr:from>
    <xdr:to>
      <xdr:col>2</xdr:col>
      <xdr:colOff>3467100</xdr:colOff>
      <xdr:row>60</xdr:row>
      <xdr:rowOff>38100</xdr:rowOff>
    </xdr:to>
    <xdr:graphicFrame macro="">
      <xdr:nvGraphicFramePr>
        <xdr:cNvPr id="3" name="Grafico 2">
          <a:extLst>
            <a:ext uri="{FF2B5EF4-FFF2-40B4-BE49-F238E27FC236}">
              <a16:creationId xmlns:a16="http://schemas.microsoft.com/office/drawing/2014/main" id="{613B7C68-C110-4E29-C38F-C36BE43C4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ieeexplore-ieee-org.ezproxy.unibo.it/stamp/stamp.jsp?tp=&amp;arnumber=8017389" TargetMode="External"/><Relationship Id="rId7" Type="http://schemas.openxmlformats.org/officeDocument/2006/relationships/hyperlink" Target="https://ieeexplore.ieee.org/abstract/document/4215604" TargetMode="External"/><Relationship Id="rId2" Type="http://schemas.openxmlformats.org/officeDocument/2006/relationships/hyperlink" Target="https://www.sciencedirect.com/science/article/abs/pii/S1084804520302770" TargetMode="External"/><Relationship Id="rId1" Type="http://schemas.openxmlformats.org/officeDocument/2006/relationships/hyperlink" Target="https://link.springer.com/chapter/10.1007/978-3-642-15497-3_35" TargetMode="External"/><Relationship Id="rId6" Type="http://schemas.openxmlformats.org/officeDocument/2006/relationships/hyperlink" Target="https://dl.acm.org/doi/pdf/10.1145/366173.366185" TargetMode="External"/><Relationship Id="rId5" Type="http://schemas.openxmlformats.org/officeDocument/2006/relationships/hyperlink" Target="http://wwwold.iit.cnr.it/staff/artsiom.yautsiukhin/Resources/KRAU-10-MESSA.pdf" TargetMode="External"/><Relationship Id="rId4" Type="http://schemas.openxmlformats.org/officeDocument/2006/relationships/hyperlink" Target="http://www.cs.columbia.edu/~simha/preprint_isca12_svf.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dl.acm.org/doi/pdf/10.1145/3005714" TargetMode="External"/><Relationship Id="rId18" Type="http://schemas.openxmlformats.org/officeDocument/2006/relationships/hyperlink" Target="https://ieeexplore.ieee.org/document/8017389" TargetMode="External"/><Relationship Id="rId26" Type="http://schemas.openxmlformats.org/officeDocument/2006/relationships/hyperlink" Target="https://ieeexplore.ieee.org/document/8017389" TargetMode="External"/><Relationship Id="rId39" Type="http://schemas.openxmlformats.org/officeDocument/2006/relationships/hyperlink" Target="https://ieeexplore.ieee.org/abstract/document/4529446" TargetMode="External"/><Relationship Id="rId21" Type="http://schemas.openxmlformats.org/officeDocument/2006/relationships/hyperlink" Target="https://dl.acm.org/doi/pdf/10.1145/3005714" TargetMode="External"/><Relationship Id="rId34" Type="http://schemas.openxmlformats.org/officeDocument/2006/relationships/hyperlink" Target="https://ieeexplore.ieee.org/document/8017389" TargetMode="External"/><Relationship Id="rId7" Type="http://schemas.openxmlformats.org/officeDocument/2006/relationships/hyperlink" Target="https://dl.acm.org/doi/pdf/10.1145/3005714" TargetMode="External"/><Relationship Id="rId12" Type="http://schemas.openxmlformats.org/officeDocument/2006/relationships/hyperlink" Target="https://dl.acm.org/doi/pdf/10.1145/3005714" TargetMode="External"/><Relationship Id="rId17" Type="http://schemas.openxmlformats.org/officeDocument/2006/relationships/hyperlink" Target="https://ieeexplore.ieee.org/document/9505178" TargetMode="External"/><Relationship Id="rId25" Type="http://schemas.openxmlformats.org/officeDocument/2006/relationships/hyperlink" Target="https://ieeexplore.ieee.org/document/8017389" TargetMode="External"/><Relationship Id="rId33" Type="http://schemas.openxmlformats.org/officeDocument/2006/relationships/hyperlink" Target="https://ieeexplore.ieee.org/document/8017389" TargetMode="External"/><Relationship Id="rId38" Type="http://schemas.openxmlformats.org/officeDocument/2006/relationships/hyperlink" Target="https://dl.acm.org/doi/pdf/10.1145/3005714" TargetMode="External"/><Relationship Id="rId2" Type="http://schemas.openxmlformats.org/officeDocument/2006/relationships/hyperlink" Target="https://ieeexplore.ieee.org/stamp/stamp.jsp?tp=&amp;arnumber=5482589" TargetMode="External"/><Relationship Id="rId16" Type="http://schemas.openxmlformats.org/officeDocument/2006/relationships/hyperlink" Target="https://dl.acm.org/doi/pdf/10.1145/3005714" TargetMode="External"/><Relationship Id="rId20" Type="http://schemas.openxmlformats.org/officeDocument/2006/relationships/hyperlink" Target="https://ieeexplore.ieee.org/abstract/document/7378495" TargetMode="External"/><Relationship Id="rId29" Type="http://schemas.openxmlformats.org/officeDocument/2006/relationships/hyperlink" Target="https://ieeexplore.ieee.org/document/8017389" TargetMode="External"/><Relationship Id="rId1" Type="http://schemas.openxmlformats.org/officeDocument/2006/relationships/hyperlink" Target="http://www.cs.columbia.edu/~simha/preprint_isca12_svf.pdf" TargetMode="External"/><Relationship Id="rId6" Type="http://schemas.openxmlformats.org/officeDocument/2006/relationships/hyperlink" Target="https://dl.acm.org/doi/pdf/10.1145/3005714" TargetMode="External"/><Relationship Id="rId11" Type="http://schemas.openxmlformats.org/officeDocument/2006/relationships/hyperlink" Target="https://dl.acm.org/doi/pdf/10.1145/3005714" TargetMode="External"/><Relationship Id="rId24" Type="http://schemas.openxmlformats.org/officeDocument/2006/relationships/hyperlink" Target="https://link.springer.com/chapter/10.1007/978-3-319-11391-3_13" TargetMode="External"/><Relationship Id="rId32" Type="http://schemas.openxmlformats.org/officeDocument/2006/relationships/hyperlink" Target="https://ieeexplore.ieee.org/document/8017389" TargetMode="External"/><Relationship Id="rId37" Type="http://schemas.openxmlformats.org/officeDocument/2006/relationships/hyperlink" Target="https://dl.acm.org/doi/pdf/10.1145/3005714" TargetMode="External"/><Relationship Id="rId5" Type="http://schemas.openxmlformats.org/officeDocument/2006/relationships/hyperlink" Target="https://ieeexplore.ieee.org/abstract/document/5611550" TargetMode="External"/><Relationship Id="rId15" Type="http://schemas.openxmlformats.org/officeDocument/2006/relationships/hyperlink" Target="https://dl.acm.org/doi/pdf/10.1145/3005714" TargetMode="External"/><Relationship Id="rId23" Type="http://schemas.openxmlformats.org/officeDocument/2006/relationships/hyperlink" Target="https://ieeexplore.ieee.org/document/8017389" TargetMode="External"/><Relationship Id="rId28" Type="http://schemas.openxmlformats.org/officeDocument/2006/relationships/hyperlink" Target="https://ieeexplore.ieee.org/document/8017389" TargetMode="External"/><Relationship Id="rId36" Type="http://schemas.openxmlformats.org/officeDocument/2006/relationships/hyperlink" Target="http://www.cs.columbia.edu/~simha/preprint_isca12_svf.pdf" TargetMode="External"/><Relationship Id="rId10" Type="http://schemas.openxmlformats.org/officeDocument/2006/relationships/hyperlink" Target="https://dl.acm.org/doi/pdf/10.1145/3005714" TargetMode="External"/><Relationship Id="rId19" Type="http://schemas.openxmlformats.org/officeDocument/2006/relationships/hyperlink" Target="https://ieeexplore.ieee.org/document/8017389" TargetMode="External"/><Relationship Id="rId31" Type="http://schemas.openxmlformats.org/officeDocument/2006/relationships/hyperlink" Target="https://ieeexplore.ieee.org/document/8017389" TargetMode="External"/><Relationship Id="rId4" Type="http://schemas.openxmlformats.org/officeDocument/2006/relationships/hyperlink" Target="https://www.sciencedirect.com/science/article/abs/pii/S1084804520302770" TargetMode="External"/><Relationship Id="rId9" Type="http://schemas.openxmlformats.org/officeDocument/2006/relationships/hyperlink" Target="https://dl.acm.org/doi/pdf/10.1145/3005714" TargetMode="External"/><Relationship Id="rId14" Type="http://schemas.openxmlformats.org/officeDocument/2006/relationships/hyperlink" Target="https://dl.acm.org/doi/pdf/10.1145/3005714" TargetMode="External"/><Relationship Id="rId22" Type="http://schemas.openxmlformats.org/officeDocument/2006/relationships/hyperlink" Target="https://dl.acm.org/doi/pdf/10.1145/3005714%20https:/ieeexplore.ieee.org/document/8017389" TargetMode="External"/><Relationship Id="rId27" Type="http://schemas.openxmlformats.org/officeDocument/2006/relationships/hyperlink" Target="https://ieeexplore.ieee.org/document/8017389" TargetMode="External"/><Relationship Id="rId30" Type="http://schemas.openxmlformats.org/officeDocument/2006/relationships/hyperlink" Target="https://ieeexplore.ieee.org/document/8017389" TargetMode="External"/><Relationship Id="rId35" Type="http://schemas.openxmlformats.org/officeDocument/2006/relationships/hyperlink" Target="https://ieeexplore.ieee.org/stamp/stamp.jsp?tp=&amp;arnumber=8017389" TargetMode="External"/><Relationship Id="rId8" Type="http://schemas.openxmlformats.org/officeDocument/2006/relationships/hyperlink" Target="https://ieeexplore.ieee.org/abstract/document/5611550" TargetMode="External"/><Relationship Id="rId3" Type="http://schemas.openxmlformats.org/officeDocument/2006/relationships/hyperlink" Target="https://link.springer.com/chapter/10.1007/978-3-642-15497-3_35"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3" Type="http://schemas.openxmlformats.org/officeDocument/2006/relationships/hyperlink" Target="https://link.springer.com/chapter/10.1007/978-3-540-89173-4_21" TargetMode="External"/><Relationship Id="rId18" Type="http://schemas.openxmlformats.org/officeDocument/2006/relationships/hyperlink" Target="https://ieeexplore.ieee.org/document/9505178" TargetMode="External"/><Relationship Id="rId26" Type="http://schemas.openxmlformats.org/officeDocument/2006/relationships/hyperlink" Target="https://ieeexplore.ieee.org/document/8017389" TargetMode="External"/><Relationship Id="rId3" Type="http://schemas.openxmlformats.org/officeDocument/2006/relationships/hyperlink" Target="https://ieeexplore.ieee.org/document/8017389" TargetMode="External"/><Relationship Id="rId21" Type="http://schemas.openxmlformats.org/officeDocument/2006/relationships/hyperlink" Target="https://dl.acm.org/doi/pdf/10.1145/3005714" TargetMode="External"/><Relationship Id="rId34" Type="http://schemas.openxmlformats.org/officeDocument/2006/relationships/hyperlink" Target="https://ieeexplore.ieee.org/stamp/stamp.jsp?tp=&amp;arnumber=4446698" TargetMode="External"/><Relationship Id="rId7" Type="http://schemas.openxmlformats.org/officeDocument/2006/relationships/hyperlink" Target="https://link.springer.com/chapter/10.1007/978-3-540-89173-4_21" TargetMode="External"/><Relationship Id="rId12" Type="http://schemas.openxmlformats.org/officeDocument/2006/relationships/hyperlink" Target="https://link.springer.com/chapter/10.1007/978-3-540-89173-4_21" TargetMode="External"/><Relationship Id="rId17" Type="http://schemas.openxmlformats.org/officeDocument/2006/relationships/hyperlink" Target="https://people.engr.tamu.edu/guofei/paper/Gu_CoCTR05_cid.pdf" TargetMode="External"/><Relationship Id="rId25" Type="http://schemas.openxmlformats.org/officeDocument/2006/relationships/hyperlink" Target="https://ieeexplore.ieee.org/document/8017389" TargetMode="External"/><Relationship Id="rId33" Type="http://schemas.openxmlformats.org/officeDocument/2006/relationships/hyperlink" Target="https://ieeexplore.ieee.org/stamp/stamp.jsp?tp=&amp;arnumber=6596425" TargetMode="External"/><Relationship Id="rId2" Type="http://schemas.openxmlformats.org/officeDocument/2006/relationships/hyperlink" Target="https://ieeexplore.ieee.org/document/8017389" TargetMode="External"/><Relationship Id="rId16" Type="http://schemas.openxmlformats.org/officeDocument/2006/relationships/hyperlink" Target="https://dl.acm.org/doi/10.1145/1128817.1128834" TargetMode="External"/><Relationship Id="rId20" Type="http://schemas.openxmlformats.org/officeDocument/2006/relationships/hyperlink" Target="https://dl.acm.org/doi/pdf/10.1145/3005714" TargetMode="External"/><Relationship Id="rId29" Type="http://schemas.openxmlformats.org/officeDocument/2006/relationships/hyperlink" Target="https://ieeexplore.ieee.org/stamp/stamp.jsp?tp=&amp;arnumber=8017389" TargetMode="External"/><Relationship Id="rId1" Type="http://schemas.openxmlformats.org/officeDocument/2006/relationships/hyperlink" Target="https://link.springer.com/chapter/10.1007/978-3-540-89173-4_21" TargetMode="External"/><Relationship Id="rId6" Type="http://schemas.openxmlformats.org/officeDocument/2006/relationships/hyperlink" Target="https://ieeexplore.ieee.org/abstract/document/4529446" TargetMode="External"/><Relationship Id="rId11" Type="http://schemas.openxmlformats.org/officeDocument/2006/relationships/hyperlink" Target="https://link.springer.com/chapter/10.1007/978-3-540-89173-4_21" TargetMode="External"/><Relationship Id="rId24" Type="http://schemas.openxmlformats.org/officeDocument/2006/relationships/hyperlink" Target="https://www.sciencedirect.com/science/article/abs/pii/S1084804520302770" TargetMode="External"/><Relationship Id="rId32" Type="http://schemas.openxmlformats.org/officeDocument/2006/relationships/hyperlink" Target="https://ieeexplore.ieee.org/document/8017389" TargetMode="External"/><Relationship Id="rId5" Type="http://schemas.openxmlformats.org/officeDocument/2006/relationships/hyperlink" Target="https://ieeexplore.ieee.org/document/8017389" TargetMode="External"/><Relationship Id="rId15" Type="http://schemas.openxmlformats.org/officeDocument/2006/relationships/hyperlink" Target="https://ieeexplore.ieee.org/abstract/document/7378495?casa_token=ljC9XN0gaI4AAAAA:NxfHrEqvCAqWnRulSVKSeN6_pZ3FYd4-HCQb80aezajOwVs2T6Fzp_c01RgZyP6tHzj22w" TargetMode="External"/><Relationship Id="rId23" Type="http://schemas.openxmlformats.org/officeDocument/2006/relationships/hyperlink" Target="https://link.springer.com/chapter/10.1007/978-3-642-15497-3_35" TargetMode="External"/><Relationship Id="rId28" Type="http://schemas.openxmlformats.org/officeDocument/2006/relationships/hyperlink" Target="https://dl.acm.org/doi/pdf/10.1145/3005714" TargetMode="External"/><Relationship Id="rId10" Type="http://schemas.openxmlformats.org/officeDocument/2006/relationships/hyperlink" Target="https://link.springer.com/chapter/10.1007/978-3-540-89173-4_21" TargetMode="External"/><Relationship Id="rId19" Type="http://schemas.openxmlformats.org/officeDocument/2006/relationships/hyperlink" Target="https://ieeexplore.ieee.org/stamp/stamp.jsp?tp=&amp;arnumber=5482589" TargetMode="External"/><Relationship Id="rId31" Type="http://schemas.openxmlformats.org/officeDocument/2006/relationships/hyperlink" Target="http://www.cs.columbia.edu/~simha/preprint_isca12_svf.pdf" TargetMode="External"/><Relationship Id="rId4" Type="http://schemas.openxmlformats.org/officeDocument/2006/relationships/hyperlink" Target="https://dl.acm.org/doi/pdf/10.1145/3005714" TargetMode="External"/><Relationship Id="rId9" Type="http://schemas.openxmlformats.org/officeDocument/2006/relationships/hyperlink" Target="https://link.springer.com/chapter/10.1007/978-3-540-89173-4_21" TargetMode="External"/><Relationship Id="rId14" Type="http://schemas.openxmlformats.org/officeDocument/2006/relationships/hyperlink" Target="https://link.springer.com/chapter/10.1007/978-3-540-89173-4_21" TargetMode="External"/><Relationship Id="rId22" Type="http://schemas.openxmlformats.org/officeDocument/2006/relationships/hyperlink" Target="https://dl.acm.org/doi/pdf/10.1145/3005714" TargetMode="External"/><Relationship Id="rId27" Type="http://schemas.openxmlformats.org/officeDocument/2006/relationships/hyperlink" Target="https://dl.acm.org/doi/pdf/10.1145/3005714" TargetMode="External"/><Relationship Id="rId30" Type="http://schemas.openxmlformats.org/officeDocument/2006/relationships/hyperlink" Target="https://dl.acm.org/doi/pdf/10.1145/3005714" TargetMode="External"/><Relationship Id="rId35" Type="http://schemas.openxmlformats.org/officeDocument/2006/relationships/drawing" Target="../drawings/drawing2.xml"/><Relationship Id="rId8" Type="http://schemas.openxmlformats.org/officeDocument/2006/relationships/hyperlink" Target="https://link.springer.com/chapter/10.1007/978-3-540-89173-4_2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eeexplore.ieee.org/abstract/document/42156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C56BA-0384-8C43-96D2-C38B34F4F2DC}">
  <dimension ref="A1:V106"/>
  <sheetViews>
    <sheetView topLeftCell="J1" zoomScale="75" workbookViewId="0">
      <selection activeCell="Y1" sqref="Y1"/>
    </sheetView>
  </sheetViews>
  <sheetFormatPr defaultColWidth="10.875" defaultRowHeight="24"/>
  <cols>
    <col min="1" max="1" width="3.5" style="2" customWidth="1"/>
    <col min="2" max="2" width="4.625" style="2" customWidth="1"/>
    <col min="3" max="3" width="4.625" style="2" hidden="1" customWidth="1"/>
    <col min="4" max="4" width="15" style="2" customWidth="1"/>
    <col min="5" max="5" width="15.875" style="2" customWidth="1"/>
    <col min="6" max="6" width="18.875" style="2" customWidth="1"/>
    <col min="7" max="9" width="10.875" style="2"/>
    <col min="10" max="10" width="17.625" style="2" customWidth="1"/>
    <col min="11" max="11" width="18.375" style="2" customWidth="1"/>
    <col min="12" max="12" width="38.625" style="2" customWidth="1"/>
    <col min="13" max="13" width="14.625" style="2" customWidth="1"/>
    <col min="14" max="18" width="10.875" style="2"/>
    <col min="19" max="19" width="24.375" style="2" customWidth="1"/>
    <col min="20" max="20" width="11.125" style="9" customWidth="1"/>
    <col min="21" max="21" width="35.375" style="7" customWidth="1"/>
    <col min="22" max="16384" width="10.875" style="2"/>
  </cols>
  <sheetData>
    <row r="1" spans="1:22" ht="57.9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11" t="s">
        <v>19</v>
      </c>
      <c r="U1" s="4" t="s">
        <v>20</v>
      </c>
      <c r="V1" s="4" t="s">
        <v>21</v>
      </c>
    </row>
    <row r="2" spans="1:22" ht="60">
      <c r="A2" s="5" t="s">
        <v>22</v>
      </c>
      <c r="B2" s="5" t="s">
        <v>23</v>
      </c>
      <c r="C2" s="5" t="s">
        <v>24</v>
      </c>
      <c r="D2" s="5" t="s">
        <v>25</v>
      </c>
      <c r="E2" s="5" t="s">
        <v>26</v>
      </c>
      <c r="F2" s="5" t="s">
        <v>27</v>
      </c>
      <c r="G2" s="5" t="s">
        <v>28</v>
      </c>
      <c r="H2" s="5" t="s">
        <v>28</v>
      </c>
      <c r="I2" s="5" t="s">
        <v>28</v>
      </c>
      <c r="J2" s="6" t="s">
        <v>29</v>
      </c>
      <c r="K2" s="5" t="s">
        <v>30</v>
      </c>
      <c r="L2" s="5" t="s">
        <v>31</v>
      </c>
      <c r="M2" s="5" t="s">
        <v>32</v>
      </c>
      <c r="N2" s="5" t="s">
        <v>33</v>
      </c>
      <c r="O2" s="5" t="s">
        <v>24</v>
      </c>
      <c r="P2" s="5" t="s">
        <v>34</v>
      </c>
      <c r="Q2" s="5" t="s">
        <v>33</v>
      </c>
      <c r="R2" s="5" t="s">
        <v>25</v>
      </c>
      <c r="S2" s="5" t="s">
        <v>24</v>
      </c>
      <c r="T2" s="9" t="s">
        <v>35</v>
      </c>
      <c r="U2" s="5" t="s">
        <v>36</v>
      </c>
      <c r="V2" s="8" t="s">
        <v>25</v>
      </c>
    </row>
    <row r="3" spans="1:22" ht="99.95">
      <c r="A3" s="5" t="s">
        <v>37</v>
      </c>
      <c r="B3" s="5" t="s">
        <v>23</v>
      </c>
      <c r="C3" s="5" t="s">
        <v>24</v>
      </c>
      <c r="D3" s="5" t="s">
        <v>25</v>
      </c>
      <c r="E3" s="5" t="s">
        <v>26</v>
      </c>
      <c r="F3" s="5" t="s">
        <v>38</v>
      </c>
      <c r="G3" s="5" t="s">
        <v>39</v>
      </c>
      <c r="H3" s="5" t="s">
        <v>40</v>
      </c>
      <c r="I3" s="5" t="s">
        <v>28</v>
      </c>
      <c r="J3" s="6" t="s">
        <v>41</v>
      </c>
      <c r="K3" s="5" t="s">
        <v>42</v>
      </c>
      <c r="L3" s="5" t="s">
        <v>43</v>
      </c>
      <c r="M3" s="5" t="s">
        <v>44</v>
      </c>
      <c r="N3" s="5" t="s">
        <v>33</v>
      </c>
      <c r="O3" s="10" t="s">
        <v>24</v>
      </c>
      <c r="P3" s="5" t="s">
        <v>34</v>
      </c>
      <c r="Q3" s="5" t="s">
        <v>24</v>
      </c>
      <c r="R3" s="5" t="s">
        <v>25</v>
      </c>
      <c r="S3" s="5" t="s">
        <v>45</v>
      </c>
      <c r="T3" s="9" t="s">
        <v>35</v>
      </c>
      <c r="U3" s="5" t="s">
        <v>46</v>
      </c>
      <c r="V3" s="8" t="s">
        <v>25</v>
      </c>
    </row>
    <row r="4" spans="1:22" ht="99.95">
      <c r="A4" s="5" t="s">
        <v>47</v>
      </c>
      <c r="B4" s="5" t="s">
        <v>23</v>
      </c>
      <c r="C4" s="5" t="s">
        <v>24</v>
      </c>
      <c r="D4" s="5" t="s">
        <v>25</v>
      </c>
      <c r="E4" s="5" t="s">
        <v>26</v>
      </c>
      <c r="F4" s="5" t="s">
        <v>38</v>
      </c>
      <c r="G4" s="5" t="s">
        <v>39</v>
      </c>
      <c r="H4" s="5" t="s">
        <v>40</v>
      </c>
      <c r="I4" s="5" t="s">
        <v>28</v>
      </c>
      <c r="J4" s="6" t="s">
        <v>48</v>
      </c>
      <c r="K4" s="5" t="s">
        <v>42</v>
      </c>
      <c r="L4" s="5" t="s">
        <v>49</v>
      </c>
      <c r="M4" s="5" t="s">
        <v>44</v>
      </c>
      <c r="N4" s="5" t="s">
        <v>33</v>
      </c>
      <c r="O4" s="5" t="s">
        <v>24</v>
      </c>
      <c r="P4" s="5" t="s">
        <v>34</v>
      </c>
      <c r="Q4" s="5" t="s">
        <v>24</v>
      </c>
      <c r="R4" s="5" t="s">
        <v>25</v>
      </c>
      <c r="S4" s="5" t="s">
        <v>45</v>
      </c>
      <c r="T4" s="9" t="s">
        <v>35</v>
      </c>
      <c r="U4" s="5" t="s">
        <v>50</v>
      </c>
      <c r="V4" s="8" t="s">
        <v>25</v>
      </c>
    </row>
    <row r="5" spans="1:22" ht="99.95">
      <c r="A5" s="5" t="s">
        <v>51</v>
      </c>
      <c r="B5" s="5" t="s">
        <v>23</v>
      </c>
      <c r="C5" s="5" t="s">
        <v>24</v>
      </c>
      <c r="D5" s="5" t="s">
        <v>25</v>
      </c>
      <c r="E5" s="5" t="s">
        <v>26</v>
      </c>
      <c r="F5" s="5" t="s">
        <v>38</v>
      </c>
      <c r="G5" s="5" t="s">
        <v>39</v>
      </c>
      <c r="H5" s="5" t="s">
        <v>40</v>
      </c>
      <c r="I5" s="5" t="s">
        <v>28</v>
      </c>
      <c r="J5" s="6" t="s">
        <v>52</v>
      </c>
      <c r="K5" s="5" t="s">
        <v>42</v>
      </c>
      <c r="L5" s="5" t="s">
        <v>53</v>
      </c>
      <c r="M5" s="5" t="s">
        <v>44</v>
      </c>
      <c r="N5" s="5" t="s">
        <v>33</v>
      </c>
      <c r="O5" s="5" t="s">
        <v>24</v>
      </c>
      <c r="P5" s="5" t="s">
        <v>34</v>
      </c>
      <c r="Q5" s="5" t="s">
        <v>24</v>
      </c>
      <c r="R5" s="5" t="s">
        <v>54</v>
      </c>
      <c r="S5" s="5" t="s">
        <v>55</v>
      </c>
      <c r="T5" s="9" t="s">
        <v>35</v>
      </c>
      <c r="U5" s="5" t="s">
        <v>56</v>
      </c>
      <c r="V5" s="8" t="s">
        <v>25</v>
      </c>
    </row>
    <row r="6" spans="1:22" ht="99.95">
      <c r="A6" s="5" t="s">
        <v>57</v>
      </c>
      <c r="B6" s="5" t="s">
        <v>23</v>
      </c>
      <c r="C6" s="5" t="s">
        <v>24</v>
      </c>
      <c r="D6" s="5" t="s">
        <v>25</v>
      </c>
      <c r="E6" s="5" t="s">
        <v>26</v>
      </c>
      <c r="F6" s="5" t="s">
        <v>38</v>
      </c>
      <c r="G6" s="5" t="s">
        <v>39</v>
      </c>
      <c r="H6" s="5" t="s">
        <v>40</v>
      </c>
      <c r="I6" s="5" t="s">
        <v>28</v>
      </c>
      <c r="J6" s="6" t="s">
        <v>58</v>
      </c>
      <c r="K6" s="5" t="s">
        <v>42</v>
      </c>
      <c r="L6" s="5" t="s">
        <v>59</v>
      </c>
      <c r="M6" s="5" t="s">
        <v>44</v>
      </c>
      <c r="N6" s="5" t="s">
        <v>33</v>
      </c>
      <c r="O6" s="5" t="s">
        <v>24</v>
      </c>
      <c r="P6" s="5" t="s">
        <v>34</v>
      </c>
      <c r="Q6" s="5" t="s">
        <v>24</v>
      </c>
      <c r="R6" s="5" t="s">
        <v>54</v>
      </c>
      <c r="S6" s="5" t="s">
        <v>55</v>
      </c>
      <c r="T6" s="9" t="s">
        <v>35</v>
      </c>
      <c r="U6" s="5" t="s">
        <v>56</v>
      </c>
      <c r="V6" s="8" t="s">
        <v>25</v>
      </c>
    </row>
    <row r="7" spans="1:22" ht="99.95" hidden="1">
      <c r="A7" s="5" t="s">
        <v>60</v>
      </c>
      <c r="B7" s="5" t="s">
        <v>23</v>
      </c>
      <c r="C7" s="5" t="s">
        <v>24</v>
      </c>
      <c r="D7" s="5" t="s">
        <v>25</v>
      </c>
      <c r="E7" s="5" t="s">
        <v>26</v>
      </c>
      <c r="F7" s="5" t="s">
        <v>38</v>
      </c>
      <c r="G7" s="5" t="s">
        <v>39</v>
      </c>
      <c r="H7" s="5" t="s">
        <v>40</v>
      </c>
      <c r="I7" s="5" t="s">
        <v>28</v>
      </c>
      <c r="J7" s="6" t="s">
        <v>61</v>
      </c>
      <c r="K7" s="5" t="s">
        <v>24</v>
      </c>
      <c r="L7" s="5" t="s">
        <v>62</v>
      </c>
      <c r="M7" s="5" t="s">
        <v>44</v>
      </c>
      <c r="N7" s="5" t="s">
        <v>33</v>
      </c>
      <c r="O7" s="5" t="s">
        <v>24</v>
      </c>
      <c r="P7" s="5" t="s">
        <v>34</v>
      </c>
      <c r="Q7" s="5" t="s">
        <v>24</v>
      </c>
      <c r="R7" s="5" t="s">
        <v>63</v>
      </c>
      <c r="S7" s="5" t="s">
        <v>64</v>
      </c>
      <c r="T7" s="9" t="s">
        <v>65</v>
      </c>
      <c r="U7" s="5"/>
      <c r="V7" s="8" t="s">
        <v>54</v>
      </c>
    </row>
    <row r="8" spans="1:22" ht="99.95">
      <c r="A8" s="5" t="s">
        <v>66</v>
      </c>
      <c r="B8" s="5" t="s">
        <v>23</v>
      </c>
      <c r="C8" s="5" t="s">
        <v>24</v>
      </c>
      <c r="D8" s="5" t="s">
        <v>25</v>
      </c>
      <c r="E8" s="5" t="s">
        <v>26</v>
      </c>
      <c r="F8" s="5" t="s">
        <v>38</v>
      </c>
      <c r="G8" s="5" t="s">
        <v>39</v>
      </c>
      <c r="H8" s="5" t="s">
        <v>67</v>
      </c>
      <c r="I8" s="5" t="s">
        <v>28</v>
      </c>
      <c r="J8" s="6" t="s">
        <v>67</v>
      </c>
      <c r="K8" s="5" t="s">
        <v>42</v>
      </c>
      <c r="L8" s="5" t="s">
        <v>68</v>
      </c>
      <c r="M8" s="5" t="s">
        <v>32</v>
      </c>
      <c r="N8" s="5" t="s">
        <v>69</v>
      </c>
      <c r="O8" s="5" t="s">
        <v>24</v>
      </c>
      <c r="P8" s="5" t="s">
        <v>34</v>
      </c>
      <c r="Q8" s="5" t="s">
        <v>24</v>
      </c>
      <c r="R8" s="5" t="s">
        <v>54</v>
      </c>
      <c r="S8" s="5" t="s">
        <v>70</v>
      </c>
      <c r="T8" s="9" t="s">
        <v>35</v>
      </c>
      <c r="U8" s="5" t="s">
        <v>71</v>
      </c>
      <c r="V8" s="8" t="s">
        <v>25</v>
      </c>
    </row>
    <row r="9" spans="1:22" ht="120">
      <c r="A9" s="5" t="s">
        <v>72</v>
      </c>
      <c r="B9" s="5" t="s">
        <v>23</v>
      </c>
      <c r="C9" s="5" t="s">
        <v>24</v>
      </c>
      <c r="D9" s="5" t="s">
        <v>25</v>
      </c>
      <c r="E9" s="5" t="s">
        <v>26</v>
      </c>
      <c r="F9" s="5" t="s">
        <v>38</v>
      </c>
      <c r="G9" s="5" t="s">
        <v>73</v>
      </c>
      <c r="H9" s="5" t="s">
        <v>74</v>
      </c>
      <c r="I9" s="5" t="s">
        <v>75</v>
      </c>
      <c r="J9" s="6" t="s">
        <v>76</v>
      </c>
      <c r="K9" s="5" t="s">
        <v>24</v>
      </c>
      <c r="L9" s="5" t="s">
        <v>77</v>
      </c>
      <c r="M9" s="5" t="s">
        <v>28</v>
      </c>
      <c r="N9" s="5" t="s">
        <v>69</v>
      </c>
      <c r="O9" s="5" t="s">
        <v>24</v>
      </c>
      <c r="P9" s="5" t="s">
        <v>34</v>
      </c>
      <c r="Q9" s="5" t="s">
        <v>24</v>
      </c>
      <c r="R9" s="5" t="s">
        <v>54</v>
      </c>
      <c r="S9" s="5" t="s">
        <v>78</v>
      </c>
      <c r="T9" s="9" t="s">
        <v>35</v>
      </c>
      <c r="U9" s="5" t="s">
        <v>79</v>
      </c>
      <c r="V9" s="8" t="s">
        <v>25</v>
      </c>
    </row>
    <row r="10" spans="1:22" ht="120">
      <c r="A10" s="5" t="s">
        <v>80</v>
      </c>
      <c r="B10" s="5" t="s">
        <v>23</v>
      </c>
      <c r="C10" s="5" t="s">
        <v>24</v>
      </c>
      <c r="D10" s="5" t="s">
        <v>25</v>
      </c>
      <c r="E10" s="5" t="s">
        <v>26</v>
      </c>
      <c r="F10" s="5" t="s">
        <v>38</v>
      </c>
      <c r="G10" s="5" t="s">
        <v>73</v>
      </c>
      <c r="H10" s="5" t="s">
        <v>74</v>
      </c>
      <c r="I10" s="5" t="s">
        <v>75</v>
      </c>
      <c r="J10" s="6" t="s">
        <v>81</v>
      </c>
      <c r="K10" s="5" t="s">
        <v>24</v>
      </c>
      <c r="L10" s="5" t="s">
        <v>82</v>
      </c>
      <c r="M10" s="5" t="s">
        <v>28</v>
      </c>
      <c r="N10" s="5" t="s">
        <v>69</v>
      </c>
      <c r="O10" s="5" t="s">
        <v>24</v>
      </c>
      <c r="P10" s="5" t="s">
        <v>34</v>
      </c>
      <c r="Q10" s="5" t="s">
        <v>24</v>
      </c>
      <c r="R10" s="5" t="s">
        <v>54</v>
      </c>
      <c r="S10" s="5" t="s">
        <v>78</v>
      </c>
      <c r="T10" s="9" t="s">
        <v>35</v>
      </c>
      <c r="U10" s="5" t="s">
        <v>79</v>
      </c>
      <c r="V10" s="8" t="s">
        <v>25</v>
      </c>
    </row>
    <row r="11" spans="1:22" ht="120">
      <c r="A11" s="5" t="s">
        <v>83</v>
      </c>
      <c r="B11" s="5" t="s">
        <v>23</v>
      </c>
      <c r="C11" s="5" t="s">
        <v>24</v>
      </c>
      <c r="D11" s="5" t="s">
        <v>25</v>
      </c>
      <c r="E11" s="5" t="s">
        <v>26</v>
      </c>
      <c r="F11" s="5" t="s">
        <v>38</v>
      </c>
      <c r="G11" s="5" t="s">
        <v>73</v>
      </c>
      <c r="H11" s="5" t="s">
        <v>74</v>
      </c>
      <c r="I11" s="5" t="s">
        <v>84</v>
      </c>
      <c r="J11" s="6" t="s">
        <v>85</v>
      </c>
      <c r="K11" s="5" t="s">
        <v>24</v>
      </c>
      <c r="L11" s="5" t="s">
        <v>86</v>
      </c>
      <c r="M11" s="5" t="s">
        <v>28</v>
      </c>
      <c r="N11" s="5" t="s">
        <v>33</v>
      </c>
      <c r="O11" s="5" t="s">
        <v>24</v>
      </c>
      <c r="P11" s="5" t="s">
        <v>34</v>
      </c>
      <c r="Q11" s="5" t="s">
        <v>24</v>
      </c>
      <c r="R11" s="5" t="s">
        <v>25</v>
      </c>
      <c r="S11" s="5" t="s">
        <v>87</v>
      </c>
      <c r="T11" s="9" t="s">
        <v>35</v>
      </c>
      <c r="U11" s="5"/>
      <c r="V11" s="8" t="s">
        <v>25</v>
      </c>
    </row>
    <row r="12" spans="1:22" ht="120">
      <c r="A12" s="5" t="s">
        <v>88</v>
      </c>
      <c r="B12" s="5" t="s">
        <v>23</v>
      </c>
      <c r="C12" s="5" t="s">
        <v>24</v>
      </c>
      <c r="D12" s="5" t="s">
        <v>25</v>
      </c>
      <c r="E12" s="5" t="s">
        <v>26</v>
      </c>
      <c r="F12" s="5" t="s">
        <v>38</v>
      </c>
      <c r="G12" s="5" t="s">
        <v>73</v>
      </c>
      <c r="H12" s="5" t="s">
        <v>74</v>
      </c>
      <c r="I12" s="5" t="s">
        <v>84</v>
      </c>
      <c r="J12" s="6" t="s">
        <v>89</v>
      </c>
      <c r="K12" s="5" t="s">
        <v>90</v>
      </c>
      <c r="L12" s="5" t="s">
        <v>91</v>
      </c>
      <c r="M12" s="5" t="s">
        <v>28</v>
      </c>
      <c r="N12" s="5" t="s">
        <v>33</v>
      </c>
      <c r="O12" s="5" t="s">
        <v>24</v>
      </c>
      <c r="P12" s="5" t="s">
        <v>92</v>
      </c>
      <c r="Q12" s="5" t="s">
        <v>24</v>
      </c>
      <c r="R12" s="5" t="s">
        <v>25</v>
      </c>
      <c r="S12" s="5" t="s">
        <v>93</v>
      </c>
      <c r="T12" s="9" t="s">
        <v>35</v>
      </c>
      <c r="U12" s="5" t="s">
        <v>79</v>
      </c>
      <c r="V12" s="8" t="s">
        <v>25</v>
      </c>
    </row>
    <row r="13" spans="1:22" ht="120">
      <c r="A13" s="5" t="s">
        <v>94</v>
      </c>
      <c r="B13" s="5" t="s">
        <v>23</v>
      </c>
      <c r="C13" s="5" t="s">
        <v>24</v>
      </c>
      <c r="D13" s="5" t="s">
        <v>25</v>
      </c>
      <c r="E13" s="5" t="s">
        <v>26</v>
      </c>
      <c r="F13" s="5" t="s">
        <v>38</v>
      </c>
      <c r="G13" s="5" t="s">
        <v>73</v>
      </c>
      <c r="H13" s="5" t="s">
        <v>74</v>
      </c>
      <c r="I13" s="5" t="s">
        <v>84</v>
      </c>
      <c r="J13" s="6" t="s">
        <v>95</v>
      </c>
      <c r="K13" s="5" t="s">
        <v>90</v>
      </c>
      <c r="L13" s="5" t="s">
        <v>96</v>
      </c>
      <c r="M13" s="5" t="s">
        <v>28</v>
      </c>
      <c r="N13" s="5" t="s">
        <v>33</v>
      </c>
      <c r="O13" s="5" t="s">
        <v>24</v>
      </c>
      <c r="P13" s="5" t="s">
        <v>92</v>
      </c>
      <c r="Q13" s="5" t="s">
        <v>24</v>
      </c>
      <c r="R13" s="5" t="s">
        <v>63</v>
      </c>
      <c r="S13" s="5" t="s">
        <v>97</v>
      </c>
      <c r="T13" s="9" t="s">
        <v>35</v>
      </c>
      <c r="U13" s="5" t="s">
        <v>98</v>
      </c>
      <c r="V13" s="8" t="s">
        <v>25</v>
      </c>
    </row>
    <row r="14" spans="1:22" ht="120">
      <c r="A14" s="5" t="s">
        <v>99</v>
      </c>
      <c r="B14" s="5" t="s">
        <v>23</v>
      </c>
      <c r="C14" s="5" t="s">
        <v>24</v>
      </c>
      <c r="D14" s="5" t="s">
        <v>25</v>
      </c>
      <c r="E14" s="5" t="s">
        <v>26</v>
      </c>
      <c r="F14" s="5" t="s">
        <v>38</v>
      </c>
      <c r="G14" s="5" t="s">
        <v>73</v>
      </c>
      <c r="H14" s="5" t="s">
        <v>74</v>
      </c>
      <c r="I14" s="5" t="s">
        <v>84</v>
      </c>
      <c r="J14" s="6" t="s">
        <v>100</v>
      </c>
      <c r="K14" s="5" t="s">
        <v>24</v>
      </c>
      <c r="L14" s="5" t="s">
        <v>101</v>
      </c>
      <c r="M14" s="5" t="s">
        <v>28</v>
      </c>
      <c r="N14" s="5" t="s">
        <v>33</v>
      </c>
      <c r="O14" s="5" t="s">
        <v>24</v>
      </c>
      <c r="P14" s="5" t="s">
        <v>34</v>
      </c>
      <c r="Q14" s="5" t="s">
        <v>24</v>
      </c>
      <c r="R14" s="5" t="s">
        <v>54</v>
      </c>
      <c r="S14" s="5" t="s">
        <v>102</v>
      </c>
      <c r="T14" s="9" t="s">
        <v>35</v>
      </c>
      <c r="U14" s="5"/>
      <c r="V14" s="8" t="s">
        <v>25</v>
      </c>
    </row>
    <row r="15" spans="1:22" ht="120">
      <c r="A15" s="5" t="s">
        <v>103</v>
      </c>
      <c r="B15" s="5" t="s">
        <v>23</v>
      </c>
      <c r="C15" s="5" t="s">
        <v>24</v>
      </c>
      <c r="D15" s="5" t="s">
        <v>25</v>
      </c>
      <c r="E15" s="5" t="s">
        <v>104</v>
      </c>
      <c r="F15" s="5" t="s">
        <v>105</v>
      </c>
      <c r="G15" s="5" t="s">
        <v>106</v>
      </c>
      <c r="H15" s="5" t="s">
        <v>28</v>
      </c>
      <c r="I15" s="5" t="s">
        <v>28</v>
      </c>
      <c r="J15" s="6" t="s">
        <v>107</v>
      </c>
      <c r="K15" s="5" t="s">
        <v>108</v>
      </c>
      <c r="L15" s="5" t="s">
        <v>109</v>
      </c>
      <c r="M15" s="5" t="s">
        <v>32</v>
      </c>
      <c r="N15" s="5" t="s">
        <v>33</v>
      </c>
      <c r="O15" s="5" t="s">
        <v>24</v>
      </c>
      <c r="P15" s="5" t="s">
        <v>110</v>
      </c>
      <c r="Q15" s="5" t="s">
        <v>24</v>
      </c>
      <c r="R15" s="5" t="s">
        <v>25</v>
      </c>
      <c r="S15" s="5" t="s">
        <v>111</v>
      </c>
      <c r="T15" s="9" t="s">
        <v>35</v>
      </c>
      <c r="U15" s="5" t="s">
        <v>112</v>
      </c>
      <c r="V15" s="8" t="s">
        <v>25</v>
      </c>
    </row>
    <row r="16" spans="1:22" ht="80.099999999999994">
      <c r="A16" s="5" t="s">
        <v>113</v>
      </c>
      <c r="B16" s="5" t="s">
        <v>23</v>
      </c>
      <c r="C16" s="5" t="s">
        <v>24</v>
      </c>
      <c r="D16" s="5" t="s">
        <v>25</v>
      </c>
      <c r="E16" s="5" t="s">
        <v>104</v>
      </c>
      <c r="F16" s="5" t="s">
        <v>105</v>
      </c>
      <c r="G16" s="5" t="s">
        <v>106</v>
      </c>
      <c r="H16" s="5" t="s">
        <v>28</v>
      </c>
      <c r="I16" s="5" t="s">
        <v>28</v>
      </c>
      <c r="J16" s="6" t="s">
        <v>114</v>
      </c>
      <c r="K16" s="5" t="s">
        <v>115</v>
      </c>
      <c r="L16" s="5" t="s">
        <v>116</v>
      </c>
      <c r="M16" s="5" t="s">
        <v>117</v>
      </c>
      <c r="N16" s="5" t="s">
        <v>33</v>
      </c>
      <c r="O16" s="5" t="s">
        <v>24</v>
      </c>
      <c r="P16" s="5" t="s">
        <v>34</v>
      </c>
      <c r="Q16" s="5" t="s">
        <v>24</v>
      </c>
      <c r="R16" s="5" t="s">
        <v>25</v>
      </c>
      <c r="S16" s="5" t="s">
        <v>118</v>
      </c>
      <c r="T16" s="9" t="s">
        <v>35</v>
      </c>
      <c r="U16" s="5"/>
      <c r="V16" s="8" t="s">
        <v>25</v>
      </c>
    </row>
    <row r="17" spans="1:22" ht="120" hidden="1">
      <c r="A17" s="5" t="s">
        <v>119</v>
      </c>
      <c r="B17" s="5" t="s">
        <v>23</v>
      </c>
      <c r="C17" s="5" t="s">
        <v>24</v>
      </c>
      <c r="D17" s="5" t="s">
        <v>25</v>
      </c>
      <c r="E17" s="5" t="s">
        <v>104</v>
      </c>
      <c r="F17" s="5" t="s">
        <v>105</v>
      </c>
      <c r="G17" s="5" t="s">
        <v>120</v>
      </c>
      <c r="H17" s="5" t="s">
        <v>28</v>
      </c>
      <c r="I17" s="5" t="s">
        <v>28</v>
      </c>
      <c r="J17" s="6" t="s">
        <v>121</v>
      </c>
      <c r="K17" s="5" t="s">
        <v>24</v>
      </c>
      <c r="L17" s="5" t="s">
        <v>122</v>
      </c>
      <c r="M17" s="5" t="s">
        <v>28</v>
      </c>
      <c r="N17" s="5" t="s">
        <v>33</v>
      </c>
      <c r="O17" s="5" t="s">
        <v>24</v>
      </c>
      <c r="P17" s="5" t="s">
        <v>28</v>
      </c>
      <c r="Q17" s="5" t="s">
        <v>24</v>
      </c>
      <c r="R17" s="5" t="s">
        <v>28</v>
      </c>
      <c r="S17" s="5" t="s">
        <v>123</v>
      </c>
      <c r="T17" s="9" t="s">
        <v>65</v>
      </c>
      <c r="U17" s="5"/>
      <c r="V17" s="8" t="s">
        <v>54</v>
      </c>
    </row>
    <row r="18" spans="1:22" ht="80.099999999999994">
      <c r="A18" s="5" t="s">
        <v>124</v>
      </c>
      <c r="B18" s="5" t="s">
        <v>23</v>
      </c>
      <c r="C18" s="5" t="s">
        <v>24</v>
      </c>
      <c r="D18" s="5" t="s">
        <v>25</v>
      </c>
      <c r="E18" s="5" t="s">
        <v>104</v>
      </c>
      <c r="F18" s="5" t="s">
        <v>125</v>
      </c>
      <c r="G18" s="5" t="s">
        <v>126</v>
      </c>
      <c r="H18" s="5" t="s">
        <v>28</v>
      </c>
      <c r="I18" s="5" t="s">
        <v>28</v>
      </c>
      <c r="J18" s="6" t="s">
        <v>114</v>
      </c>
      <c r="K18" s="5" t="s">
        <v>115</v>
      </c>
      <c r="L18" s="5" t="s">
        <v>127</v>
      </c>
      <c r="M18" s="5" t="s">
        <v>28</v>
      </c>
      <c r="N18" s="5" t="s">
        <v>33</v>
      </c>
      <c r="O18" s="5" t="s">
        <v>24</v>
      </c>
      <c r="P18" s="5" t="s">
        <v>110</v>
      </c>
      <c r="Q18" s="5" t="s">
        <v>24</v>
      </c>
      <c r="R18" s="5" t="s">
        <v>128</v>
      </c>
      <c r="S18" s="5" t="s">
        <v>128</v>
      </c>
      <c r="T18" s="9" t="s">
        <v>35</v>
      </c>
      <c r="U18" s="5"/>
      <c r="V18" s="8" t="s">
        <v>25</v>
      </c>
    </row>
    <row r="19" spans="1:22" ht="120">
      <c r="A19" s="5" t="s">
        <v>129</v>
      </c>
      <c r="B19" s="5" t="s">
        <v>23</v>
      </c>
      <c r="C19" s="5" t="s">
        <v>24</v>
      </c>
      <c r="D19" s="5" t="s">
        <v>25</v>
      </c>
      <c r="E19" s="5" t="s">
        <v>104</v>
      </c>
      <c r="F19" s="5" t="s">
        <v>125</v>
      </c>
      <c r="G19" s="5" t="s">
        <v>126</v>
      </c>
      <c r="H19" s="5" t="s">
        <v>28</v>
      </c>
      <c r="I19" s="5" t="s">
        <v>28</v>
      </c>
      <c r="J19" s="6" t="s">
        <v>130</v>
      </c>
      <c r="K19" s="5" t="s">
        <v>24</v>
      </c>
      <c r="L19" s="5" t="s">
        <v>131</v>
      </c>
      <c r="M19" s="5" t="s">
        <v>28</v>
      </c>
      <c r="N19" s="5" t="s">
        <v>33</v>
      </c>
      <c r="O19" s="5" t="s">
        <v>24</v>
      </c>
      <c r="P19" s="5" t="s">
        <v>110</v>
      </c>
      <c r="Q19" s="5" t="s">
        <v>24</v>
      </c>
      <c r="R19" s="5" t="s">
        <v>25</v>
      </c>
      <c r="S19" s="5" t="s">
        <v>132</v>
      </c>
      <c r="T19" s="9" t="s">
        <v>35</v>
      </c>
      <c r="U19" s="5"/>
      <c r="V19" s="8" t="s">
        <v>25</v>
      </c>
    </row>
    <row r="20" spans="1:22" ht="120">
      <c r="A20" s="5" t="s">
        <v>133</v>
      </c>
      <c r="B20" s="5" t="s">
        <v>23</v>
      </c>
      <c r="C20" s="5" t="s">
        <v>24</v>
      </c>
      <c r="D20" s="5" t="s">
        <v>25</v>
      </c>
      <c r="E20" s="5" t="s">
        <v>104</v>
      </c>
      <c r="F20" s="5" t="s">
        <v>125</v>
      </c>
      <c r="G20" s="5" t="s">
        <v>126</v>
      </c>
      <c r="H20" s="5" t="s">
        <v>28</v>
      </c>
      <c r="I20" s="5" t="s">
        <v>28</v>
      </c>
      <c r="J20" s="6" t="s">
        <v>134</v>
      </c>
      <c r="K20" s="5" t="s">
        <v>24</v>
      </c>
      <c r="L20" s="5" t="s">
        <v>135</v>
      </c>
      <c r="M20" s="5" t="s">
        <v>28</v>
      </c>
      <c r="N20" s="5" t="s">
        <v>33</v>
      </c>
      <c r="O20" s="5" t="s">
        <v>24</v>
      </c>
      <c r="P20" s="5" t="s">
        <v>110</v>
      </c>
      <c r="Q20" s="5" t="s">
        <v>24</v>
      </c>
      <c r="R20" s="5" t="s">
        <v>25</v>
      </c>
      <c r="S20" s="5" t="s">
        <v>132</v>
      </c>
      <c r="T20" s="9" t="s">
        <v>35</v>
      </c>
      <c r="U20" s="5" t="s">
        <v>136</v>
      </c>
      <c r="V20" s="8" t="s">
        <v>25</v>
      </c>
    </row>
    <row r="21" spans="1:22" ht="120">
      <c r="A21" s="5" t="s">
        <v>137</v>
      </c>
      <c r="B21" s="5" t="s">
        <v>23</v>
      </c>
      <c r="C21" s="5" t="s">
        <v>24</v>
      </c>
      <c r="D21" s="5" t="s">
        <v>25</v>
      </c>
      <c r="E21" s="5" t="s">
        <v>104</v>
      </c>
      <c r="F21" s="5" t="s">
        <v>125</v>
      </c>
      <c r="G21" s="5" t="s">
        <v>138</v>
      </c>
      <c r="H21" s="5" t="s">
        <v>139</v>
      </c>
      <c r="I21" s="5" t="s">
        <v>140</v>
      </c>
      <c r="J21" s="6" t="s">
        <v>141</v>
      </c>
      <c r="K21" s="5" t="s">
        <v>142</v>
      </c>
      <c r="L21" s="5" t="s">
        <v>143</v>
      </c>
      <c r="M21" s="5" t="s">
        <v>28</v>
      </c>
      <c r="N21" s="5" t="s">
        <v>69</v>
      </c>
      <c r="O21" s="5" t="s">
        <v>24</v>
      </c>
      <c r="P21" s="5" t="s">
        <v>110</v>
      </c>
      <c r="Q21" s="5" t="s">
        <v>24</v>
      </c>
      <c r="R21" s="5" t="s">
        <v>54</v>
      </c>
      <c r="S21" s="5" t="s">
        <v>144</v>
      </c>
      <c r="T21" s="9" t="s">
        <v>35</v>
      </c>
      <c r="U21" s="5" t="s">
        <v>112</v>
      </c>
      <c r="V21" s="8" t="s">
        <v>25</v>
      </c>
    </row>
    <row r="22" spans="1:22" ht="120">
      <c r="A22" s="5" t="s">
        <v>145</v>
      </c>
      <c r="B22" s="5" t="s">
        <v>23</v>
      </c>
      <c r="C22" s="5" t="s">
        <v>24</v>
      </c>
      <c r="D22" s="5" t="s">
        <v>25</v>
      </c>
      <c r="E22" s="5" t="s">
        <v>104</v>
      </c>
      <c r="F22" s="5" t="s">
        <v>125</v>
      </c>
      <c r="G22" s="5" t="s">
        <v>138</v>
      </c>
      <c r="H22" s="5" t="s">
        <v>139</v>
      </c>
      <c r="I22" s="5" t="s">
        <v>140</v>
      </c>
      <c r="J22" s="6" t="s">
        <v>146</v>
      </c>
      <c r="K22" s="5" t="s">
        <v>142</v>
      </c>
      <c r="L22" s="5" t="s">
        <v>147</v>
      </c>
      <c r="M22" s="5" t="s">
        <v>28</v>
      </c>
      <c r="N22" s="5" t="s">
        <v>69</v>
      </c>
      <c r="O22" s="5" t="s">
        <v>24</v>
      </c>
      <c r="P22" s="5" t="s">
        <v>110</v>
      </c>
      <c r="Q22" s="5" t="s">
        <v>24</v>
      </c>
      <c r="R22" s="5" t="s">
        <v>54</v>
      </c>
      <c r="S22" s="5" t="s">
        <v>144</v>
      </c>
      <c r="T22" s="9" t="s">
        <v>35</v>
      </c>
      <c r="U22" s="5" t="s">
        <v>112</v>
      </c>
      <c r="V22" s="8" t="s">
        <v>25</v>
      </c>
    </row>
    <row r="23" spans="1:22" ht="120">
      <c r="A23" s="5" t="s">
        <v>148</v>
      </c>
      <c r="B23" s="5" t="s">
        <v>23</v>
      </c>
      <c r="C23" s="5" t="s">
        <v>24</v>
      </c>
      <c r="D23" s="5" t="s">
        <v>25</v>
      </c>
      <c r="E23" s="5" t="s">
        <v>104</v>
      </c>
      <c r="F23" s="5" t="s">
        <v>125</v>
      </c>
      <c r="G23" s="5" t="s">
        <v>138</v>
      </c>
      <c r="H23" s="5" t="s">
        <v>139</v>
      </c>
      <c r="I23" s="5" t="s">
        <v>140</v>
      </c>
      <c r="J23" s="6" t="s">
        <v>149</v>
      </c>
      <c r="K23" s="5" t="s">
        <v>142</v>
      </c>
      <c r="L23" s="5" t="s">
        <v>150</v>
      </c>
      <c r="M23" s="5" t="s">
        <v>28</v>
      </c>
      <c r="N23" s="5" t="s">
        <v>69</v>
      </c>
      <c r="O23" s="5" t="s">
        <v>24</v>
      </c>
      <c r="P23" s="5" t="s">
        <v>110</v>
      </c>
      <c r="Q23" s="5" t="s">
        <v>24</v>
      </c>
      <c r="R23" s="5" t="s">
        <v>54</v>
      </c>
      <c r="S23" s="5" t="s">
        <v>144</v>
      </c>
      <c r="T23" s="9" t="s">
        <v>35</v>
      </c>
      <c r="U23" s="5" t="s">
        <v>112</v>
      </c>
      <c r="V23" s="8" t="s">
        <v>25</v>
      </c>
    </row>
    <row r="24" spans="1:22" ht="120">
      <c r="A24" s="5" t="s">
        <v>151</v>
      </c>
      <c r="B24" s="5" t="s">
        <v>23</v>
      </c>
      <c r="C24" s="5" t="s">
        <v>24</v>
      </c>
      <c r="D24" s="5" t="s">
        <v>25</v>
      </c>
      <c r="E24" s="5" t="s">
        <v>104</v>
      </c>
      <c r="F24" s="5" t="s">
        <v>125</v>
      </c>
      <c r="G24" s="5" t="s">
        <v>138</v>
      </c>
      <c r="H24" s="5" t="s">
        <v>139</v>
      </c>
      <c r="I24" s="5" t="s">
        <v>140</v>
      </c>
      <c r="J24" s="6" t="s">
        <v>152</v>
      </c>
      <c r="K24" s="5" t="s">
        <v>142</v>
      </c>
      <c r="L24" s="5" t="s">
        <v>153</v>
      </c>
      <c r="M24" s="5" t="s">
        <v>28</v>
      </c>
      <c r="N24" s="5" t="s">
        <v>69</v>
      </c>
      <c r="O24" s="5" t="s">
        <v>24</v>
      </c>
      <c r="P24" s="5" t="s">
        <v>110</v>
      </c>
      <c r="Q24" s="5" t="s">
        <v>24</v>
      </c>
      <c r="R24" s="5" t="s">
        <v>54</v>
      </c>
      <c r="S24" s="5" t="s">
        <v>144</v>
      </c>
      <c r="T24" s="9" t="s">
        <v>35</v>
      </c>
      <c r="U24" s="5" t="s">
        <v>112</v>
      </c>
      <c r="V24" s="8" t="s">
        <v>25</v>
      </c>
    </row>
    <row r="25" spans="1:22" ht="240">
      <c r="A25" s="5" t="s">
        <v>154</v>
      </c>
      <c r="B25" s="5" t="s">
        <v>23</v>
      </c>
      <c r="C25" s="5" t="s">
        <v>24</v>
      </c>
      <c r="D25" s="5" t="s">
        <v>25</v>
      </c>
      <c r="E25" s="5" t="s">
        <v>104</v>
      </c>
      <c r="F25" s="5" t="s">
        <v>125</v>
      </c>
      <c r="G25" s="5" t="s">
        <v>138</v>
      </c>
      <c r="H25" s="5" t="s">
        <v>139</v>
      </c>
      <c r="I25" s="5" t="s">
        <v>140</v>
      </c>
      <c r="J25" s="6" t="s">
        <v>155</v>
      </c>
      <c r="K25" s="5" t="s">
        <v>142</v>
      </c>
      <c r="L25" s="5" t="s">
        <v>156</v>
      </c>
      <c r="M25" s="5" t="s">
        <v>28</v>
      </c>
      <c r="N25" s="5" t="s">
        <v>69</v>
      </c>
      <c r="O25" s="5" t="s">
        <v>24</v>
      </c>
      <c r="P25" s="5" t="s">
        <v>128</v>
      </c>
      <c r="Q25" s="5" t="s">
        <v>24</v>
      </c>
      <c r="R25" s="5" t="s">
        <v>54</v>
      </c>
      <c r="S25" s="5" t="s">
        <v>144</v>
      </c>
      <c r="T25" s="9" t="s">
        <v>35</v>
      </c>
      <c r="U25" s="5" t="s">
        <v>112</v>
      </c>
      <c r="V25" s="8" t="s">
        <v>25</v>
      </c>
    </row>
    <row r="26" spans="1:22" ht="120">
      <c r="A26" s="5" t="s">
        <v>157</v>
      </c>
      <c r="B26" s="5" t="s">
        <v>23</v>
      </c>
      <c r="C26" s="5" t="s">
        <v>24</v>
      </c>
      <c r="D26" s="5" t="s">
        <v>25</v>
      </c>
      <c r="E26" s="5" t="s">
        <v>104</v>
      </c>
      <c r="F26" s="5" t="s">
        <v>125</v>
      </c>
      <c r="G26" s="5" t="s">
        <v>138</v>
      </c>
      <c r="H26" s="5" t="s">
        <v>139</v>
      </c>
      <c r="I26" s="5" t="s">
        <v>140</v>
      </c>
      <c r="J26" s="6" t="s">
        <v>158</v>
      </c>
      <c r="K26" s="5" t="s">
        <v>24</v>
      </c>
      <c r="L26" s="5" t="s">
        <v>159</v>
      </c>
      <c r="M26" s="5" t="s">
        <v>28</v>
      </c>
      <c r="N26" s="5" t="s">
        <v>69</v>
      </c>
      <c r="O26" s="5" t="s">
        <v>24</v>
      </c>
      <c r="P26" s="5" t="s">
        <v>34</v>
      </c>
      <c r="Q26" s="5" t="s">
        <v>24</v>
      </c>
      <c r="R26" s="5" t="s">
        <v>54</v>
      </c>
      <c r="S26" s="5" t="s">
        <v>144</v>
      </c>
      <c r="T26" s="9" t="s">
        <v>35</v>
      </c>
      <c r="U26" s="5" t="s">
        <v>112</v>
      </c>
      <c r="V26" s="8" t="s">
        <v>25</v>
      </c>
    </row>
    <row r="27" spans="1:22" ht="120">
      <c r="A27" s="5" t="s">
        <v>160</v>
      </c>
      <c r="B27" s="5" t="s">
        <v>23</v>
      </c>
      <c r="C27" s="5" t="s">
        <v>24</v>
      </c>
      <c r="D27" s="5" t="s">
        <v>25</v>
      </c>
      <c r="E27" s="5" t="s">
        <v>104</v>
      </c>
      <c r="F27" s="5" t="s">
        <v>125</v>
      </c>
      <c r="G27" s="5" t="s">
        <v>138</v>
      </c>
      <c r="H27" s="5" t="s">
        <v>139</v>
      </c>
      <c r="I27" s="5" t="s">
        <v>140</v>
      </c>
      <c r="J27" s="6" t="s">
        <v>161</v>
      </c>
      <c r="K27" s="5" t="s">
        <v>142</v>
      </c>
      <c r="L27" s="5" t="s">
        <v>162</v>
      </c>
      <c r="M27" s="5" t="s">
        <v>28</v>
      </c>
      <c r="N27" s="5" t="s">
        <v>69</v>
      </c>
      <c r="O27" s="5" t="s">
        <v>24</v>
      </c>
      <c r="P27" s="5" t="s">
        <v>34</v>
      </c>
      <c r="Q27" s="5" t="s">
        <v>24</v>
      </c>
      <c r="R27" s="5" t="s">
        <v>54</v>
      </c>
      <c r="S27" s="5" t="s">
        <v>144</v>
      </c>
      <c r="T27" s="9" t="s">
        <v>35</v>
      </c>
      <c r="U27" s="5" t="s">
        <v>112</v>
      </c>
      <c r="V27" s="8" t="s">
        <v>25</v>
      </c>
    </row>
    <row r="28" spans="1:22" ht="120">
      <c r="A28" s="5" t="s">
        <v>163</v>
      </c>
      <c r="B28" s="5" t="s">
        <v>23</v>
      </c>
      <c r="C28" s="5" t="s">
        <v>24</v>
      </c>
      <c r="D28" s="5" t="s">
        <v>25</v>
      </c>
      <c r="E28" s="5" t="s">
        <v>104</v>
      </c>
      <c r="F28" s="5" t="s">
        <v>125</v>
      </c>
      <c r="G28" s="5" t="s">
        <v>138</v>
      </c>
      <c r="H28" s="5" t="s">
        <v>139</v>
      </c>
      <c r="I28" s="5" t="s">
        <v>140</v>
      </c>
      <c r="J28" s="6" t="s">
        <v>164</v>
      </c>
      <c r="K28" s="5" t="s">
        <v>165</v>
      </c>
      <c r="L28" s="5" t="s">
        <v>166</v>
      </c>
      <c r="M28" s="5" t="s">
        <v>28</v>
      </c>
      <c r="N28" s="5" t="s">
        <v>69</v>
      </c>
      <c r="O28" s="5" t="s">
        <v>24</v>
      </c>
      <c r="P28" s="5" t="s">
        <v>34</v>
      </c>
      <c r="Q28" s="5" t="s">
        <v>24</v>
      </c>
      <c r="R28" s="5" t="s">
        <v>54</v>
      </c>
      <c r="S28" s="5" t="s">
        <v>167</v>
      </c>
      <c r="T28" s="9" t="s">
        <v>35</v>
      </c>
      <c r="U28" s="5"/>
      <c r="V28" s="8" t="s">
        <v>25</v>
      </c>
    </row>
    <row r="29" spans="1:22" ht="140.1">
      <c r="A29" s="5" t="s">
        <v>168</v>
      </c>
      <c r="B29" s="5" t="s">
        <v>23</v>
      </c>
      <c r="C29" s="5" t="s">
        <v>24</v>
      </c>
      <c r="D29" s="5" t="s">
        <v>25</v>
      </c>
      <c r="E29" s="5" t="s">
        <v>104</v>
      </c>
      <c r="F29" s="5" t="s">
        <v>125</v>
      </c>
      <c r="G29" s="5" t="s">
        <v>138</v>
      </c>
      <c r="H29" s="5" t="s">
        <v>169</v>
      </c>
      <c r="I29" s="5" t="s">
        <v>28</v>
      </c>
      <c r="J29" s="6" t="s">
        <v>170</v>
      </c>
      <c r="K29" s="5" t="s">
        <v>24</v>
      </c>
      <c r="L29" s="5" t="s">
        <v>171</v>
      </c>
      <c r="M29" s="5" t="s">
        <v>172</v>
      </c>
      <c r="N29" s="5" t="s">
        <v>69</v>
      </c>
      <c r="O29" s="5" t="s">
        <v>24</v>
      </c>
      <c r="P29" s="5" t="s">
        <v>110</v>
      </c>
      <c r="Q29" s="5" t="s">
        <v>24</v>
      </c>
      <c r="R29" s="5" t="s">
        <v>54</v>
      </c>
      <c r="S29" s="5" t="s">
        <v>144</v>
      </c>
      <c r="T29" s="9" t="s">
        <v>35</v>
      </c>
      <c r="U29" s="5" t="s">
        <v>173</v>
      </c>
      <c r="V29" s="8" t="s">
        <v>25</v>
      </c>
    </row>
    <row r="30" spans="1:22" ht="120">
      <c r="A30" s="5" t="s">
        <v>174</v>
      </c>
      <c r="B30" s="5" t="s">
        <v>23</v>
      </c>
      <c r="C30" s="5" t="s">
        <v>24</v>
      </c>
      <c r="D30" s="5" t="s">
        <v>25</v>
      </c>
      <c r="E30" s="5" t="s">
        <v>104</v>
      </c>
      <c r="F30" s="5" t="s">
        <v>125</v>
      </c>
      <c r="G30" s="5" t="s">
        <v>138</v>
      </c>
      <c r="H30" s="5" t="s">
        <v>175</v>
      </c>
      <c r="I30" s="5" t="s">
        <v>28</v>
      </c>
      <c r="J30" s="6" t="s">
        <v>176</v>
      </c>
      <c r="K30" s="5" t="s">
        <v>24</v>
      </c>
      <c r="L30" s="5" t="s">
        <v>177</v>
      </c>
      <c r="M30" s="5" t="s">
        <v>172</v>
      </c>
      <c r="N30" s="5" t="s">
        <v>69</v>
      </c>
      <c r="O30" s="5" t="s">
        <v>24</v>
      </c>
      <c r="P30" s="5" t="s">
        <v>110</v>
      </c>
      <c r="Q30" s="5" t="s">
        <v>24</v>
      </c>
      <c r="R30" s="5" t="s">
        <v>54</v>
      </c>
      <c r="S30" s="5" t="s">
        <v>144</v>
      </c>
      <c r="T30" s="9" t="s">
        <v>35</v>
      </c>
      <c r="U30" s="5"/>
      <c r="V30" s="8" t="s">
        <v>25</v>
      </c>
    </row>
    <row r="31" spans="1:22" ht="120">
      <c r="A31" s="5" t="s">
        <v>178</v>
      </c>
      <c r="B31" s="5" t="s">
        <v>23</v>
      </c>
      <c r="C31" s="5" t="s">
        <v>24</v>
      </c>
      <c r="D31" s="5" t="s">
        <v>25</v>
      </c>
      <c r="E31" s="5" t="s">
        <v>104</v>
      </c>
      <c r="F31" s="5" t="s">
        <v>179</v>
      </c>
      <c r="G31" s="5" t="s">
        <v>28</v>
      </c>
      <c r="H31" s="5" t="s">
        <v>28</v>
      </c>
      <c r="I31" s="5" t="s">
        <v>28</v>
      </c>
      <c r="J31" s="6" t="s">
        <v>180</v>
      </c>
      <c r="K31" s="5" t="s">
        <v>24</v>
      </c>
      <c r="L31" s="5" t="s">
        <v>181</v>
      </c>
      <c r="M31" s="5" t="s">
        <v>28</v>
      </c>
      <c r="N31" s="5" t="s">
        <v>69</v>
      </c>
      <c r="O31" s="5" t="s">
        <v>24</v>
      </c>
      <c r="P31" s="5" t="s">
        <v>110</v>
      </c>
      <c r="Q31" s="5" t="s">
        <v>24</v>
      </c>
      <c r="R31" s="5" t="s">
        <v>54</v>
      </c>
      <c r="S31" s="5" t="s">
        <v>182</v>
      </c>
      <c r="T31" s="9" t="s">
        <v>35</v>
      </c>
      <c r="U31" s="5" t="s">
        <v>183</v>
      </c>
      <c r="V31" s="8" t="s">
        <v>25</v>
      </c>
    </row>
    <row r="32" spans="1:22" ht="80.099999999999994">
      <c r="A32" s="5" t="s">
        <v>184</v>
      </c>
      <c r="B32" s="5" t="s">
        <v>23</v>
      </c>
      <c r="C32" s="5" t="s">
        <v>24</v>
      </c>
      <c r="D32" s="5" t="s">
        <v>25</v>
      </c>
      <c r="E32" s="5" t="s">
        <v>104</v>
      </c>
      <c r="F32" s="5" t="s">
        <v>185</v>
      </c>
      <c r="G32" s="5" t="s">
        <v>28</v>
      </c>
      <c r="H32" s="5" t="s">
        <v>28</v>
      </c>
      <c r="I32" s="5" t="s">
        <v>28</v>
      </c>
      <c r="J32" s="6" t="s">
        <v>186</v>
      </c>
      <c r="K32" s="5" t="s">
        <v>24</v>
      </c>
      <c r="L32" s="5" t="s">
        <v>187</v>
      </c>
      <c r="M32" s="5" t="s">
        <v>28</v>
      </c>
      <c r="N32" s="5" t="s">
        <v>188</v>
      </c>
      <c r="O32" s="5" t="s">
        <v>24</v>
      </c>
      <c r="P32" s="5" t="s">
        <v>110</v>
      </c>
      <c r="Q32" s="5" t="s">
        <v>24</v>
      </c>
      <c r="R32" s="5" t="s">
        <v>25</v>
      </c>
      <c r="S32" s="5" t="s">
        <v>189</v>
      </c>
      <c r="T32" s="9" t="s">
        <v>35</v>
      </c>
      <c r="U32" s="5" t="s">
        <v>190</v>
      </c>
      <c r="V32" s="8" t="s">
        <v>25</v>
      </c>
    </row>
    <row r="33" spans="1:22" ht="120">
      <c r="A33" s="5" t="s">
        <v>191</v>
      </c>
      <c r="B33" s="5" t="s">
        <v>23</v>
      </c>
      <c r="C33" s="5" t="s">
        <v>24</v>
      </c>
      <c r="D33" s="5" t="s">
        <v>25</v>
      </c>
      <c r="E33" s="5" t="s">
        <v>104</v>
      </c>
      <c r="F33" s="5" t="s">
        <v>185</v>
      </c>
      <c r="G33" s="5" t="s">
        <v>28</v>
      </c>
      <c r="H33" s="5" t="s">
        <v>28</v>
      </c>
      <c r="I33" s="5" t="s">
        <v>28</v>
      </c>
      <c r="J33" s="6" t="s">
        <v>192</v>
      </c>
      <c r="K33" s="5" t="s">
        <v>24</v>
      </c>
      <c r="L33" s="5" t="s">
        <v>193</v>
      </c>
      <c r="M33" s="5" t="s">
        <v>28</v>
      </c>
      <c r="N33" s="5" t="s">
        <v>69</v>
      </c>
      <c r="O33" s="5" t="s">
        <v>24</v>
      </c>
      <c r="P33" s="5" t="s">
        <v>110</v>
      </c>
      <c r="Q33" s="5" t="s">
        <v>24</v>
      </c>
      <c r="R33" s="5" t="s">
        <v>54</v>
      </c>
      <c r="S33" s="5" t="s">
        <v>144</v>
      </c>
      <c r="T33" s="9" t="s">
        <v>35</v>
      </c>
      <c r="U33" s="5" t="s">
        <v>79</v>
      </c>
      <c r="V33" s="8" t="s">
        <v>25</v>
      </c>
    </row>
    <row r="34" spans="1:22" ht="80.099999999999994">
      <c r="A34" s="5" t="s">
        <v>194</v>
      </c>
      <c r="B34" s="5" t="s">
        <v>23</v>
      </c>
      <c r="C34" s="5" t="s">
        <v>24</v>
      </c>
      <c r="D34" s="5" t="s">
        <v>25</v>
      </c>
      <c r="E34" s="5" t="s">
        <v>195</v>
      </c>
      <c r="F34" s="5" t="s">
        <v>196</v>
      </c>
      <c r="G34" s="5" t="s">
        <v>28</v>
      </c>
      <c r="H34" s="5" t="s">
        <v>28</v>
      </c>
      <c r="I34" s="5" t="s">
        <v>28</v>
      </c>
      <c r="J34" s="6" t="s">
        <v>197</v>
      </c>
      <c r="K34" s="5" t="s">
        <v>198</v>
      </c>
      <c r="L34" s="5" t="s">
        <v>199</v>
      </c>
      <c r="M34" s="5" t="s">
        <v>28</v>
      </c>
      <c r="N34" s="5" t="s">
        <v>200</v>
      </c>
      <c r="O34" s="5" t="s">
        <v>24</v>
      </c>
      <c r="P34" s="5" t="s">
        <v>110</v>
      </c>
      <c r="Q34" s="5" t="s">
        <v>24</v>
      </c>
      <c r="R34" s="5" t="s">
        <v>54</v>
      </c>
      <c r="S34" s="5" t="s">
        <v>201</v>
      </c>
      <c r="T34" s="9" t="s">
        <v>35</v>
      </c>
      <c r="U34" s="5"/>
      <c r="V34" s="8" t="s">
        <v>25</v>
      </c>
    </row>
    <row r="35" spans="1:22" ht="120" hidden="1">
      <c r="A35" s="5" t="s">
        <v>202</v>
      </c>
      <c r="B35" s="5" t="s">
        <v>23</v>
      </c>
      <c r="C35" s="5" t="s">
        <v>24</v>
      </c>
      <c r="D35" s="5" t="s">
        <v>25</v>
      </c>
      <c r="E35" s="5" t="s">
        <v>195</v>
      </c>
      <c r="F35" s="5" t="s">
        <v>196</v>
      </c>
      <c r="G35" s="5" t="s">
        <v>28</v>
      </c>
      <c r="H35" s="5" t="s">
        <v>28</v>
      </c>
      <c r="I35" s="5" t="s">
        <v>28</v>
      </c>
      <c r="J35" s="6" t="s">
        <v>203</v>
      </c>
      <c r="K35" s="5" t="s">
        <v>198</v>
      </c>
      <c r="L35" s="5" t="s">
        <v>204</v>
      </c>
      <c r="M35" s="5" t="s">
        <v>28</v>
      </c>
      <c r="N35" s="5" t="s">
        <v>33</v>
      </c>
      <c r="O35" s="5" t="s">
        <v>24</v>
      </c>
      <c r="P35" s="5" t="s">
        <v>24</v>
      </c>
      <c r="Q35" s="5" t="s">
        <v>24</v>
      </c>
      <c r="R35" s="5" t="s">
        <v>24</v>
      </c>
      <c r="S35" s="5" t="s">
        <v>205</v>
      </c>
      <c r="T35" s="9" t="s">
        <v>35</v>
      </c>
      <c r="U35" s="5"/>
      <c r="V35" s="8" t="s">
        <v>25</v>
      </c>
    </row>
    <row r="36" spans="1:22" ht="159.94999999999999" hidden="1">
      <c r="A36" s="5" t="s">
        <v>206</v>
      </c>
      <c r="B36" s="5" t="s">
        <v>23</v>
      </c>
      <c r="C36" s="5" t="s">
        <v>24</v>
      </c>
      <c r="D36" s="5" t="s">
        <v>25</v>
      </c>
      <c r="E36" s="5" t="s">
        <v>195</v>
      </c>
      <c r="F36" s="5" t="s">
        <v>207</v>
      </c>
      <c r="G36" s="5" t="s">
        <v>28</v>
      </c>
      <c r="H36" s="5" t="s">
        <v>28</v>
      </c>
      <c r="I36" s="5" t="s">
        <v>28</v>
      </c>
      <c r="J36" s="6" t="s">
        <v>208</v>
      </c>
      <c r="K36" s="5" t="s">
        <v>24</v>
      </c>
      <c r="L36" s="5" t="s">
        <v>209</v>
      </c>
      <c r="M36" s="5" t="s">
        <v>28</v>
      </c>
      <c r="N36" s="5" t="s">
        <v>69</v>
      </c>
      <c r="O36" s="5" t="s">
        <v>24</v>
      </c>
      <c r="P36" s="5" t="s">
        <v>34</v>
      </c>
      <c r="Q36" s="5" t="s">
        <v>24</v>
      </c>
      <c r="R36" s="5" t="s">
        <v>54</v>
      </c>
      <c r="S36" s="5" t="s">
        <v>144</v>
      </c>
      <c r="T36" s="9" t="s">
        <v>65</v>
      </c>
      <c r="U36" s="5"/>
      <c r="V36" s="8" t="s">
        <v>54</v>
      </c>
    </row>
    <row r="37" spans="1:22" ht="39.950000000000003" hidden="1">
      <c r="A37" s="5" t="s">
        <v>210</v>
      </c>
      <c r="B37" s="5" t="s">
        <v>23</v>
      </c>
      <c r="C37" s="5" t="s">
        <v>24</v>
      </c>
      <c r="D37" s="5" t="s">
        <v>25</v>
      </c>
      <c r="E37" s="5" t="s">
        <v>195</v>
      </c>
      <c r="F37" s="5" t="s">
        <v>207</v>
      </c>
      <c r="G37" s="5" t="s">
        <v>28</v>
      </c>
      <c r="H37" s="5" t="s">
        <v>28</v>
      </c>
      <c r="I37" s="5" t="s">
        <v>28</v>
      </c>
      <c r="J37" s="6" t="s">
        <v>211</v>
      </c>
      <c r="K37" s="5" t="s">
        <v>24</v>
      </c>
      <c r="L37" s="5" t="s">
        <v>212</v>
      </c>
      <c r="M37" s="5" t="s">
        <v>28</v>
      </c>
      <c r="N37" s="5" t="s">
        <v>69</v>
      </c>
      <c r="O37" s="5" t="s">
        <v>24</v>
      </c>
      <c r="P37" s="5" t="s">
        <v>213</v>
      </c>
      <c r="Q37" s="5" t="s">
        <v>24</v>
      </c>
      <c r="R37" s="5" t="s">
        <v>54</v>
      </c>
      <c r="S37" s="5" t="s">
        <v>144</v>
      </c>
      <c r="T37" s="9" t="s">
        <v>65</v>
      </c>
      <c r="U37" s="5"/>
      <c r="V37" s="8" t="s">
        <v>54</v>
      </c>
    </row>
    <row r="38" spans="1:22" ht="99.95" hidden="1">
      <c r="A38" s="5" t="s">
        <v>214</v>
      </c>
      <c r="B38" s="5" t="s">
        <v>23</v>
      </c>
      <c r="C38" s="5" t="s">
        <v>24</v>
      </c>
      <c r="D38" s="5" t="s">
        <v>25</v>
      </c>
      <c r="E38" s="5" t="s">
        <v>195</v>
      </c>
      <c r="F38" s="5" t="s">
        <v>207</v>
      </c>
      <c r="G38" s="5" t="s">
        <v>28</v>
      </c>
      <c r="H38" s="5" t="s">
        <v>28</v>
      </c>
      <c r="I38" s="5" t="s">
        <v>28</v>
      </c>
      <c r="J38" s="6" t="s">
        <v>215</v>
      </c>
      <c r="K38" s="5" t="s">
        <v>24</v>
      </c>
      <c r="L38" s="5" t="s">
        <v>216</v>
      </c>
      <c r="M38" s="5" t="s">
        <v>28</v>
      </c>
      <c r="N38" s="5" t="s">
        <v>69</v>
      </c>
      <c r="O38" s="5" t="s">
        <v>24</v>
      </c>
      <c r="P38" s="5" t="s">
        <v>63</v>
      </c>
      <c r="Q38" s="5" t="s">
        <v>24</v>
      </c>
      <c r="R38" s="5" t="s">
        <v>54</v>
      </c>
      <c r="S38" s="5" t="s">
        <v>144</v>
      </c>
      <c r="T38" s="9" t="s">
        <v>65</v>
      </c>
      <c r="U38" s="5"/>
      <c r="V38" s="8" t="s">
        <v>54</v>
      </c>
    </row>
    <row r="39" spans="1:22" ht="140.1" hidden="1">
      <c r="A39" s="5" t="s">
        <v>217</v>
      </c>
      <c r="B39" s="5" t="s">
        <v>23</v>
      </c>
      <c r="C39" s="5" t="s">
        <v>24</v>
      </c>
      <c r="D39" s="5" t="s">
        <v>25</v>
      </c>
      <c r="E39" s="5" t="s">
        <v>195</v>
      </c>
      <c r="F39" s="5" t="s">
        <v>207</v>
      </c>
      <c r="G39" s="5" t="s">
        <v>28</v>
      </c>
      <c r="H39" s="5" t="s">
        <v>28</v>
      </c>
      <c r="I39" s="5" t="s">
        <v>28</v>
      </c>
      <c r="J39" s="6" t="s">
        <v>218</v>
      </c>
      <c r="K39" s="5" t="s">
        <v>24</v>
      </c>
      <c r="L39" s="5" t="s">
        <v>219</v>
      </c>
      <c r="M39" s="5" t="s">
        <v>28</v>
      </c>
      <c r="N39" s="5" t="s">
        <v>69</v>
      </c>
      <c r="O39" s="5" t="s">
        <v>24</v>
      </c>
      <c r="P39" s="5" t="s">
        <v>63</v>
      </c>
      <c r="Q39" s="5" t="s">
        <v>24</v>
      </c>
      <c r="R39" s="5" t="s">
        <v>54</v>
      </c>
      <c r="S39" s="5" t="s">
        <v>144</v>
      </c>
      <c r="T39" s="9" t="s">
        <v>65</v>
      </c>
      <c r="U39" s="5"/>
      <c r="V39" s="8" t="s">
        <v>54</v>
      </c>
    </row>
    <row r="40" spans="1:22" ht="140.1" hidden="1">
      <c r="A40" s="5" t="s">
        <v>220</v>
      </c>
      <c r="B40" s="5" t="s">
        <v>23</v>
      </c>
      <c r="C40" s="5" t="s">
        <v>24</v>
      </c>
      <c r="D40" s="5" t="s">
        <v>25</v>
      </c>
      <c r="E40" s="5" t="s">
        <v>195</v>
      </c>
      <c r="F40" s="5" t="s">
        <v>221</v>
      </c>
      <c r="G40" s="5" t="s">
        <v>28</v>
      </c>
      <c r="H40" s="5" t="s">
        <v>28</v>
      </c>
      <c r="I40" s="5" t="s">
        <v>28</v>
      </c>
      <c r="J40" s="6" t="s">
        <v>222</v>
      </c>
      <c r="K40" s="5" t="s">
        <v>24</v>
      </c>
      <c r="L40" s="5" t="s">
        <v>223</v>
      </c>
      <c r="M40" s="5" t="s">
        <v>28</v>
      </c>
      <c r="N40" s="5" t="s">
        <v>69</v>
      </c>
      <c r="O40" s="5" t="s">
        <v>24</v>
      </c>
      <c r="P40" s="5" t="s">
        <v>110</v>
      </c>
      <c r="Q40" s="5" t="s">
        <v>24</v>
      </c>
      <c r="R40" s="5" t="s">
        <v>54</v>
      </c>
      <c r="S40" s="5" t="s">
        <v>224</v>
      </c>
      <c r="T40" s="9" t="s">
        <v>35</v>
      </c>
      <c r="U40" s="5"/>
      <c r="V40" s="8" t="s">
        <v>35</v>
      </c>
    </row>
    <row r="41" spans="1:22" ht="140.1">
      <c r="A41" s="5" t="s">
        <v>225</v>
      </c>
      <c r="B41" s="5" t="s">
        <v>23</v>
      </c>
      <c r="C41" s="5" t="s">
        <v>24</v>
      </c>
      <c r="D41" s="5" t="s">
        <v>25</v>
      </c>
      <c r="E41" s="5" t="s">
        <v>195</v>
      </c>
      <c r="F41" s="5" t="s">
        <v>226</v>
      </c>
      <c r="G41" s="5" t="s">
        <v>227</v>
      </c>
      <c r="H41" s="5" t="s">
        <v>28</v>
      </c>
      <c r="I41" s="5" t="s">
        <v>28</v>
      </c>
      <c r="J41" s="6" t="s">
        <v>228</v>
      </c>
      <c r="K41" s="5" t="s">
        <v>24</v>
      </c>
      <c r="L41" s="5" t="s">
        <v>229</v>
      </c>
      <c r="M41" s="5" t="s">
        <v>28</v>
      </c>
      <c r="N41" s="5" t="s">
        <v>188</v>
      </c>
      <c r="O41" s="5" t="s">
        <v>24</v>
      </c>
      <c r="P41" s="5" t="s">
        <v>110</v>
      </c>
      <c r="Q41" s="5" t="s">
        <v>24</v>
      </c>
      <c r="R41" s="5" t="s">
        <v>54</v>
      </c>
      <c r="S41" s="5" t="s">
        <v>230</v>
      </c>
      <c r="T41" s="9" t="s">
        <v>35</v>
      </c>
      <c r="U41" s="5" t="s">
        <v>231</v>
      </c>
      <c r="V41" s="8" t="s">
        <v>25</v>
      </c>
    </row>
    <row r="42" spans="1:22" ht="140.1">
      <c r="A42" s="5" t="s">
        <v>232</v>
      </c>
      <c r="B42" s="5" t="s">
        <v>23</v>
      </c>
      <c r="C42" s="5" t="s">
        <v>24</v>
      </c>
      <c r="D42" s="5" t="s">
        <v>25</v>
      </c>
      <c r="E42" s="5" t="s">
        <v>195</v>
      </c>
      <c r="F42" s="5" t="s">
        <v>226</v>
      </c>
      <c r="G42" s="5" t="s">
        <v>227</v>
      </c>
      <c r="H42" s="5" t="s">
        <v>28</v>
      </c>
      <c r="I42" s="5" t="s">
        <v>28</v>
      </c>
      <c r="J42" s="6" t="s">
        <v>233</v>
      </c>
      <c r="K42" s="5" t="s">
        <v>24</v>
      </c>
      <c r="L42" s="5" t="s">
        <v>229</v>
      </c>
      <c r="M42" s="5" t="s">
        <v>28</v>
      </c>
      <c r="N42" s="5" t="s">
        <v>188</v>
      </c>
      <c r="O42" s="5" t="s">
        <v>24</v>
      </c>
      <c r="P42" s="5" t="s">
        <v>110</v>
      </c>
      <c r="Q42" s="5" t="s">
        <v>24</v>
      </c>
      <c r="R42" s="5" t="s">
        <v>54</v>
      </c>
      <c r="S42" s="5" t="s">
        <v>230</v>
      </c>
      <c r="T42" s="9" t="s">
        <v>35</v>
      </c>
      <c r="U42" s="5" t="s">
        <v>234</v>
      </c>
      <c r="V42" s="8" t="s">
        <v>25</v>
      </c>
    </row>
    <row r="43" spans="1:22" ht="99.95">
      <c r="A43" s="5" t="s">
        <v>235</v>
      </c>
      <c r="B43" s="5" t="s">
        <v>23</v>
      </c>
      <c r="C43" s="5" t="s">
        <v>24</v>
      </c>
      <c r="D43" s="5" t="s">
        <v>25</v>
      </c>
      <c r="E43" s="5" t="s">
        <v>236</v>
      </c>
      <c r="F43" s="5" t="s">
        <v>237</v>
      </c>
      <c r="G43" s="5" t="s">
        <v>238</v>
      </c>
      <c r="H43" s="5" t="s">
        <v>28</v>
      </c>
      <c r="I43" s="5" t="s">
        <v>28</v>
      </c>
      <c r="J43" s="6" t="s">
        <v>239</v>
      </c>
      <c r="K43" s="5" t="s">
        <v>24</v>
      </c>
      <c r="L43" s="5" t="s">
        <v>240</v>
      </c>
      <c r="M43" s="5" t="s">
        <v>28</v>
      </c>
      <c r="N43" s="5" t="s">
        <v>69</v>
      </c>
      <c r="O43" s="5" t="s">
        <v>24</v>
      </c>
      <c r="P43" s="5" t="s">
        <v>213</v>
      </c>
      <c r="Q43" s="5" t="s">
        <v>24</v>
      </c>
      <c r="R43" s="5" t="s">
        <v>54</v>
      </c>
      <c r="S43" s="5" t="s">
        <v>241</v>
      </c>
      <c r="T43" s="9" t="s">
        <v>35</v>
      </c>
      <c r="U43" s="5"/>
      <c r="V43" s="8" t="s">
        <v>25</v>
      </c>
    </row>
    <row r="44" spans="1:22" ht="120" hidden="1">
      <c r="A44" s="5" t="s">
        <v>242</v>
      </c>
      <c r="B44" s="5" t="s">
        <v>23</v>
      </c>
      <c r="C44" s="5" t="s">
        <v>24</v>
      </c>
      <c r="D44" s="5" t="s">
        <v>25</v>
      </c>
      <c r="E44" s="5" t="s">
        <v>236</v>
      </c>
      <c r="F44" s="5" t="s">
        <v>237</v>
      </c>
      <c r="G44" s="5" t="s">
        <v>238</v>
      </c>
      <c r="H44" s="5" t="s">
        <v>28</v>
      </c>
      <c r="I44" s="5" t="s">
        <v>28</v>
      </c>
      <c r="J44" s="6" t="s">
        <v>243</v>
      </c>
      <c r="K44" s="5" t="s">
        <v>24</v>
      </c>
      <c r="L44" s="5" t="s">
        <v>244</v>
      </c>
      <c r="M44" s="5" t="s">
        <v>28</v>
      </c>
      <c r="N44" s="5" t="s">
        <v>69</v>
      </c>
      <c r="O44" s="5" t="s">
        <v>24</v>
      </c>
      <c r="P44" s="5" t="s">
        <v>110</v>
      </c>
      <c r="Q44" s="5" t="s">
        <v>24</v>
      </c>
      <c r="R44" s="5" t="s">
        <v>54</v>
      </c>
      <c r="S44" s="5" t="s">
        <v>245</v>
      </c>
      <c r="T44" s="9" t="s">
        <v>35</v>
      </c>
      <c r="U44" s="5"/>
      <c r="V44" s="8" t="s">
        <v>35</v>
      </c>
    </row>
    <row r="45" spans="1:22" ht="80.099999999999994" hidden="1">
      <c r="A45" s="5" t="s">
        <v>246</v>
      </c>
      <c r="B45" s="5" t="s">
        <v>23</v>
      </c>
      <c r="C45" s="5" t="s">
        <v>24</v>
      </c>
      <c r="D45" s="5" t="s">
        <v>25</v>
      </c>
      <c r="E45" s="5" t="s">
        <v>236</v>
      </c>
      <c r="F45" s="5" t="s">
        <v>237</v>
      </c>
      <c r="G45" s="5" t="s">
        <v>238</v>
      </c>
      <c r="H45" s="5" t="s">
        <v>28</v>
      </c>
      <c r="I45" s="5" t="s">
        <v>28</v>
      </c>
      <c r="J45" s="6" t="s">
        <v>247</v>
      </c>
      <c r="K45" s="5" t="s">
        <v>24</v>
      </c>
      <c r="L45" s="5" t="s">
        <v>248</v>
      </c>
      <c r="M45" s="5" t="s">
        <v>28</v>
      </c>
      <c r="N45" s="5" t="s">
        <v>69</v>
      </c>
      <c r="O45" s="5" t="s">
        <v>24</v>
      </c>
      <c r="P45" s="5" t="s">
        <v>110</v>
      </c>
      <c r="Q45" s="5" t="s">
        <v>24</v>
      </c>
      <c r="R45" s="5" t="s">
        <v>54</v>
      </c>
      <c r="S45" s="5" t="s">
        <v>144</v>
      </c>
      <c r="T45" s="9" t="s">
        <v>65</v>
      </c>
      <c r="U45" s="5"/>
      <c r="V45" s="8" t="s">
        <v>54</v>
      </c>
    </row>
    <row r="46" spans="1:22" ht="99.95">
      <c r="A46" s="5" t="s">
        <v>249</v>
      </c>
      <c r="B46" s="5" t="s">
        <v>23</v>
      </c>
      <c r="C46" s="5" t="s">
        <v>24</v>
      </c>
      <c r="D46" s="5" t="s">
        <v>25</v>
      </c>
      <c r="E46" s="5" t="s">
        <v>236</v>
      </c>
      <c r="F46" s="5" t="s">
        <v>237</v>
      </c>
      <c r="G46" s="5" t="s">
        <v>250</v>
      </c>
      <c r="H46" s="5" t="s">
        <v>28</v>
      </c>
      <c r="I46" s="5" t="s">
        <v>28</v>
      </c>
      <c r="J46" s="6" t="s">
        <v>251</v>
      </c>
      <c r="K46" s="5" t="s">
        <v>24</v>
      </c>
      <c r="L46" s="5" t="s">
        <v>252</v>
      </c>
      <c r="M46" s="5" t="s">
        <v>28</v>
      </c>
      <c r="N46" s="5" t="s">
        <v>188</v>
      </c>
      <c r="O46" s="5" t="s">
        <v>24</v>
      </c>
      <c r="P46" s="5" t="s">
        <v>63</v>
      </c>
      <c r="Q46" s="5" t="s">
        <v>24</v>
      </c>
      <c r="R46" s="5" t="s">
        <v>63</v>
      </c>
      <c r="S46" s="5" t="s">
        <v>253</v>
      </c>
      <c r="T46" s="9" t="s">
        <v>35</v>
      </c>
      <c r="U46" s="5" t="s">
        <v>254</v>
      </c>
      <c r="V46" s="8" t="s">
        <v>25</v>
      </c>
    </row>
    <row r="47" spans="1:22" ht="80.099999999999994">
      <c r="A47" s="5" t="s">
        <v>255</v>
      </c>
      <c r="B47" s="5" t="s">
        <v>23</v>
      </c>
      <c r="C47" s="5" t="s">
        <v>24</v>
      </c>
      <c r="D47" s="5" t="s">
        <v>25</v>
      </c>
      <c r="E47" s="5" t="s">
        <v>236</v>
      </c>
      <c r="F47" s="5" t="s">
        <v>256</v>
      </c>
      <c r="G47" s="5" t="s">
        <v>257</v>
      </c>
      <c r="H47" s="5" t="s">
        <v>28</v>
      </c>
      <c r="I47" s="5" t="s">
        <v>28</v>
      </c>
      <c r="J47" s="6" t="s">
        <v>258</v>
      </c>
      <c r="K47" s="5" t="s">
        <v>24</v>
      </c>
      <c r="L47" s="5" t="s">
        <v>259</v>
      </c>
      <c r="M47" s="5" t="s">
        <v>28</v>
      </c>
      <c r="N47" s="5" t="s">
        <v>69</v>
      </c>
      <c r="O47" s="5" t="s">
        <v>24</v>
      </c>
      <c r="P47" s="5" t="s">
        <v>34</v>
      </c>
      <c r="Q47" s="5" t="s">
        <v>24</v>
      </c>
      <c r="R47" s="5" t="s">
        <v>54</v>
      </c>
      <c r="S47" s="5" t="s">
        <v>260</v>
      </c>
      <c r="T47" s="9" t="s">
        <v>35</v>
      </c>
      <c r="U47" s="5" t="s">
        <v>261</v>
      </c>
      <c r="V47" s="8" t="s">
        <v>25</v>
      </c>
    </row>
    <row r="48" spans="1:22" ht="80.099999999999994">
      <c r="A48" s="5" t="s">
        <v>262</v>
      </c>
      <c r="B48" s="5" t="s">
        <v>23</v>
      </c>
      <c r="C48" s="5" t="s">
        <v>24</v>
      </c>
      <c r="D48" s="5" t="s">
        <v>25</v>
      </c>
      <c r="E48" s="5" t="s">
        <v>236</v>
      </c>
      <c r="F48" s="5" t="s">
        <v>256</v>
      </c>
      <c r="G48" s="5" t="s">
        <v>257</v>
      </c>
      <c r="H48" s="5" t="s">
        <v>28</v>
      </c>
      <c r="I48" s="5" t="s">
        <v>28</v>
      </c>
      <c r="J48" s="6" t="s">
        <v>263</v>
      </c>
      <c r="K48" s="5" t="s">
        <v>24</v>
      </c>
      <c r="L48" s="5" t="s">
        <v>264</v>
      </c>
      <c r="M48" s="5" t="s">
        <v>28</v>
      </c>
      <c r="N48" s="5" t="s">
        <v>69</v>
      </c>
      <c r="O48" s="5" t="s">
        <v>24</v>
      </c>
      <c r="P48" s="5" t="s">
        <v>34</v>
      </c>
      <c r="Q48" s="5" t="s">
        <v>24</v>
      </c>
      <c r="R48" s="5" t="s">
        <v>54</v>
      </c>
      <c r="S48" s="5" t="s">
        <v>260</v>
      </c>
      <c r="T48" s="9" t="s">
        <v>35</v>
      </c>
      <c r="U48" s="5" t="s">
        <v>261</v>
      </c>
      <c r="V48" s="8" t="s">
        <v>25</v>
      </c>
    </row>
    <row r="49" spans="1:22" ht="140.1">
      <c r="A49" s="5" t="s">
        <v>265</v>
      </c>
      <c r="B49" s="5" t="s">
        <v>23</v>
      </c>
      <c r="C49" s="5" t="s">
        <v>24</v>
      </c>
      <c r="D49" s="5" t="s">
        <v>25</v>
      </c>
      <c r="E49" s="5" t="s">
        <v>236</v>
      </c>
      <c r="F49" s="5" t="s">
        <v>256</v>
      </c>
      <c r="G49" s="5" t="s">
        <v>257</v>
      </c>
      <c r="H49" s="5" t="s">
        <v>28</v>
      </c>
      <c r="I49" s="5" t="s">
        <v>28</v>
      </c>
      <c r="J49" s="6" t="s">
        <v>266</v>
      </c>
      <c r="K49" s="5" t="s">
        <v>24</v>
      </c>
      <c r="L49" s="5" t="s">
        <v>267</v>
      </c>
      <c r="M49" s="5" t="s">
        <v>28</v>
      </c>
      <c r="N49" s="5" t="s">
        <v>69</v>
      </c>
      <c r="O49" s="5" t="s">
        <v>24</v>
      </c>
      <c r="P49" s="5" t="s">
        <v>110</v>
      </c>
      <c r="Q49" s="5" t="s">
        <v>24</v>
      </c>
      <c r="R49" s="5" t="s">
        <v>63</v>
      </c>
      <c r="S49" s="5" t="s">
        <v>268</v>
      </c>
      <c r="T49" s="9" t="s">
        <v>35</v>
      </c>
      <c r="U49" s="5" t="s">
        <v>261</v>
      </c>
      <c r="V49" s="8" t="s">
        <v>25</v>
      </c>
    </row>
    <row r="50" spans="1:22" ht="80.099999999999994">
      <c r="A50" s="5" t="s">
        <v>269</v>
      </c>
      <c r="B50" s="5" t="s">
        <v>23</v>
      </c>
      <c r="C50" s="5" t="s">
        <v>24</v>
      </c>
      <c r="D50" s="5" t="s">
        <v>25</v>
      </c>
      <c r="E50" s="5" t="s">
        <v>236</v>
      </c>
      <c r="F50" s="5" t="s">
        <v>256</v>
      </c>
      <c r="G50" s="5" t="s">
        <v>257</v>
      </c>
      <c r="H50" s="5" t="s">
        <v>28</v>
      </c>
      <c r="I50" s="5" t="s">
        <v>28</v>
      </c>
      <c r="J50" s="6" t="s">
        <v>270</v>
      </c>
      <c r="K50" s="5" t="s">
        <v>24</v>
      </c>
      <c r="L50" s="5" t="s">
        <v>271</v>
      </c>
      <c r="M50" s="5" t="s">
        <v>28</v>
      </c>
      <c r="N50" s="5" t="s">
        <v>69</v>
      </c>
      <c r="O50" s="5" t="s">
        <v>24</v>
      </c>
      <c r="P50" s="5" t="s">
        <v>34</v>
      </c>
      <c r="Q50" s="5" t="s">
        <v>24</v>
      </c>
      <c r="R50" s="5" t="s">
        <v>54</v>
      </c>
      <c r="S50" s="5" t="s">
        <v>260</v>
      </c>
      <c r="T50" s="9" t="s">
        <v>35</v>
      </c>
      <c r="U50" s="5" t="s">
        <v>261</v>
      </c>
      <c r="V50" s="8" t="s">
        <v>25</v>
      </c>
    </row>
    <row r="51" spans="1:22" ht="80.099999999999994">
      <c r="A51" s="5" t="s">
        <v>272</v>
      </c>
      <c r="B51" s="5" t="s">
        <v>23</v>
      </c>
      <c r="C51" s="5" t="s">
        <v>24</v>
      </c>
      <c r="D51" s="5" t="s">
        <v>25</v>
      </c>
      <c r="E51" s="5" t="s">
        <v>236</v>
      </c>
      <c r="F51" s="5" t="s">
        <v>256</v>
      </c>
      <c r="G51" s="5" t="s">
        <v>257</v>
      </c>
      <c r="H51" s="5" t="s">
        <v>28</v>
      </c>
      <c r="I51" s="5" t="s">
        <v>28</v>
      </c>
      <c r="J51" s="6" t="s">
        <v>273</v>
      </c>
      <c r="K51" s="5" t="s">
        <v>24</v>
      </c>
      <c r="L51" s="5" t="s">
        <v>274</v>
      </c>
      <c r="M51" s="5" t="s">
        <v>28</v>
      </c>
      <c r="N51" s="5" t="s">
        <v>69</v>
      </c>
      <c r="O51" s="5" t="s">
        <v>24</v>
      </c>
      <c r="P51" s="5" t="s">
        <v>34</v>
      </c>
      <c r="Q51" s="5" t="s">
        <v>24</v>
      </c>
      <c r="R51" s="5" t="s">
        <v>54</v>
      </c>
      <c r="S51" s="5" t="s">
        <v>260</v>
      </c>
      <c r="T51" s="9" t="s">
        <v>35</v>
      </c>
      <c r="U51" s="5" t="s">
        <v>261</v>
      </c>
      <c r="V51" s="8" t="s">
        <v>25</v>
      </c>
    </row>
    <row r="52" spans="1:22" ht="80.099999999999994">
      <c r="A52" s="5" t="s">
        <v>275</v>
      </c>
      <c r="B52" s="5" t="s">
        <v>23</v>
      </c>
      <c r="C52" s="5" t="s">
        <v>24</v>
      </c>
      <c r="D52" s="5" t="s">
        <v>25</v>
      </c>
      <c r="E52" s="5" t="s">
        <v>236</v>
      </c>
      <c r="F52" s="5" t="s">
        <v>256</v>
      </c>
      <c r="G52" s="5" t="s">
        <v>257</v>
      </c>
      <c r="H52" s="5" t="s">
        <v>28</v>
      </c>
      <c r="I52" s="5" t="s">
        <v>28</v>
      </c>
      <c r="J52" s="6" t="s">
        <v>276</v>
      </c>
      <c r="K52" s="5" t="s">
        <v>108</v>
      </c>
      <c r="L52" s="5" t="s">
        <v>277</v>
      </c>
      <c r="M52" s="5" t="s">
        <v>28</v>
      </c>
      <c r="N52" s="5" t="s">
        <v>69</v>
      </c>
      <c r="O52" s="5" t="s">
        <v>24</v>
      </c>
      <c r="P52" s="5" t="s">
        <v>34</v>
      </c>
      <c r="Q52" s="5" t="s">
        <v>24</v>
      </c>
      <c r="R52" s="5" t="s">
        <v>54</v>
      </c>
      <c r="S52" s="5" t="s">
        <v>260</v>
      </c>
      <c r="T52" s="9" t="s">
        <v>35</v>
      </c>
      <c r="U52" s="5" t="s">
        <v>261</v>
      </c>
      <c r="V52" s="8" t="s">
        <v>25</v>
      </c>
    </row>
    <row r="53" spans="1:22" ht="120">
      <c r="A53" s="5" t="s">
        <v>278</v>
      </c>
      <c r="B53" s="5" t="s">
        <v>23</v>
      </c>
      <c r="C53" s="5" t="s">
        <v>24</v>
      </c>
      <c r="D53" s="5" t="s">
        <v>25</v>
      </c>
      <c r="E53" s="5" t="s">
        <v>236</v>
      </c>
      <c r="F53" s="5" t="s">
        <v>256</v>
      </c>
      <c r="G53" s="5" t="s">
        <v>257</v>
      </c>
      <c r="H53" s="5" t="s">
        <v>28</v>
      </c>
      <c r="I53" s="5" t="s">
        <v>28</v>
      </c>
      <c r="J53" s="6" t="s">
        <v>279</v>
      </c>
      <c r="K53" s="5" t="s">
        <v>108</v>
      </c>
      <c r="L53" s="5" t="s">
        <v>280</v>
      </c>
      <c r="M53" s="5" t="s">
        <v>28</v>
      </c>
      <c r="N53" s="5" t="s">
        <v>33</v>
      </c>
      <c r="O53" s="5" t="s">
        <v>24</v>
      </c>
      <c r="P53" s="5" t="s">
        <v>110</v>
      </c>
      <c r="Q53" s="5" t="s">
        <v>24</v>
      </c>
      <c r="R53" s="5" t="s">
        <v>25</v>
      </c>
      <c r="S53" s="5" t="s">
        <v>281</v>
      </c>
      <c r="T53" s="9" t="s">
        <v>35</v>
      </c>
      <c r="U53" s="5"/>
      <c r="V53" s="8" t="s">
        <v>25</v>
      </c>
    </row>
    <row r="54" spans="1:22" ht="60">
      <c r="A54" s="5" t="s">
        <v>282</v>
      </c>
      <c r="B54" s="5" t="s">
        <v>47</v>
      </c>
      <c r="C54" s="5" t="s">
        <v>24</v>
      </c>
      <c r="D54" s="5" t="s">
        <v>25</v>
      </c>
      <c r="E54" s="5" t="s">
        <v>283</v>
      </c>
      <c r="F54" s="5" t="s">
        <v>284</v>
      </c>
      <c r="G54" s="5" t="s">
        <v>28</v>
      </c>
      <c r="H54" s="5" t="s">
        <v>28</v>
      </c>
      <c r="I54" s="5" t="s">
        <v>28</v>
      </c>
      <c r="J54" s="6" t="s">
        <v>285</v>
      </c>
      <c r="K54" s="5" t="s">
        <v>24</v>
      </c>
      <c r="L54" s="5" t="s">
        <v>286</v>
      </c>
      <c r="M54" s="5" t="s">
        <v>28</v>
      </c>
      <c r="N54" s="5" t="s">
        <v>69</v>
      </c>
      <c r="O54" s="5" t="s">
        <v>24</v>
      </c>
      <c r="P54" s="5" t="s">
        <v>34</v>
      </c>
      <c r="Q54" s="5" t="s">
        <v>24</v>
      </c>
      <c r="R54" s="5" t="s">
        <v>24</v>
      </c>
      <c r="S54" s="5" t="s">
        <v>24</v>
      </c>
      <c r="T54" s="9" t="s">
        <v>35</v>
      </c>
      <c r="U54" s="5" t="s">
        <v>287</v>
      </c>
      <c r="V54" s="8" t="s">
        <v>25</v>
      </c>
    </row>
    <row r="55" spans="1:22" ht="80.099999999999994">
      <c r="A55" s="5" t="s">
        <v>288</v>
      </c>
      <c r="B55" s="5" t="s">
        <v>47</v>
      </c>
      <c r="C55" s="5" t="s">
        <v>24</v>
      </c>
      <c r="D55" s="5" t="s">
        <v>25</v>
      </c>
      <c r="E55" s="5" t="s">
        <v>283</v>
      </c>
      <c r="F55" s="5" t="s">
        <v>284</v>
      </c>
      <c r="G55" s="5" t="s">
        <v>28</v>
      </c>
      <c r="H55" s="5" t="s">
        <v>28</v>
      </c>
      <c r="I55" s="5" t="s">
        <v>28</v>
      </c>
      <c r="J55" s="6" t="s">
        <v>289</v>
      </c>
      <c r="K55" s="5" t="s">
        <v>165</v>
      </c>
      <c r="L55" s="5" t="s">
        <v>290</v>
      </c>
      <c r="M55" s="5" t="s">
        <v>28</v>
      </c>
      <c r="N55" s="5" t="s">
        <v>69</v>
      </c>
      <c r="O55" s="5" t="s">
        <v>24</v>
      </c>
      <c r="P55" s="5" t="s">
        <v>213</v>
      </c>
      <c r="Q55" s="5" t="s">
        <v>24</v>
      </c>
      <c r="R55" s="5" t="s">
        <v>25</v>
      </c>
      <c r="S55" s="5" t="s">
        <v>291</v>
      </c>
      <c r="T55" s="9" t="s">
        <v>35</v>
      </c>
      <c r="U55" s="5" t="s">
        <v>287</v>
      </c>
      <c r="V55" s="8" t="s">
        <v>25</v>
      </c>
    </row>
    <row r="56" spans="1:22" ht="80.099999999999994">
      <c r="A56" s="5" t="s">
        <v>292</v>
      </c>
      <c r="B56" s="5" t="s">
        <v>47</v>
      </c>
      <c r="C56" s="5" t="s">
        <v>24</v>
      </c>
      <c r="D56" s="5" t="s">
        <v>25</v>
      </c>
      <c r="E56" s="5" t="s">
        <v>283</v>
      </c>
      <c r="F56" s="5" t="s">
        <v>284</v>
      </c>
      <c r="G56" s="5" t="s">
        <v>28</v>
      </c>
      <c r="H56" s="5" t="s">
        <v>28</v>
      </c>
      <c r="I56" s="5" t="s">
        <v>28</v>
      </c>
      <c r="J56" s="6" t="s">
        <v>293</v>
      </c>
      <c r="K56" s="5" t="s">
        <v>24</v>
      </c>
      <c r="L56" s="5" t="s">
        <v>294</v>
      </c>
      <c r="M56" s="5" t="s">
        <v>28</v>
      </c>
      <c r="N56" s="5" t="s">
        <v>69</v>
      </c>
      <c r="O56" s="5" t="s">
        <v>24</v>
      </c>
      <c r="P56" s="5" t="s">
        <v>34</v>
      </c>
      <c r="Q56" s="5" t="s">
        <v>24</v>
      </c>
      <c r="R56" s="5" t="s">
        <v>54</v>
      </c>
      <c r="S56" s="5" t="s">
        <v>295</v>
      </c>
      <c r="T56" s="9" t="s">
        <v>35</v>
      </c>
      <c r="U56" s="5" t="s">
        <v>287</v>
      </c>
      <c r="V56" s="8" t="s">
        <v>25</v>
      </c>
    </row>
    <row r="57" spans="1:22" ht="99.95">
      <c r="A57" s="5" t="s">
        <v>296</v>
      </c>
      <c r="B57" s="5" t="s">
        <v>47</v>
      </c>
      <c r="C57" s="5" t="s">
        <v>24</v>
      </c>
      <c r="D57" s="5" t="s">
        <v>25</v>
      </c>
      <c r="E57" s="5" t="s">
        <v>283</v>
      </c>
      <c r="F57" s="5" t="s">
        <v>284</v>
      </c>
      <c r="G57" s="5" t="s">
        <v>28</v>
      </c>
      <c r="H57" s="5" t="s">
        <v>28</v>
      </c>
      <c r="I57" s="5" t="s">
        <v>28</v>
      </c>
      <c r="J57" s="6" t="s">
        <v>297</v>
      </c>
      <c r="K57" s="5" t="s">
        <v>108</v>
      </c>
      <c r="L57" s="5" t="s">
        <v>298</v>
      </c>
      <c r="M57" s="5" t="s">
        <v>28</v>
      </c>
      <c r="N57" s="5" t="s">
        <v>69</v>
      </c>
      <c r="O57" s="5" t="s">
        <v>24</v>
      </c>
      <c r="P57" s="5" t="s">
        <v>110</v>
      </c>
      <c r="Q57" s="5" t="s">
        <v>24</v>
      </c>
      <c r="R57" s="5" t="s">
        <v>63</v>
      </c>
      <c r="S57" s="5" t="s">
        <v>299</v>
      </c>
      <c r="T57" s="9" t="s">
        <v>35</v>
      </c>
      <c r="U57" s="5" t="s">
        <v>287</v>
      </c>
      <c r="V57" s="8" t="s">
        <v>25</v>
      </c>
    </row>
    <row r="58" spans="1:22" ht="99.95">
      <c r="A58" s="5" t="s">
        <v>300</v>
      </c>
      <c r="B58" s="5" t="s">
        <v>47</v>
      </c>
      <c r="C58" s="5" t="s">
        <v>24</v>
      </c>
      <c r="D58" s="5" t="s">
        <v>25</v>
      </c>
      <c r="E58" s="5" t="s">
        <v>283</v>
      </c>
      <c r="F58" s="5" t="s">
        <v>284</v>
      </c>
      <c r="G58" s="5" t="s">
        <v>28</v>
      </c>
      <c r="H58" s="5" t="s">
        <v>28</v>
      </c>
      <c r="I58" s="5" t="s">
        <v>28</v>
      </c>
      <c r="J58" s="6" t="s">
        <v>301</v>
      </c>
      <c r="K58" s="5" t="s">
        <v>108</v>
      </c>
      <c r="L58" s="5" t="s">
        <v>302</v>
      </c>
      <c r="M58" s="5" t="s">
        <v>28</v>
      </c>
      <c r="N58" s="5" t="s">
        <v>69</v>
      </c>
      <c r="O58" s="5" t="s">
        <v>24</v>
      </c>
      <c r="P58" s="5" t="s">
        <v>110</v>
      </c>
      <c r="Q58" s="5" t="s">
        <v>24</v>
      </c>
      <c r="R58" s="5" t="s">
        <v>63</v>
      </c>
      <c r="S58" s="5" t="s">
        <v>303</v>
      </c>
      <c r="T58" s="9" t="s">
        <v>35</v>
      </c>
      <c r="U58" s="5" t="s">
        <v>287</v>
      </c>
      <c r="V58" s="8" t="s">
        <v>25</v>
      </c>
    </row>
    <row r="59" spans="1:22" ht="80.099999999999994">
      <c r="A59" s="5" t="s">
        <v>304</v>
      </c>
      <c r="B59" s="5" t="s">
        <v>47</v>
      </c>
      <c r="C59" s="5" t="s">
        <v>24</v>
      </c>
      <c r="D59" s="5" t="s">
        <v>25</v>
      </c>
      <c r="E59" s="5" t="s">
        <v>283</v>
      </c>
      <c r="F59" s="5" t="s">
        <v>284</v>
      </c>
      <c r="G59" s="5" t="s">
        <v>28</v>
      </c>
      <c r="H59" s="5" t="s">
        <v>28</v>
      </c>
      <c r="I59" s="5" t="s">
        <v>28</v>
      </c>
      <c r="J59" s="6" t="s">
        <v>305</v>
      </c>
      <c r="K59" s="5" t="s">
        <v>165</v>
      </c>
      <c r="L59" s="5" t="s">
        <v>306</v>
      </c>
      <c r="M59" s="5" t="s">
        <v>28</v>
      </c>
      <c r="N59" s="5" t="s">
        <v>69</v>
      </c>
      <c r="O59" s="5" t="s">
        <v>24</v>
      </c>
      <c r="P59" s="5" t="s">
        <v>34</v>
      </c>
      <c r="Q59" s="5" t="s">
        <v>24</v>
      </c>
      <c r="R59" s="5" t="s">
        <v>54</v>
      </c>
      <c r="S59" s="5" t="s">
        <v>307</v>
      </c>
      <c r="T59" s="9" t="s">
        <v>35</v>
      </c>
      <c r="U59" s="5" t="s">
        <v>287</v>
      </c>
      <c r="V59" s="8" t="s">
        <v>25</v>
      </c>
    </row>
    <row r="60" spans="1:22" ht="80.099999999999994">
      <c r="A60" s="5" t="s">
        <v>308</v>
      </c>
      <c r="B60" s="5" t="s">
        <v>47</v>
      </c>
      <c r="C60" s="5" t="s">
        <v>24</v>
      </c>
      <c r="D60" s="5" t="s">
        <v>25</v>
      </c>
      <c r="E60" s="5" t="s">
        <v>283</v>
      </c>
      <c r="F60" s="5" t="s">
        <v>284</v>
      </c>
      <c r="G60" s="5" t="s">
        <v>28</v>
      </c>
      <c r="H60" s="5" t="s">
        <v>28</v>
      </c>
      <c r="I60" s="5" t="s">
        <v>28</v>
      </c>
      <c r="J60" s="6" t="s">
        <v>309</v>
      </c>
      <c r="K60" s="5" t="s">
        <v>24</v>
      </c>
      <c r="L60" s="5" t="s">
        <v>310</v>
      </c>
      <c r="M60" s="5" t="s">
        <v>28</v>
      </c>
      <c r="N60" s="5" t="s">
        <v>69</v>
      </c>
      <c r="O60" s="5" t="s">
        <v>24</v>
      </c>
      <c r="P60" s="5" t="s">
        <v>63</v>
      </c>
      <c r="Q60" s="5" t="s">
        <v>24</v>
      </c>
      <c r="R60" s="5" t="s">
        <v>63</v>
      </c>
      <c r="S60" s="5" t="s">
        <v>311</v>
      </c>
      <c r="T60" s="9" t="s">
        <v>35</v>
      </c>
      <c r="U60" s="5" t="s">
        <v>287</v>
      </c>
      <c r="V60" s="8" t="s">
        <v>25</v>
      </c>
    </row>
    <row r="61" spans="1:22" ht="99.95" hidden="1">
      <c r="A61" s="5" t="s">
        <v>312</v>
      </c>
      <c r="B61" s="5" t="s">
        <v>47</v>
      </c>
      <c r="C61" s="5" t="s">
        <v>24</v>
      </c>
      <c r="D61" s="5" t="s">
        <v>25</v>
      </c>
      <c r="E61" s="5" t="s">
        <v>283</v>
      </c>
      <c r="F61" s="5" t="s">
        <v>313</v>
      </c>
      <c r="G61" s="5" t="s">
        <v>28</v>
      </c>
      <c r="H61" s="5" t="s">
        <v>28</v>
      </c>
      <c r="I61" s="5" t="s">
        <v>28</v>
      </c>
      <c r="J61" s="6" t="s">
        <v>314</v>
      </c>
      <c r="K61" s="5" t="s">
        <v>42</v>
      </c>
      <c r="L61" s="5" t="s">
        <v>315</v>
      </c>
      <c r="M61" s="5" t="s">
        <v>28</v>
      </c>
      <c r="N61" s="5" t="s">
        <v>33</v>
      </c>
      <c r="O61" s="5" t="s">
        <v>24</v>
      </c>
      <c r="P61" s="5" t="s">
        <v>34</v>
      </c>
      <c r="Q61" s="5" t="s">
        <v>24</v>
      </c>
      <c r="R61" s="5" t="s">
        <v>25</v>
      </c>
      <c r="S61" s="5" t="s">
        <v>316</v>
      </c>
      <c r="T61" s="9" t="s">
        <v>35</v>
      </c>
      <c r="U61" s="5" t="s">
        <v>287</v>
      </c>
      <c r="V61" s="8" t="s">
        <v>35</v>
      </c>
    </row>
    <row r="62" spans="1:22" ht="120">
      <c r="A62" s="5" t="s">
        <v>317</v>
      </c>
      <c r="B62" s="5" t="s">
        <v>47</v>
      </c>
      <c r="C62" s="5" t="s">
        <v>24</v>
      </c>
      <c r="D62" s="5" t="s">
        <v>25</v>
      </c>
      <c r="E62" s="5" t="s">
        <v>283</v>
      </c>
      <c r="F62" s="5" t="s">
        <v>313</v>
      </c>
      <c r="G62" s="5" t="s">
        <v>28</v>
      </c>
      <c r="H62" s="5" t="s">
        <v>28</v>
      </c>
      <c r="I62" s="5" t="s">
        <v>28</v>
      </c>
      <c r="J62" s="6" t="s">
        <v>318</v>
      </c>
      <c r="K62" s="5" t="s">
        <v>42</v>
      </c>
      <c r="L62" s="5" t="s">
        <v>319</v>
      </c>
      <c r="M62" s="5" t="s">
        <v>28</v>
      </c>
      <c r="N62" s="5" t="s">
        <v>320</v>
      </c>
      <c r="O62" s="5" t="s">
        <v>24</v>
      </c>
      <c r="P62" s="5" t="s">
        <v>34</v>
      </c>
      <c r="Q62" s="5" t="s">
        <v>24</v>
      </c>
      <c r="R62" s="5" t="s">
        <v>63</v>
      </c>
      <c r="S62" s="5" t="s">
        <v>321</v>
      </c>
      <c r="T62" s="9" t="s">
        <v>35</v>
      </c>
      <c r="U62" s="5"/>
      <c r="V62" s="8" t="s">
        <v>25</v>
      </c>
    </row>
    <row r="63" spans="1:22" ht="120">
      <c r="A63" s="5" t="s">
        <v>322</v>
      </c>
      <c r="B63" s="5" t="s">
        <v>47</v>
      </c>
      <c r="C63" s="5" t="s">
        <v>24</v>
      </c>
      <c r="D63" s="5" t="s">
        <v>25</v>
      </c>
      <c r="E63" s="5" t="s">
        <v>283</v>
      </c>
      <c r="F63" s="5" t="s">
        <v>313</v>
      </c>
      <c r="G63" s="5" t="s">
        <v>28</v>
      </c>
      <c r="H63" s="5" t="s">
        <v>28</v>
      </c>
      <c r="I63" s="5" t="s">
        <v>28</v>
      </c>
      <c r="J63" s="6" t="s">
        <v>323</v>
      </c>
      <c r="K63" s="5" t="s">
        <v>24</v>
      </c>
      <c r="L63" s="5" t="s">
        <v>324</v>
      </c>
      <c r="M63" s="5" t="s">
        <v>28</v>
      </c>
      <c r="N63" s="5" t="s">
        <v>320</v>
      </c>
      <c r="O63" s="5" t="s">
        <v>24</v>
      </c>
      <c r="P63" s="5" t="s">
        <v>110</v>
      </c>
      <c r="Q63" s="5" t="s">
        <v>24</v>
      </c>
      <c r="R63" s="5" t="s">
        <v>63</v>
      </c>
      <c r="S63" s="5" t="s">
        <v>321</v>
      </c>
      <c r="T63" s="9" t="s">
        <v>35</v>
      </c>
      <c r="U63" s="5"/>
      <c r="V63" s="8" t="s">
        <v>25</v>
      </c>
    </row>
    <row r="64" spans="1:22" ht="120">
      <c r="A64" s="5" t="s">
        <v>325</v>
      </c>
      <c r="B64" s="5" t="s">
        <v>47</v>
      </c>
      <c r="C64" s="5" t="s">
        <v>24</v>
      </c>
      <c r="D64" s="5" t="s">
        <v>25</v>
      </c>
      <c r="E64" s="5" t="s">
        <v>283</v>
      </c>
      <c r="F64" s="5" t="s">
        <v>313</v>
      </c>
      <c r="G64" s="5" t="s">
        <v>28</v>
      </c>
      <c r="H64" s="5" t="s">
        <v>28</v>
      </c>
      <c r="I64" s="5" t="s">
        <v>28</v>
      </c>
      <c r="J64" s="6" t="s">
        <v>326</v>
      </c>
      <c r="K64" s="5" t="s">
        <v>24</v>
      </c>
      <c r="L64" s="5" t="s">
        <v>327</v>
      </c>
      <c r="M64" s="5" t="s">
        <v>28</v>
      </c>
      <c r="N64" s="5" t="s">
        <v>328</v>
      </c>
      <c r="O64" s="5" t="s">
        <v>24</v>
      </c>
      <c r="P64" s="5" t="s">
        <v>213</v>
      </c>
      <c r="Q64" s="5" t="s">
        <v>24</v>
      </c>
      <c r="R64" s="5" t="s">
        <v>63</v>
      </c>
      <c r="S64" s="5" t="s">
        <v>321</v>
      </c>
      <c r="T64" s="9" t="s">
        <v>35</v>
      </c>
      <c r="U64" s="5"/>
      <c r="V64" s="8" t="s">
        <v>25</v>
      </c>
    </row>
    <row r="65" spans="1:22" ht="99.95">
      <c r="A65" s="5" t="s">
        <v>329</v>
      </c>
      <c r="B65" s="5" t="s">
        <v>47</v>
      </c>
      <c r="C65" s="5" t="s">
        <v>24</v>
      </c>
      <c r="D65" s="5" t="s">
        <v>25</v>
      </c>
      <c r="E65" s="5" t="s">
        <v>330</v>
      </c>
      <c r="F65" s="5" t="s">
        <v>331</v>
      </c>
      <c r="G65" s="5" t="s">
        <v>28</v>
      </c>
      <c r="H65" s="5" t="s">
        <v>28</v>
      </c>
      <c r="I65" s="5" t="s">
        <v>28</v>
      </c>
      <c r="J65" s="6" t="s">
        <v>332</v>
      </c>
      <c r="K65" s="5" t="s">
        <v>24</v>
      </c>
      <c r="L65" s="5" t="s">
        <v>333</v>
      </c>
      <c r="M65" s="5" t="s">
        <v>28</v>
      </c>
      <c r="N65" s="5" t="s">
        <v>69</v>
      </c>
      <c r="O65" s="5" t="s">
        <v>24</v>
      </c>
      <c r="P65" s="5" t="s">
        <v>213</v>
      </c>
      <c r="Q65" s="5" t="s">
        <v>24</v>
      </c>
      <c r="R65" s="5" t="s">
        <v>54</v>
      </c>
      <c r="S65" s="5" t="s">
        <v>334</v>
      </c>
      <c r="T65" s="9" t="s">
        <v>35</v>
      </c>
      <c r="U65" s="5"/>
      <c r="V65" s="8" t="s">
        <v>25</v>
      </c>
    </row>
    <row r="66" spans="1:22" ht="99.95">
      <c r="A66" s="5" t="s">
        <v>335</v>
      </c>
      <c r="B66" s="5" t="s">
        <v>47</v>
      </c>
      <c r="C66" s="5" t="s">
        <v>24</v>
      </c>
      <c r="D66" s="5" t="s">
        <v>25</v>
      </c>
      <c r="E66" s="5" t="s">
        <v>330</v>
      </c>
      <c r="F66" s="5" t="s">
        <v>331</v>
      </c>
      <c r="G66" s="5" t="s">
        <v>28</v>
      </c>
      <c r="H66" s="5" t="s">
        <v>28</v>
      </c>
      <c r="I66" s="5" t="s">
        <v>28</v>
      </c>
      <c r="J66" s="6" t="s">
        <v>336</v>
      </c>
      <c r="K66" s="5" t="s">
        <v>24</v>
      </c>
      <c r="L66" s="5" t="s">
        <v>337</v>
      </c>
      <c r="M66" s="5" t="s">
        <v>28</v>
      </c>
      <c r="N66" s="5" t="s">
        <v>69</v>
      </c>
      <c r="O66" s="5" t="s">
        <v>24</v>
      </c>
      <c r="P66" s="5" t="s">
        <v>110</v>
      </c>
      <c r="Q66" s="5" t="s">
        <v>24</v>
      </c>
      <c r="R66" s="5" t="s">
        <v>54</v>
      </c>
      <c r="S66" s="5" t="s">
        <v>334</v>
      </c>
      <c r="T66" s="9" t="s">
        <v>35</v>
      </c>
      <c r="U66" s="5" t="s">
        <v>338</v>
      </c>
      <c r="V66" s="8" t="s">
        <v>25</v>
      </c>
    </row>
    <row r="67" spans="1:22" ht="99.95">
      <c r="A67" s="5" t="s">
        <v>339</v>
      </c>
      <c r="B67" s="5" t="s">
        <v>47</v>
      </c>
      <c r="C67" s="5" t="s">
        <v>24</v>
      </c>
      <c r="D67" s="5" t="s">
        <v>25</v>
      </c>
      <c r="E67" s="5" t="s">
        <v>330</v>
      </c>
      <c r="F67" s="5" t="s">
        <v>340</v>
      </c>
      <c r="G67" s="5" t="s">
        <v>28</v>
      </c>
      <c r="H67" s="5" t="s">
        <v>28</v>
      </c>
      <c r="I67" s="5" t="s">
        <v>28</v>
      </c>
      <c r="J67" s="6" t="s">
        <v>341</v>
      </c>
      <c r="K67" s="5" t="s">
        <v>342</v>
      </c>
      <c r="L67" s="5" t="s">
        <v>343</v>
      </c>
      <c r="M67" s="5" t="s">
        <v>28</v>
      </c>
      <c r="N67" s="5" t="s">
        <v>69</v>
      </c>
      <c r="O67" s="5" t="s">
        <v>344</v>
      </c>
      <c r="P67" s="5" t="s">
        <v>110</v>
      </c>
      <c r="Q67" s="5" t="s">
        <v>24</v>
      </c>
      <c r="R67" s="5" t="s">
        <v>54</v>
      </c>
      <c r="S67" s="5" t="s">
        <v>345</v>
      </c>
      <c r="T67" s="9" t="s">
        <v>35</v>
      </c>
      <c r="U67" s="5"/>
      <c r="V67" s="8" t="s">
        <v>25</v>
      </c>
    </row>
    <row r="68" spans="1:22" ht="99.95">
      <c r="A68" s="5" t="s">
        <v>346</v>
      </c>
      <c r="B68" s="5" t="s">
        <v>47</v>
      </c>
      <c r="C68" s="5" t="s">
        <v>24</v>
      </c>
      <c r="D68" s="5" t="s">
        <v>25</v>
      </c>
      <c r="E68" s="5" t="s">
        <v>330</v>
      </c>
      <c r="F68" s="5" t="s">
        <v>340</v>
      </c>
      <c r="G68" s="5" t="s">
        <v>28</v>
      </c>
      <c r="H68" s="5" t="s">
        <v>28</v>
      </c>
      <c r="I68" s="5" t="s">
        <v>28</v>
      </c>
      <c r="J68" s="6" t="s">
        <v>347</v>
      </c>
      <c r="K68" s="5" t="s">
        <v>342</v>
      </c>
      <c r="L68" s="5" t="s">
        <v>348</v>
      </c>
      <c r="M68" s="5" t="s">
        <v>28</v>
      </c>
      <c r="N68" s="5" t="s">
        <v>69</v>
      </c>
      <c r="O68" s="5" t="s">
        <v>344</v>
      </c>
      <c r="P68" s="5" t="s">
        <v>110</v>
      </c>
      <c r="Q68" s="5" t="s">
        <v>24</v>
      </c>
      <c r="R68" s="5" t="s">
        <v>54</v>
      </c>
      <c r="S68" s="5" t="s">
        <v>345</v>
      </c>
      <c r="T68" s="9" t="s">
        <v>35</v>
      </c>
      <c r="U68" s="5"/>
      <c r="V68" s="8" t="s">
        <v>25</v>
      </c>
    </row>
    <row r="69" spans="1:22" ht="99.95">
      <c r="A69" s="5" t="s">
        <v>349</v>
      </c>
      <c r="B69" s="5" t="s">
        <v>47</v>
      </c>
      <c r="C69" s="5" t="s">
        <v>24</v>
      </c>
      <c r="D69" s="5" t="s">
        <v>25</v>
      </c>
      <c r="E69" s="5" t="s">
        <v>330</v>
      </c>
      <c r="F69" s="5" t="s">
        <v>340</v>
      </c>
      <c r="G69" s="5" t="s">
        <v>28</v>
      </c>
      <c r="H69" s="5" t="s">
        <v>28</v>
      </c>
      <c r="I69" s="5" t="s">
        <v>28</v>
      </c>
      <c r="J69" s="6" t="s">
        <v>350</v>
      </c>
      <c r="K69" s="5" t="s">
        <v>342</v>
      </c>
      <c r="L69" s="5" t="s">
        <v>351</v>
      </c>
      <c r="M69" s="5" t="s">
        <v>28</v>
      </c>
      <c r="N69" s="5" t="s">
        <v>69</v>
      </c>
      <c r="O69" s="5" t="s">
        <v>344</v>
      </c>
      <c r="P69" s="5" t="s">
        <v>110</v>
      </c>
      <c r="Q69" s="5" t="s">
        <v>24</v>
      </c>
      <c r="R69" s="5" t="s">
        <v>54</v>
      </c>
      <c r="S69" s="5" t="s">
        <v>345</v>
      </c>
      <c r="T69" s="9" t="s">
        <v>35</v>
      </c>
      <c r="U69" s="5"/>
      <c r="V69" s="8" t="s">
        <v>25</v>
      </c>
    </row>
    <row r="70" spans="1:22" ht="99.95">
      <c r="A70" s="5" t="s">
        <v>352</v>
      </c>
      <c r="B70" s="5" t="s">
        <v>47</v>
      </c>
      <c r="C70" s="5" t="s">
        <v>24</v>
      </c>
      <c r="D70" s="5" t="s">
        <v>25</v>
      </c>
      <c r="E70" s="5" t="s">
        <v>330</v>
      </c>
      <c r="F70" s="5" t="s">
        <v>340</v>
      </c>
      <c r="G70" s="5" t="s">
        <v>28</v>
      </c>
      <c r="H70" s="5" t="s">
        <v>28</v>
      </c>
      <c r="I70" s="5" t="s">
        <v>28</v>
      </c>
      <c r="J70" s="6" t="s">
        <v>353</v>
      </c>
      <c r="K70" s="5" t="s">
        <v>342</v>
      </c>
      <c r="L70" s="5" t="s">
        <v>354</v>
      </c>
      <c r="M70" s="5" t="s">
        <v>28</v>
      </c>
      <c r="N70" s="5" t="s">
        <v>69</v>
      </c>
      <c r="O70" s="5" t="s">
        <v>344</v>
      </c>
      <c r="P70" s="5" t="s">
        <v>110</v>
      </c>
      <c r="Q70" s="5" t="s">
        <v>24</v>
      </c>
      <c r="R70" s="5" t="s">
        <v>54</v>
      </c>
      <c r="S70" s="5" t="s">
        <v>345</v>
      </c>
      <c r="T70" s="9" t="s">
        <v>35</v>
      </c>
      <c r="U70" s="5"/>
      <c r="V70" s="8" t="s">
        <v>25</v>
      </c>
    </row>
    <row r="71" spans="1:22" ht="99.95">
      <c r="A71" s="5" t="s">
        <v>355</v>
      </c>
      <c r="B71" s="5" t="s">
        <v>47</v>
      </c>
      <c r="C71" s="5" t="s">
        <v>24</v>
      </c>
      <c r="D71" s="5" t="s">
        <v>25</v>
      </c>
      <c r="E71" s="5" t="s">
        <v>330</v>
      </c>
      <c r="F71" s="5" t="s">
        <v>340</v>
      </c>
      <c r="G71" s="5" t="s">
        <v>28</v>
      </c>
      <c r="H71" s="5" t="s">
        <v>28</v>
      </c>
      <c r="I71" s="5" t="s">
        <v>28</v>
      </c>
      <c r="J71" s="6" t="s">
        <v>356</v>
      </c>
      <c r="K71" s="5" t="s">
        <v>342</v>
      </c>
      <c r="L71" s="5" t="s">
        <v>357</v>
      </c>
      <c r="M71" s="5" t="s">
        <v>28</v>
      </c>
      <c r="N71" s="5" t="s">
        <v>69</v>
      </c>
      <c r="O71" s="5" t="s">
        <v>344</v>
      </c>
      <c r="P71" s="5" t="s">
        <v>110</v>
      </c>
      <c r="Q71" s="5" t="s">
        <v>24</v>
      </c>
      <c r="R71" s="5" t="s">
        <v>54</v>
      </c>
      <c r="S71" s="5" t="s">
        <v>345</v>
      </c>
      <c r="T71" s="9" t="s">
        <v>35</v>
      </c>
      <c r="U71" s="5"/>
      <c r="V71" s="8" t="s">
        <v>25</v>
      </c>
    </row>
    <row r="72" spans="1:22" ht="99.95">
      <c r="A72" s="5" t="s">
        <v>358</v>
      </c>
      <c r="B72" s="5" t="s">
        <v>47</v>
      </c>
      <c r="C72" s="5" t="s">
        <v>24</v>
      </c>
      <c r="D72" s="5" t="s">
        <v>25</v>
      </c>
      <c r="E72" s="5" t="s">
        <v>330</v>
      </c>
      <c r="F72" s="5" t="s">
        <v>340</v>
      </c>
      <c r="G72" s="5" t="s">
        <v>28</v>
      </c>
      <c r="H72" s="5" t="s">
        <v>28</v>
      </c>
      <c r="I72" s="5" t="s">
        <v>28</v>
      </c>
      <c r="J72" s="6" t="s">
        <v>359</v>
      </c>
      <c r="K72" s="5" t="s">
        <v>342</v>
      </c>
      <c r="L72" s="5" t="s">
        <v>360</v>
      </c>
      <c r="M72" s="5" t="s">
        <v>28</v>
      </c>
      <c r="N72" s="5" t="s">
        <v>69</v>
      </c>
      <c r="O72" s="5" t="s">
        <v>344</v>
      </c>
      <c r="P72" s="5" t="s">
        <v>110</v>
      </c>
      <c r="Q72" s="5" t="s">
        <v>24</v>
      </c>
      <c r="R72" s="5" t="s">
        <v>54</v>
      </c>
      <c r="S72" s="5" t="s">
        <v>345</v>
      </c>
      <c r="T72" s="9" t="s">
        <v>35</v>
      </c>
      <c r="U72" s="5"/>
      <c r="V72" s="8" t="s">
        <v>25</v>
      </c>
    </row>
    <row r="73" spans="1:22" ht="99.95">
      <c r="A73" s="5" t="s">
        <v>361</v>
      </c>
      <c r="B73" s="5" t="s">
        <v>47</v>
      </c>
      <c r="C73" s="5" t="s">
        <v>24</v>
      </c>
      <c r="D73" s="5" t="s">
        <v>25</v>
      </c>
      <c r="E73" s="5" t="s">
        <v>330</v>
      </c>
      <c r="F73" s="5" t="s">
        <v>340</v>
      </c>
      <c r="G73" s="5" t="s">
        <v>28</v>
      </c>
      <c r="H73" s="5" t="s">
        <v>28</v>
      </c>
      <c r="I73" s="5" t="s">
        <v>28</v>
      </c>
      <c r="J73" s="6" t="s">
        <v>362</v>
      </c>
      <c r="K73" s="5" t="s">
        <v>342</v>
      </c>
      <c r="L73" s="5" t="s">
        <v>363</v>
      </c>
      <c r="M73" s="5" t="s">
        <v>28</v>
      </c>
      <c r="N73" s="5" t="s">
        <v>69</v>
      </c>
      <c r="O73" s="5" t="s">
        <v>344</v>
      </c>
      <c r="P73" s="5" t="s">
        <v>110</v>
      </c>
      <c r="Q73" s="5" t="s">
        <v>24</v>
      </c>
      <c r="R73" s="5" t="s">
        <v>54</v>
      </c>
      <c r="S73" s="5" t="s">
        <v>345</v>
      </c>
      <c r="T73" s="9" t="s">
        <v>35</v>
      </c>
      <c r="U73" s="5"/>
      <c r="V73" s="8" t="s">
        <v>25</v>
      </c>
    </row>
    <row r="74" spans="1:22" ht="120">
      <c r="A74" s="5" t="s">
        <v>364</v>
      </c>
      <c r="B74" s="5" t="s">
        <v>47</v>
      </c>
      <c r="C74" s="5" t="s">
        <v>24</v>
      </c>
      <c r="D74" s="5" t="s">
        <v>25</v>
      </c>
      <c r="E74" s="5" t="s">
        <v>330</v>
      </c>
      <c r="F74" s="5" t="s">
        <v>340</v>
      </c>
      <c r="G74" s="5" t="s">
        <v>28</v>
      </c>
      <c r="H74" s="5" t="s">
        <v>28</v>
      </c>
      <c r="I74" s="5" t="s">
        <v>28</v>
      </c>
      <c r="J74" s="6" t="s">
        <v>365</v>
      </c>
      <c r="K74" s="5" t="s">
        <v>24</v>
      </c>
      <c r="L74" s="5" t="s">
        <v>366</v>
      </c>
      <c r="M74" s="5" t="s">
        <v>28</v>
      </c>
      <c r="N74" s="5" t="s">
        <v>69</v>
      </c>
      <c r="O74" s="5" t="s">
        <v>24</v>
      </c>
      <c r="P74" s="5" t="s">
        <v>63</v>
      </c>
      <c r="Q74" s="5" t="s">
        <v>24</v>
      </c>
      <c r="R74" s="5" t="s">
        <v>54</v>
      </c>
      <c r="S74" s="5" t="s">
        <v>345</v>
      </c>
      <c r="T74" s="9" t="s">
        <v>35</v>
      </c>
      <c r="U74" s="5" t="s">
        <v>367</v>
      </c>
      <c r="V74" s="8" t="s">
        <v>25</v>
      </c>
    </row>
    <row r="75" spans="1:22" ht="80.099999999999994">
      <c r="A75" s="5" t="s">
        <v>368</v>
      </c>
      <c r="B75" s="5" t="s">
        <v>369</v>
      </c>
      <c r="C75" s="5" t="s">
        <v>24</v>
      </c>
      <c r="D75" s="5" t="s">
        <v>25</v>
      </c>
      <c r="E75" s="5" t="s">
        <v>28</v>
      </c>
      <c r="F75" s="5" t="s">
        <v>28</v>
      </c>
      <c r="G75" s="5" t="s">
        <v>28</v>
      </c>
      <c r="H75" s="5" t="s">
        <v>28</v>
      </c>
      <c r="I75" s="5" t="s">
        <v>28</v>
      </c>
      <c r="J75" s="6" t="s">
        <v>370</v>
      </c>
      <c r="K75" s="5" t="s">
        <v>108</v>
      </c>
      <c r="L75" s="5" t="s">
        <v>371</v>
      </c>
      <c r="M75" s="5" t="s">
        <v>28</v>
      </c>
      <c r="N75" s="5" t="s">
        <v>69</v>
      </c>
      <c r="O75" s="5" t="s">
        <v>372</v>
      </c>
      <c r="P75" s="5" t="s">
        <v>110</v>
      </c>
      <c r="Q75" s="5" t="s">
        <v>24</v>
      </c>
      <c r="R75" s="5" t="s">
        <v>54</v>
      </c>
      <c r="S75" s="5" t="s">
        <v>24</v>
      </c>
      <c r="T75" s="9" t="s">
        <v>35</v>
      </c>
      <c r="U75" s="5" t="s">
        <v>373</v>
      </c>
      <c r="V75" s="8" t="s">
        <v>25</v>
      </c>
    </row>
    <row r="76" spans="1:22" ht="80.099999999999994">
      <c r="A76" s="5" t="s">
        <v>374</v>
      </c>
      <c r="B76" s="5" t="s">
        <v>369</v>
      </c>
      <c r="C76" s="5" t="s">
        <v>24</v>
      </c>
      <c r="D76" s="5" t="s">
        <v>25</v>
      </c>
      <c r="E76" s="5" t="s">
        <v>28</v>
      </c>
      <c r="F76" s="5" t="s">
        <v>28</v>
      </c>
      <c r="G76" s="5" t="s">
        <v>28</v>
      </c>
      <c r="H76" s="5" t="s">
        <v>28</v>
      </c>
      <c r="I76" s="5" t="s">
        <v>28</v>
      </c>
      <c r="J76" s="6" t="s">
        <v>375</v>
      </c>
      <c r="K76" s="5" t="s">
        <v>24</v>
      </c>
      <c r="L76" s="5" t="s">
        <v>376</v>
      </c>
      <c r="M76" s="5" t="s">
        <v>28</v>
      </c>
      <c r="N76" s="5" t="s">
        <v>69</v>
      </c>
      <c r="O76" s="5" t="s">
        <v>377</v>
      </c>
      <c r="P76" s="5" t="s">
        <v>110</v>
      </c>
      <c r="Q76" s="5" t="s">
        <v>24</v>
      </c>
      <c r="R76" s="5" t="s">
        <v>54</v>
      </c>
      <c r="S76" s="5" t="s">
        <v>24</v>
      </c>
      <c r="T76" s="9" t="s">
        <v>35</v>
      </c>
      <c r="U76" s="5" t="s">
        <v>373</v>
      </c>
      <c r="V76" s="8" t="s">
        <v>25</v>
      </c>
    </row>
    <row r="77" spans="1:22" ht="80.099999999999994">
      <c r="A77" s="5" t="s">
        <v>378</v>
      </c>
      <c r="B77" s="5" t="s">
        <v>369</v>
      </c>
      <c r="C77" s="5" t="s">
        <v>24</v>
      </c>
      <c r="D77" s="5" t="s">
        <v>25</v>
      </c>
      <c r="E77" s="5" t="s">
        <v>28</v>
      </c>
      <c r="F77" s="5" t="s">
        <v>28</v>
      </c>
      <c r="G77" s="5" t="s">
        <v>28</v>
      </c>
      <c r="H77" s="5" t="s">
        <v>28</v>
      </c>
      <c r="I77" s="5" t="s">
        <v>28</v>
      </c>
      <c r="J77" s="6" t="s">
        <v>379</v>
      </c>
      <c r="K77" s="5" t="s">
        <v>108</v>
      </c>
      <c r="L77" s="5" t="s">
        <v>380</v>
      </c>
      <c r="M77" s="5" t="s">
        <v>28</v>
      </c>
      <c r="N77" s="5" t="s">
        <v>69</v>
      </c>
      <c r="O77" s="5" t="s">
        <v>377</v>
      </c>
      <c r="P77" s="5" t="s">
        <v>34</v>
      </c>
      <c r="Q77" s="5" t="s">
        <v>24</v>
      </c>
      <c r="R77" s="5" t="s">
        <v>54</v>
      </c>
      <c r="S77" s="5" t="s">
        <v>24</v>
      </c>
      <c r="T77" s="9" t="s">
        <v>35</v>
      </c>
      <c r="U77" s="5" t="s">
        <v>373</v>
      </c>
      <c r="V77" s="8" t="s">
        <v>25</v>
      </c>
    </row>
    <row r="78" spans="1:22" ht="60">
      <c r="A78" s="5" t="s">
        <v>381</v>
      </c>
      <c r="B78" s="5" t="s">
        <v>369</v>
      </c>
      <c r="C78" s="5" t="s">
        <v>24</v>
      </c>
      <c r="D78" s="5" t="s">
        <v>25</v>
      </c>
      <c r="E78" s="5" t="s">
        <v>28</v>
      </c>
      <c r="F78" s="5" t="s">
        <v>28</v>
      </c>
      <c r="G78" s="5" t="s">
        <v>28</v>
      </c>
      <c r="H78" s="5" t="s">
        <v>28</v>
      </c>
      <c r="I78" s="5" t="s">
        <v>28</v>
      </c>
      <c r="J78" s="6" t="s">
        <v>382</v>
      </c>
      <c r="K78" s="5" t="s">
        <v>24</v>
      </c>
      <c r="L78" s="5" t="s">
        <v>24</v>
      </c>
      <c r="M78" s="5" t="s">
        <v>24</v>
      </c>
      <c r="N78" s="5" t="s">
        <v>69</v>
      </c>
      <c r="O78" s="5" t="s">
        <v>372</v>
      </c>
      <c r="P78" s="5" t="s">
        <v>110</v>
      </c>
      <c r="Q78" s="5" t="s">
        <v>24</v>
      </c>
      <c r="R78" s="5" t="s">
        <v>54</v>
      </c>
      <c r="S78" s="5" t="s">
        <v>383</v>
      </c>
      <c r="T78" s="9" t="s">
        <v>35</v>
      </c>
      <c r="U78" s="5" t="s">
        <v>373</v>
      </c>
      <c r="V78" s="8" t="s">
        <v>25</v>
      </c>
    </row>
    <row r="79" spans="1:22" ht="60">
      <c r="A79" s="5" t="s">
        <v>384</v>
      </c>
      <c r="B79" s="5" t="s">
        <v>369</v>
      </c>
      <c r="C79" s="5" t="s">
        <v>24</v>
      </c>
      <c r="D79" s="5" t="s">
        <v>25</v>
      </c>
      <c r="E79" s="5" t="s">
        <v>28</v>
      </c>
      <c r="F79" s="5" t="s">
        <v>28</v>
      </c>
      <c r="G79" s="5" t="s">
        <v>28</v>
      </c>
      <c r="H79" s="5" t="s">
        <v>28</v>
      </c>
      <c r="I79" s="5" t="s">
        <v>28</v>
      </c>
      <c r="J79" s="6" t="s">
        <v>385</v>
      </c>
      <c r="K79" s="5" t="s">
        <v>24</v>
      </c>
      <c r="L79" s="5" t="s">
        <v>24</v>
      </c>
      <c r="M79" s="5" t="s">
        <v>24</v>
      </c>
      <c r="N79" s="5" t="s">
        <v>69</v>
      </c>
      <c r="O79" s="5" t="s">
        <v>377</v>
      </c>
      <c r="P79" s="5" t="s">
        <v>110</v>
      </c>
      <c r="Q79" s="5" t="s">
        <v>24</v>
      </c>
      <c r="R79" s="5" t="s">
        <v>54</v>
      </c>
      <c r="S79" s="5" t="s">
        <v>24</v>
      </c>
      <c r="T79" s="9" t="s">
        <v>35</v>
      </c>
      <c r="U79" s="5" t="s">
        <v>373</v>
      </c>
      <c r="V79" s="8" t="s">
        <v>25</v>
      </c>
    </row>
    <row r="80" spans="1:22" ht="39.950000000000003">
      <c r="A80" s="5" t="s">
        <v>386</v>
      </c>
      <c r="B80" s="5" t="s">
        <v>369</v>
      </c>
      <c r="C80" s="5" t="s">
        <v>24</v>
      </c>
      <c r="D80" s="5" t="s">
        <v>25</v>
      </c>
      <c r="E80" s="5" t="s">
        <v>28</v>
      </c>
      <c r="F80" s="5" t="s">
        <v>28</v>
      </c>
      <c r="G80" s="5" t="s">
        <v>28</v>
      </c>
      <c r="H80" s="5" t="s">
        <v>28</v>
      </c>
      <c r="I80" s="5" t="s">
        <v>28</v>
      </c>
      <c r="J80" s="6" t="s">
        <v>387</v>
      </c>
      <c r="K80" s="5" t="s">
        <v>24</v>
      </c>
      <c r="L80" s="5" t="s">
        <v>24</v>
      </c>
      <c r="M80" s="5" t="s">
        <v>24</v>
      </c>
      <c r="N80" s="5" t="s">
        <v>69</v>
      </c>
      <c r="O80" s="5" t="s">
        <v>372</v>
      </c>
      <c r="P80" s="5" t="s">
        <v>34</v>
      </c>
      <c r="Q80" s="5" t="s">
        <v>24</v>
      </c>
      <c r="R80" s="5" t="s">
        <v>54</v>
      </c>
      <c r="S80" s="5" t="s">
        <v>24</v>
      </c>
      <c r="T80" s="9" t="s">
        <v>35</v>
      </c>
      <c r="U80" s="5" t="s">
        <v>373</v>
      </c>
      <c r="V80" s="8" t="s">
        <v>25</v>
      </c>
    </row>
    <row r="81" spans="1:22" ht="80.099999999999994">
      <c r="A81" s="5" t="s">
        <v>388</v>
      </c>
      <c r="B81" s="5" t="s">
        <v>369</v>
      </c>
      <c r="C81" s="5" t="s">
        <v>24</v>
      </c>
      <c r="D81" s="5" t="s">
        <v>25</v>
      </c>
      <c r="E81" s="5" t="s">
        <v>28</v>
      </c>
      <c r="F81" s="5" t="s">
        <v>28</v>
      </c>
      <c r="G81" s="5" t="s">
        <v>28</v>
      </c>
      <c r="H81" s="5" t="s">
        <v>28</v>
      </c>
      <c r="I81" s="5" t="s">
        <v>28</v>
      </c>
      <c r="J81" s="6" t="s">
        <v>389</v>
      </c>
      <c r="K81" s="5" t="s">
        <v>24</v>
      </c>
      <c r="L81" s="5" t="s">
        <v>24</v>
      </c>
      <c r="M81" s="5" t="s">
        <v>24</v>
      </c>
      <c r="N81" s="5" t="s">
        <v>69</v>
      </c>
      <c r="O81" s="5" t="s">
        <v>377</v>
      </c>
      <c r="P81" s="5" t="s">
        <v>34</v>
      </c>
      <c r="Q81" s="5" t="s">
        <v>24</v>
      </c>
      <c r="R81" s="5" t="s">
        <v>54</v>
      </c>
      <c r="S81" s="5" t="s">
        <v>390</v>
      </c>
      <c r="T81" s="9" t="s">
        <v>35</v>
      </c>
      <c r="U81" s="5"/>
      <c r="V81" s="8" t="s">
        <v>25</v>
      </c>
    </row>
    <row r="82" spans="1:22" ht="80.099999999999994">
      <c r="A82" s="5" t="s">
        <v>391</v>
      </c>
      <c r="B82" s="5" t="s">
        <v>369</v>
      </c>
      <c r="C82" s="5" t="s">
        <v>24</v>
      </c>
      <c r="D82" s="5" t="s">
        <v>25</v>
      </c>
      <c r="E82" s="5" t="s">
        <v>28</v>
      </c>
      <c r="F82" s="5" t="s">
        <v>28</v>
      </c>
      <c r="G82" s="5" t="s">
        <v>28</v>
      </c>
      <c r="H82" s="5" t="s">
        <v>28</v>
      </c>
      <c r="I82" s="5" t="s">
        <v>28</v>
      </c>
      <c r="J82" s="6" t="s">
        <v>392</v>
      </c>
      <c r="K82" s="5" t="s">
        <v>393</v>
      </c>
      <c r="L82" s="5" t="s">
        <v>24</v>
      </c>
      <c r="M82" s="5" t="s">
        <v>24</v>
      </c>
      <c r="N82" s="5" t="s">
        <v>69</v>
      </c>
      <c r="O82" s="5" t="s">
        <v>377</v>
      </c>
      <c r="P82" s="5" t="s">
        <v>34</v>
      </c>
      <c r="Q82" s="5" t="s">
        <v>24</v>
      </c>
      <c r="R82" s="5" t="s">
        <v>63</v>
      </c>
      <c r="S82" s="5" t="s">
        <v>394</v>
      </c>
      <c r="T82" s="9" t="s">
        <v>35</v>
      </c>
      <c r="U82" s="5"/>
      <c r="V82" s="8" t="s">
        <v>25</v>
      </c>
    </row>
    <row r="83" spans="1:22" ht="120">
      <c r="A83" s="5" t="s">
        <v>395</v>
      </c>
      <c r="B83" s="5" t="s">
        <v>396</v>
      </c>
      <c r="C83" s="5" t="s">
        <v>24</v>
      </c>
      <c r="D83" s="5" t="s">
        <v>54</v>
      </c>
      <c r="E83" s="5" t="s">
        <v>28</v>
      </c>
      <c r="F83" s="5" t="s">
        <v>28</v>
      </c>
      <c r="G83" s="5" t="s">
        <v>28</v>
      </c>
      <c r="H83" s="5" t="s">
        <v>28</v>
      </c>
      <c r="I83" s="5" t="s">
        <v>28</v>
      </c>
      <c r="J83" s="6" t="s">
        <v>397</v>
      </c>
      <c r="K83" s="5" t="s">
        <v>398</v>
      </c>
      <c r="L83" s="5" t="s">
        <v>399</v>
      </c>
      <c r="M83" s="5" t="s">
        <v>28</v>
      </c>
      <c r="N83" s="5" t="s">
        <v>24</v>
      </c>
      <c r="O83" s="5" t="s">
        <v>24</v>
      </c>
      <c r="P83" s="5" t="s">
        <v>24</v>
      </c>
      <c r="Q83" s="5" t="s">
        <v>24</v>
      </c>
      <c r="R83" s="5" t="s">
        <v>24</v>
      </c>
      <c r="S83" s="5" t="s">
        <v>24</v>
      </c>
      <c r="T83" s="9" t="s">
        <v>35</v>
      </c>
      <c r="U83" s="5"/>
      <c r="V83" s="8" t="s">
        <v>25</v>
      </c>
    </row>
    <row r="84" spans="1:22" ht="80.099999999999994">
      <c r="A84" s="5" t="s">
        <v>400</v>
      </c>
      <c r="B84" s="5" t="s">
        <v>51</v>
      </c>
      <c r="C84" s="5" t="s">
        <v>24</v>
      </c>
      <c r="D84" s="5" t="s">
        <v>25</v>
      </c>
      <c r="E84" s="5" t="s">
        <v>401</v>
      </c>
      <c r="F84" s="5" t="s">
        <v>28</v>
      </c>
      <c r="G84" s="5" t="s">
        <v>28</v>
      </c>
      <c r="H84" s="5" t="s">
        <v>28</v>
      </c>
      <c r="I84" s="5" t="s">
        <v>28</v>
      </c>
      <c r="J84" s="6" t="s">
        <v>402</v>
      </c>
      <c r="K84" s="5" t="s">
        <v>24</v>
      </c>
      <c r="L84" s="5" t="s">
        <v>403</v>
      </c>
      <c r="M84" s="5" t="s">
        <v>28</v>
      </c>
      <c r="N84" s="5" t="s">
        <v>24</v>
      </c>
      <c r="O84" s="5" t="s">
        <v>24</v>
      </c>
      <c r="P84" s="5" t="s">
        <v>24</v>
      </c>
      <c r="Q84" s="5" t="s">
        <v>24</v>
      </c>
      <c r="R84" s="5" t="s">
        <v>54</v>
      </c>
      <c r="S84" s="5" t="s">
        <v>24</v>
      </c>
      <c r="T84" s="9" t="s">
        <v>35</v>
      </c>
      <c r="U84" s="5"/>
      <c r="V84" s="8" t="s">
        <v>25</v>
      </c>
    </row>
    <row r="85" spans="1:22" ht="80.099999999999994">
      <c r="A85" s="5" t="s">
        <v>404</v>
      </c>
      <c r="B85" s="5" t="s">
        <v>51</v>
      </c>
      <c r="C85" s="5" t="s">
        <v>24</v>
      </c>
      <c r="D85" s="5" t="s">
        <v>25</v>
      </c>
      <c r="E85" s="5" t="s">
        <v>405</v>
      </c>
      <c r="F85" s="5" t="s">
        <v>28</v>
      </c>
      <c r="G85" s="5" t="s">
        <v>28</v>
      </c>
      <c r="H85" s="5" t="s">
        <v>28</v>
      </c>
      <c r="I85" s="5" t="s">
        <v>28</v>
      </c>
      <c r="J85" s="6" t="s">
        <v>406</v>
      </c>
      <c r="K85" s="5" t="s">
        <v>407</v>
      </c>
      <c r="L85" s="5" t="s">
        <v>408</v>
      </c>
      <c r="M85" s="5" t="s">
        <v>28</v>
      </c>
      <c r="N85" s="5" t="s">
        <v>24</v>
      </c>
      <c r="O85" s="5" t="s">
        <v>24</v>
      </c>
      <c r="P85" s="5" t="s">
        <v>24</v>
      </c>
      <c r="Q85" s="5" t="s">
        <v>24</v>
      </c>
      <c r="R85" s="5" t="s">
        <v>24</v>
      </c>
      <c r="S85" s="5" t="s">
        <v>24</v>
      </c>
      <c r="T85" s="9" t="s">
        <v>35</v>
      </c>
      <c r="U85" s="5"/>
      <c r="V85" s="8" t="s">
        <v>25</v>
      </c>
    </row>
    <row r="86" spans="1:22" ht="120">
      <c r="A86" s="5" t="s">
        <v>409</v>
      </c>
      <c r="B86" s="5" t="s">
        <v>51</v>
      </c>
      <c r="C86" s="5" t="s">
        <v>24</v>
      </c>
      <c r="D86" s="5" t="s">
        <v>25</v>
      </c>
      <c r="E86" s="5" t="s">
        <v>410</v>
      </c>
      <c r="F86" s="5" t="s">
        <v>28</v>
      </c>
      <c r="G86" s="5" t="s">
        <v>28</v>
      </c>
      <c r="H86" s="5" t="s">
        <v>28</v>
      </c>
      <c r="I86" s="5" t="s">
        <v>28</v>
      </c>
      <c r="J86" s="6" t="s">
        <v>411</v>
      </c>
      <c r="K86" s="5" t="s">
        <v>412</v>
      </c>
      <c r="L86" s="5" t="s">
        <v>413</v>
      </c>
      <c r="M86" s="5" t="s">
        <v>28</v>
      </c>
      <c r="N86" s="5" t="s">
        <v>24</v>
      </c>
      <c r="O86" s="5" t="s">
        <v>24</v>
      </c>
      <c r="P86" s="5" t="s">
        <v>24</v>
      </c>
      <c r="Q86" s="5" t="s">
        <v>24</v>
      </c>
      <c r="R86" s="5" t="s">
        <v>24</v>
      </c>
      <c r="S86" s="5" t="s">
        <v>24</v>
      </c>
      <c r="T86" s="9" t="s">
        <v>35</v>
      </c>
      <c r="U86" s="5" t="s">
        <v>287</v>
      </c>
      <c r="V86" s="8" t="s">
        <v>25</v>
      </c>
    </row>
    <row r="87" spans="1:22" ht="39.950000000000003">
      <c r="A87" s="5" t="s">
        <v>414</v>
      </c>
      <c r="B87" s="5" t="s">
        <v>51</v>
      </c>
      <c r="C87" s="5" t="s">
        <v>24</v>
      </c>
      <c r="D87" s="5" t="s">
        <v>25</v>
      </c>
      <c r="E87" s="5" t="s">
        <v>410</v>
      </c>
      <c r="F87" s="5" t="s">
        <v>28</v>
      </c>
      <c r="G87" s="5" t="s">
        <v>28</v>
      </c>
      <c r="H87" s="5" t="s">
        <v>28</v>
      </c>
      <c r="I87" s="5" t="s">
        <v>28</v>
      </c>
      <c r="J87" s="6" t="s">
        <v>415</v>
      </c>
      <c r="K87" s="5" t="s">
        <v>412</v>
      </c>
      <c r="L87" s="5" t="s">
        <v>416</v>
      </c>
      <c r="M87" s="5" t="s">
        <v>28</v>
      </c>
      <c r="N87" s="5" t="s">
        <v>24</v>
      </c>
      <c r="O87" s="5" t="s">
        <v>24</v>
      </c>
      <c r="P87" s="5" t="s">
        <v>24</v>
      </c>
      <c r="Q87" s="5" t="s">
        <v>24</v>
      </c>
      <c r="R87" s="5" t="s">
        <v>24</v>
      </c>
      <c r="S87" s="5" t="s">
        <v>24</v>
      </c>
      <c r="T87" s="9" t="s">
        <v>35</v>
      </c>
      <c r="U87" s="5" t="s">
        <v>287</v>
      </c>
      <c r="V87" s="8" t="s">
        <v>25</v>
      </c>
    </row>
    <row r="88" spans="1:22" ht="120">
      <c r="A88" s="5" t="s">
        <v>417</v>
      </c>
      <c r="B88" s="5" t="s">
        <v>51</v>
      </c>
      <c r="C88" s="5" t="s">
        <v>24</v>
      </c>
      <c r="D88" s="5" t="s">
        <v>25</v>
      </c>
      <c r="E88" s="5" t="s">
        <v>410</v>
      </c>
      <c r="F88" s="5" t="s">
        <v>28</v>
      </c>
      <c r="G88" s="5" t="s">
        <v>28</v>
      </c>
      <c r="H88" s="5" t="s">
        <v>28</v>
      </c>
      <c r="I88" s="5" t="s">
        <v>28</v>
      </c>
      <c r="J88" s="6" t="s">
        <v>418</v>
      </c>
      <c r="K88" s="5" t="s">
        <v>90</v>
      </c>
      <c r="L88" s="5" t="s">
        <v>419</v>
      </c>
      <c r="M88" s="5" t="s">
        <v>28</v>
      </c>
      <c r="N88" s="5" t="s">
        <v>69</v>
      </c>
      <c r="O88" s="5" t="s">
        <v>420</v>
      </c>
      <c r="P88" s="5" t="s">
        <v>92</v>
      </c>
      <c r="Q88" s="5" t="s">
        <v>24</v>
      </c>
      <c r="R88" s="5" t="s">
        <v>54</v>
      </c>
      <c r="S88" s="5" t="s">
        <v>421</v>
      </c>
      <c r="T88" s="9" t="s">
        <v>35</v>
      </c>
      <c r="U88" s="5"/>
      <c r="V88" s="8" t="s">
        <v>25</v>
      </c>
    </row>
    <row r="89" spans="1:22" ht="300">
      <c r="A89" s="5" t="s">
        <v>422</v>
      </c>
      <c r="B89" s="5" t="s">
        <v>51</v>
      </c>
      <c r="C89" s="5" t="s">
        <v>24</v>
      </c>
      <c r="D89" s="5" t="s">
        <v>25</v>
      </c>
      <c r="E89" s="5" t="s">
        <v>410</v>
      </c>
      <c r="F89" s="5" t="s">
        <v>28</v>
      </c>
      <c r="G89" s="5" t="s">
        <v>28</v>
      </c>
      <c r="H89" s="5" t="s">
        <v>28</v>
      </c>
      <c r="I89" s="5" t="s">
        <v>28</v>
      </c>
      <c r="J89" s="6" t="s">
        <v>423</v>
      </c>
      <c r="K89" s="5" t="s">
        <v>24</v>
      </c>
      <c r="L89" s="5" t="s">
        <v>424</v>
      </c>
      <c r="M89" s="5" t="s">
        <v>28</v>
      </c>
      <c r="N89" s="5" t="s">
        <v>69</v>
      </c>
      <c r="O89" s="5" t="s">
        <v>344</v>
      </c>
      <c r="P89" s="5" t="s">
        <v>425</v>
      </c>
      <c r="Q89" s="5" t="s">
        <v>24</v>
      </c>
      <c r="R89" s="5" t="s">
        <v>54</v>
      </c>
      <c r="S89" s="5" t="s">
        <v>421</v>
      </c>
      <c r="T89" s="9" t="s">
        <v>35</v>
      </c>
      <c r="U89" s="5" t="s">
        <v>79</v>
      </c>
      <c r="V89" s="8" t="s">
        <v>25</v>
      </c>
    </row>
    <row r="90" spans="1:22" ht="60">
      <c r="A90" s="5" t="s">
        <v>426</v>
      </c>
      <c r="B90" s="5" t="s">
        <v>51</v>
      </c>
      <c r="C90" s="5" t="s">
        <v>24</v>
      </c>
      <c r="D90" s="5" t="s">
        <v>25</v>
      </c>
      <c r="E90" s="5" t="s">
        <v>410</v>
      </c>
      <c r="F90" s="5" t="s">
        <v>28</v>
      </c>
      <c r="G90" s="5" t="s">
        <v>28</v>
      </c>
      <c r="H90" s="5" t="s">
        <v>28</v>
      </c>
      <c r="I90" s="5" t="s">
        <v>28</v>
      </c>
      <c r="J90" s="6" t="s">
        <v>427</v>
      </c>
      <c r="K90" s="5" t="s">
        <v>428</v>
      </c>
      <c r="L90" s="5" t="s">
        <v>429</v>
      </c>
      <c r="M90" s="5" t="s">
        <v>28</v>
      </c>
      <c r="N90" s="5" t="s">
        <v>24</v>
      </c>
      <c r="O90" s="5" t="s">
        <v>24</v>
      </c>
      <c r="P90" s="5" t="s">
        <v>24</v>
      </c>
      <c r="Q90" s="5" t="s">
        <v>24</v>
      </c>
      <c r="R90" s="5" t="s">
        <v>24</v>
      </c>
      <c r="S90" s="5" t="s">
        <v>24</v>
      </c>
      <c r="T90" s="9" t="s">
        <v>35</v>
      </c>
      <c r="U90" s="5" t="s">
        <v>287</v>
      </c>
      <c r="V90" s="8" t="s">
        <v>25</v>
      </c>
    </row>
    <row r="91" spans="1:22" ht="99.95">
      <c r="A91" s="5" t="s">
        <v>430</v>
      </c>
      <c r="B91" s="5" t="s">
        <v>51</v>
      </c>
      <c r="C91" s="5" t="s">
        <v>24</v>
      </c>
      <c r="D91" s="5" t="s">
        <v>25</v>
      </c>
      <c r="E91" s="5" t="s">
        <v>410</v>
      </c>
      <c r="F91" s="5" t="s">
        <v>28</v>
      </c>
      <c r="G91" s="5" t="s">
        <v>28</v>
      </c>
      <c r="H91" s="5" t="s">
        <v>28</v>
      </c>
      <c r="I91" s="5" t="s">
        <v>28</v>
      </c>
      <c r="J91" s="6" t="s">
        <v>431</v>
      </c>
      <c r="K91" s="5" t="s">
        <v>24</v>
      </c>
      <c r="L91" s="5" t="s">
        <v>432</v>
      </c>
      <c r="M91" s="5" t="s">
        <v>28</v>
      </c>
      <c r="N91" s="5" t="s">
        <v>33</v>
      </c>
      <c r="O91" s="5" t="s">
        <v>433</v>
      </c>
      <c r="P91" s="5" t="s">
        <v>92</v>
      </c>
      <c r="Q91" s="5" t="s">
        <v>24</v>
      </c>
      <c r="R91" s="5" t="s">
        <v>25</v>
      </c>
      <c r="S91" s="5" t="s">
        <v>434</v>
      </c>
      <c r="T91" s="9" t="s">
        <v>35</v>
      </c>
      <c r="U91" s="5"/>
      <c r="V91" s="8" t="s">
        <v>25</v>
      </c>
    </row>
    <row r="92" spans="1:22" ht="80.099999999999994" hidden="1">
      <c r="A92" s="5" t="s">
        <v>435</v>
      </c>
      <c r="B92" s="5" t="s">
        <v>51</v>
      </c>
      <c r="C92" s="5" t="s">
        <v>24</v>
      </c>
      <c r="D92" s="5" t="s">
        <v>25</v>
      </c>
      <c r="E92" s="5" t="s">
        <v>410</v>
      </c>
      <c r="F92" s="5" t="s">
        <v>28</v>
      </c>
      <c r="G92" s="5" t="s">
        <v>28</v>
      </c>
      <c r="H92" s="5" t="s">
        <v>28</v>
      </c>
      <c r="I92" s="5" t="s">
        <v>28</v>
      </c>
      <c r="J92" s="6" t="s">
        <v>436</v>
      </c>
      <c r="K92" s="5" t="s">
        <v>24</v>
      </c>
      <c r="L92" s="5" t="s">
        <v>437</v>
      </c>
      <c r="M92" s="5" t="s">
        <v>28</v>
      </c>
      <c r="N92" s="5" t="s">
        <v>24</v>
      </c>
      <c r="O92" s="5" t="s">
        <v>24</v>
      </c>
      <c r="P92" s="5" t="s">
        <v>24</v>
      </c>
      <c r="Q92" s="5" t="s">
        <v>24</v>
      </c>
      <c r="R92" s="5" t="s">
        <v>24</v>
      </c>
      <c r="S92" s="5" t="s">
        <v>24</v>
      </c>
      <c r="T92" s="9" t="s">
        <v>65</v>
      </c>
      <c r="U92" s="5"/>
      <c r="V92" s="8" t="s">
        <v>54</v>
      </c>
    </row>
    <row r="93" spans="1:22" ht="99.95" hidden="1">
      <c r="A93" s="5" t="s">
        <v>438</v>
      </c>
      <c r="B93" s="5" t="s">
        <v>51</v>
      </c>
      <c r="C93" s="5" t="s">
        <v>24</v>
      </c>
      <c r="D93" s="5" t="s">
        <v>25</v>
      </c>
      <c r="E93" s="5" t="s">
        <v>410</v>
      </c>
      <c r="F93" s="5" t="s">
        <v>28</v>
      </c>
      <c r="G93" s="5" t="s">
        <v>28</v>
      </c>
      <c r="H93" s="5" t="s">
        <v>28</v>
      </c>
      <c r="I93" s="5" t="s">
        <v>28</v>
      </c>
      <c r="J93" s="6" t="s">
        <v>439</v>
      </c>
      <c r="K93" s="5" t="s">
        <v>24</v>
      </c>
      <c r="L93" s="5" t="s">
        <v>440</v>
      </c>
      <c r="M93" s="5" t="s">
        <v>28</v>
      </c>
      <c r="N93" s="5" t="s">
        <v>24</v>
      </c>
      <c r="O93" s="5" t="s">
        <v>24</v>
      </c>
      <c r="P93" s="5" t="s">
        <v>24</v>
      </c>
      <c r="Q93" s="5" t="s">
        <v>24</v>
      </c>
      <c r="R93" s="5" t="s">
        <v>24</v>
      </c>
      <c r="S93" s="5" t="s">
        <v>24</v>
      </c>
      <c r="T93" s="9" t="s">
        <v>65</v>
      </c>
      <c r="U93" s="5"/>
      <c r="V93" s="8" t="s">
        <v>54</v>
      </c>
    </row>
    <row r="94" spans="1:22" ht="99.95">
      <c r="A94" s="5" t="s">
        <v>441</v>
      </c>
      <c r="B94" s="5" t="s">
        <v>51</v>
      </c>
      <c r="C94" s="5" t="s">
        <v>24</v>
      </c>
      <c r="D94" s="5" t="s">
        <v>25</v>
      </c>
      <c r="E94" s="5" t="s">
        <v>410</v>
      </c>
      <c r="F94" s="5" t="s">
        <v>28</v>
      </c>
      <c r="G94" s="5" t="s">
        <v>28</v>
      </c>
      <c r="H94" s="5" t="s">
        <v>28</v>
      </c>
      <c r="I94" s="5" t="s">
        <v>28</v>
      </c>
      <c r="J94" s="6" t="s">
        <v>442</v>
      </c>
      <c r="K94" s="5" t="s">
        <v>165</v>
      </c>
      <c r="L94" s="5" t="s">
        <v>443</v>
      </c>
      <c r="M94" s="5" t="s">
        <v>28</v>
      </c>
      <c r="N94" s="5" t="s">
        <v>444</v>
      </c>
      <c r="O94" s="5" t="s">
        <v>28</v>
      </c>
      <c r="P94" s="5" t="s">
        <v>28</v>
      </c>
      <c r="Q94" s="5" t="s">
        <v>24</v>
      </c>
      <c r="R94" s="5" t="s">
        <v>54</v>
      </c>
      <c r="S94" s="5" t="s">
        <v>445</v>
      </c>
      <c r="T94" s="9" t="s">
        <v>35</v>
      </c>
      <c r="U94" s="5"/>
      <c r="V94" s="8" t="s">
        <v>25</v>
      </c>
    </row>
    <row r="95" spans="1:22" ht="99.95">
      <c r="A95" s="5" t="s">
        <v>446</v>
      </c>
      <c r="B95" s="5" t="s">
        <v>51</v>
      </c>
      <c r="C95" s="5" t="s">
        <v>24</v>
      </c>
      <c r="D95" s="5" t="s">
        <v>25</v>
      </c>
      <c r="E95" s="5" t="s">
        <v>410</v>
      </c>
      <c r="F95" s="5" t="s">
        <v>28</v>
      </c>
      <c r="G95" s="5" t="s">
        <v>28</v>
      </c>
      <c r="H95" s="5" t="s">
        <v>28</v>
      </c>
      <c r="I95" s="5" t="s">
        <v>28</v>
      </c>
      <c r="J95" s="6" t="s">
        <v>447</v>
      </c>
      <c r="K95" s="5" t="s">
        <v>24</v>
      </c>
      <c r="L95" s="5" t="s">
        <v>448</v>
      </c>
      <c r="M95" s="5" t="s">
        <v>28</v>
      </c>
      <c r="N95" s="5" t="s">
        <v>444</v>
      </c>
      <c r="O95" s="5" t="s">
        <v>28</v>
      </c>
      <c r="P95" s="5" t="s">
        <v>28</v>
      </c>
      <c r="Q95" s="5" t="s">
        <v>24</v>
      </c>
      <c r="R95" s="5" t="s">
        <v>54</v>
      </c>
      <c r="S95" s="5" t="s">
        <v>445</v>
      </c>
      <c r="T95" s="9" t="s">
        <v>35</v>
      </c>
      <c r="U95" s="5"/>
      <c r="V95" s="8" t="s">
        <v>25</v>
      </c>
    </row>
    <row r="96" spans="1:22" ht="409.6">
      <c r="A96" s="5" t="s">
        <v>449</v>
      </c>
      <c r="B96" s="5" t="s">
        <v>51</v>
      </c>
      <c r="C96" s="5" t="s">
        <v>24</v>
      </c>
      <c r="D96" s="5" t="s">
        <v>25</v>
      </c>
      <c r="E96" s="5" t="s">
        <v>410</v>
      </c>
      <c r="F96" s="5" t="s">
        <v>28</v>
      </c>
      <c r="G96" s="5" t="s">
        <v>28</v>
      </c>
      <c r="H96" s="5" t="s">
        <v>28</v>
      </c>
      <c r="I96" s="5" t="s">
        <v>28</v>
      </c>
      <c r="J96" s="6" t="s">
        <v>450</v>
      </c>
      <c r="K96" s="5" t="s">
        <v>24</v>
      </c>
      <c r="L96" s="5" t="s">
        <v>451</v>
      </c>
      <c r="M96" s="5" t="s">
        <v>28</v>
      </c>
      <c r="N96" s="5" t="s">
        <v>452</v>
      </c>
      <c r="O96" s="5" t="s">
        <v>433</v>
      </c>
      <c r="P96" s="5" t="s">
        <v>92</v>
      </c>
      <c r="Q96" s="5" t="s">
        <v>24</v>
      </c>
      <c r="R96" s="5" t="s">
        <v>25</v>
      </c>
      <c r="S96" s="5" t="s">
        <v>453</v>
      </c>
      <c r="T96" s="9" t="s">
        <v>35</v>
      </c>
      <c r="U96" s="5"/>
      <c r="V96" s="8" t="s">
        <v>25</v>
      </c>
    </row>
    <row r="97" spans="1:22" ht="99.95">
      <c r="A97" s="5" t="s">
        <v>454</v>
      </c>
      <c r="B97" s="5" t="s">
        <v>51</v>
      </c>
      <c r="C97" s="5" t="s">
        <v>24</v>
      </c>
      <c r="D97" s="5" t="s">
        <v>25</v>
      </c>
      <c r="E97" s="5" t="s">
        <v>410</v>
      </c>
      <c r="F97" s="5" t="s">
        <v>28</v>
      </c>
      <c r="G97" s="5" t="s">
        <v>28</v>
      </c>
      <c r="H97" s="5" t="s">
        <v>28</v>
      </c>
      <c r="I97" s="5" t="s">
        <v>28</v>
      </c>
      <c r="J97" s="6" t="s">
        <v>455</v>
      </c>
      <c r="K97" s="5" t="s">
        <v>24</v>
      </c>
      <c r="L97" s="5" t="s">
        <v>456</v>
      </c>
      <c r="M97" s="5" t="s">
        <v>28</v>
      </c>
      <c r="N97" s="5" t="s">
        <v>33</v>
      </c>
      <c r="O97" s="5" t="s">
        <v>420</v>
      </c>
      <c r="P97" s="5" t="s">
        <v>92</v>
      </c>
      <c r="Q97" s="5" t="s">
        <v>24</v>
      </c>
      <c r="R97" s="5" t="s">
        <v>63</v>
      </c>
      <c r="S97" s="5" t="s">
        <v>434</v>
      </c>
      <c r="T97" s="9" t="s">
        <v>35</v>
      </c>
      <c r="U97" s="5" t="s">
        <v>287</v>
      </c>
      <c r="V97" s="8" t="s">
        <v>25</v>
      </c>
    </row>
    <row r="98" spans="1:22" ht="99.95">
      <c r="A98" s="5" t="s">
        <v>454</v>
      </c>
      <c r="B98" s="5" t="s">
        <v>51</v>
      </c>
      <c r="C98" s="5" t="s">
        <v>24</v>
      </c>
      <c r="D98" s="5" t="s">
        <v>25</v>
      </c>
      <c r="E98" s="5" t="s">
        <v>410</v>
      </c>
      <c r="F98" s="5" t="s">
        <v>28</v>
      </c>
      <c r="G98" s="5" t="s">
        <v>28</v>
      </c>
      <c r="H98" s="5" t="s">
        <v>28</v>
      </c>
      <c r="I98" s="5" t="s">
        <v>28</v>
      </c>
      <c r="J98" s="6" t="s">
        <v>457</v>
      </c>
      <c r="K98" s="5" t="s">
        <v>24</v>
      </c>
      <c r="L98" s="5" t="s">
        <v>458</v>
      </c>
      <c r="M98" s="5" t="s">
        <v>28</v>
      </c>
      <c r="N98" s="5" t="s">
        <v>33</v>
      </c>
      <c r="O98" s="5" t="s">
        <v>433</v>
      </c>
      <c r="P98" s="5" t="s">
        <v>92</v>
      </c>
      <c r="Q98" s="5" t="s">
        <v>24</v>
      </c>
      <c r="R98" s="5" t="s">
        <v>63</v>
      </c>
      <c r="S98" s="5" t="s">
        <v>434</v>
      </c>
      <c r="T98" s="9" t="s">
        <v>35</v>
      </c>
      <c r="U98" s="5" t="s">
        <v>287</v>
      </c>
      <c r="V98" s="8" t="s">
        <v>25</v>
      </c>
    </row>
    <row r="99" spans="1:22" ht="240" hidden="1">
      <c r="A99" s="5" t="s">
        <v>459</v>
      </c>
      <c r="B99" s="5" t="s">
        <v>51</v>
      </c>
      <c r="C99" s="5" t="s">
        <v>24</v>
      </c>
      <c r="D99" s="5" t="s">
        <v>25</v>
      </c>
      <c r="E99" s="5" t="s">
        <v>460</v>
      </c>
      <c r="F99" s="5" t="s">
        <v>28</v>
      </c>
      <c r="G99" s="5" t="s">
        <v>28</v>
      </c>
      <c r="H99" s="5" t="s">
        <v>28</v>
      </c>
      <c r="I99" s="5" t="s">
        <v>28</v>
      </c>
      <c r="J99" s="6" t="s">
        <v>461</v>
      </c>
      <c r="K99" s="5" t="s">
        <v>24</v>
      </c>
      <c r="L99" s="5" t="s">
        <v>462</v>
      </c>
      <c r="M99" s="5" t="s">
        <v>28</v>
      </c>
      <c r="N99" s="5" t="s">
        <v>24</v>
      </c>
      <c r="O99" s="5" t="s">
        <v>24</v>
      </c>
      <c r="P99" s="5" t="s">
        <v>24</v>
      </c>
      <c r="Q99" s="5" t="s">
        <v>24</v>
      </c>
      <c r="R99" s="5" t="s">
        <v>54</v>
      </c>
      <c r="S99" s="5" t="s">
        <v>24</v>
      </c>
      <c r="T99" s="9" t="s">
        <v>65</v>
      </c>
      <c r="U99" s="5" t="s">
        <v>463</v>
      </c>
      <c r="V99" s="8" t="s">
        <v>54</v>
      </c>
    </row>
    <row r="100" spans="1:22" ht="140.1" hidden="1">
      <c r="A100" s="5" t="s">
        <v>464</v>
      </c>
      <c r="B100" s="5" t="s">
        <v>51</v>
      </c>
      <c r="C100" s="5" t="s">
        <v>24</v>
      </c>
      <c r="D100" s="5" t="s">
        <v>25</v>
      </c>
      <c r="E100" s="5" t="s">
        <v>460</v>
      </c>
      <c r="F100" s="5" t="s">
        <v>28</v>
      </c>
      <c r="G100" s="5" t="s">
        <v>28</v>
      </c>
      <c r="H100" s="5" t="s">
        <v>28</v>
      </c>
      <c r="I100" s="5" t="s">
        <v>28</v>
      </c>
      <c r="J100" s="6" t="s">
        <v>465</v>
      </c>
      <c r="K100" s="5" t="s">
        <v>24</v>
      </c>
      <c r="L100" s="5" t="s">
        <v>466</v>
      </c>
      <c r="M100" s="5" t="s">
        <v>28</v>
      </c>
      <c r="N100" s="5" t="s">
        <v>24</v>
      </c>
      <c r="O100" s="5" t="s">
        <v>24</v>
      </c>
      <c r="P100" s="5" t="s">
        <v>24</v>
      </c>
      <c r="Q100" s="5" t="s">
        <v>24</v>
      </c>
      <c r="R100" s="5" t="s">
        <v>54</v>
      </c>
      <c r="S100" s="5" t="s">
        <v>24</v>
      </c>
      <c r="T100" s="9" t="s">
        <v>65</v>
      </c>
      <c r="U100" s="5" t="s">
        <v>463</v>
      </c>
      <c r="V100" s="8" t="s">
        <v>54</v>
      </c>
    </row>
    <row r="101" spans="1:22" ht="80.099999999999994" hidden="1">
      <c r="A101" s="5" t="s">
        <v>467</v>
      </c>
      <c r="B101" s="5" t="s">
        <v>51</v>
      </c>
      <c r="C101" s="5" t="s">
        <v>24</v>
      </c>
      <c r="D101" s="5" t="s">
        <v>25</v>
      </c>
      <c r="E101" s="5" t="s">
        <v>460</v>
      </c>
      <c r="F101" s="5" t="s">
        <v>28</v>
      </c>
      <c r="G101" s="5" t="s">
        <v>28</v>
      </c>
      <c r="H101" s="5" t="s">
        <v>28</v>
      </c>
      <c r="I101" s="5" t="s">
        <v>28</v>
      </c>
      <c r="J101" s="6" t="s">
        <v>468</v>
      </c>
      <c r="K101" s="5" t="s">
        <v>24</v>
      </c>
      <c r="L101" s="5" t="s">
        <v>469</v>
      </c>
      <c r="M101" s="5" t="s">
        <v>28</v>
      </c>
      <c r="N101" s="5" t="s">
        <v>24</v>
      </c>
      <c r="O101" s="5" t="s">
        <v>24</v>
      </c>
      <c r="P101" s="5" t="s">
        <v>24</v>
      </c>
      <c r="Q101" s="5" t="s">
        <v>24</v>
      </c>
      <c r="R101" s="5" t="s">
        <v>54</v>
      </c>
      <c r="S101" s="5" t="s">
        <v>24</v>
      </c>
      <c r="T101" s="9" t="s">
        <v>65</v>
      </c>
      <c r="U101" s="5"/>
      <c r="V101" s="8" t="s">
        <v>54</v>
      </c>
    </row>
    <row r="102" spans="1:22" ht="159.94999999999999">
      <c r="A102" s="5" t="s">
        <v>470</v>
      </c>
      <c r="B102" s="5" t="s">
        <v>51</v>
      </c>
      <c r="C102" s="5" t="s">
        <v>24</v>
      </c>
      <c r="D102" s="5" t="s">
        <v>25</v>
      </c>
      <c r="E102" s="5" t="s">
        <v>471</v>
      </c>
      <c r="F102" s="5" t="s">
        <v>28</v>
      </c>
      <c r="G102" s="5" t="s">
        <v>28</v>
      </c>
      <c r="H102" s="5" t="s">
        <v>28</v>
      </c>
      <c r="I102" s="5" t="s">
        <v>28</v>
      </c>
      <c r="J102" s="6" t="s">
        <v>472</v>
      </c>
      <c r="K102" s="5" t="s">
        <v>24</v>
      </c>
      <c r="L102" s="5" t="s">
        <v>473</v>
      </c>
      <c r="M102" s="5" t="s">
        <v>28</v>
      </c>
      <c r="N102" s="5" t="s">
        <v>444</v>
      </c>
      <c r="O102" s="5" t="s">
        <v>28</v>
      </c>
      <c r="P102" s="5" t="s">
        <v>28</v>
      </c>
      <c r="Q102" s="5" t="s">
        <v>24</v>
      </c>
      <c r="R102" s="5" t="s">
        <v>54</v>
      </c>
      <c r="S102" s="5" t="s">
        <v>445</v>
      </c>
      <c r="T102" s="9" t="s">
        <v>35</v>
      </c>
      <c r="U102" s="5" t="s">
        <v>261</v>
      </c>
      <c r="V102" s="8" t="s">
        <v>25</v>
      </c>
    </row>
    <row r="103" spans="1:22" ht="39.950000000000003" hidden="1">
      <c r="A103" s="5" t="s">
        <v>474</v>
      </c>
      <c r="B103" s="5" t="s">
        <v>51</v>
      </c>
      <c r="C103" s="5" t="s">
        <v>24</v>
      </c>
      <c r="D103" s="5" t="s">
        <v>25</v>
      </c>
      <c r="E103" s="5" t="s">
        <v>475</v>
      </c>
      <c r="F103" s="5" t="s">
        <v>28</v>
      </c>
      <c r="G103" s="5" t="s">
        <v>28</v>
      </c>
      <c r="H103" s="5" t="s">
        <v>28</v>
      </c>
      <c r="I103" s="5" t="s">
        <v>28</v>
      </c>
      <c r="J103" s="6" t="s">
        <v>476</v>
      </c>
      <c r="K103" s="5" t="s">
        <v>24</v>
      </c>
      <c r="L103" s="5" t="s">
        <v>477</v>
      </c>
      <c r="M103" s="5" t="s">
        <v>28</v>
      </c>
      <c r="N103" s="5" t="s">
        <v>24</v>
      </c>
      <c r="O103" s="5" t="s">
        <v>24</v>
      </c>
      <c r="P103" s="5" t="s">
        <v>24</v>
      </c>
      <c r="Q103" s="5" t="s">
        <v>24</v>
      </c>
      <c r="R103" s="5" t="s">
        <v>24</v>
      </c>
      <c r="S103" s="5" t="s">
        <v>24</v>
      </c>
      <c r="T103" s="9" t="s">
        <v>65</v>
      </c>
      <c r="U103" s="5"/>
      <c r="V103" s="8" t="s">
        <v>54</v>
      </c>
    </row>
    <row r="104" spans="1:22" ht="99.95">
      <c r="A104" s="5" t="s">
        <v>478</v>
      </c>
      <c r="B104" s="5" t="s">
        <v>51</v>
      </c>
      <c r="C104" s="5" t="s">
        <v>24</v>
      </c>
      <c r="D104" s="5" t="s">
        <v>25</v>
      </c>
      <c r="E104" s="5" t="s">
        <v>479</v>
      </c>
      <c r="F104" s="5" t="s">
        <v>28</v>
      </c>
      <c r="G104" s="5" t="s">
        <v>28</v>
      </c>
      <c r="H104" s="5" t="s">
        <v>28</v>
      </c>
      <c r="I104" s="5" t="s">
        <v>28</v>
      </c>
      <c r="J104" s="6" t="s">
        <v>480</v>
      </c>
      <c r="K104" s="5" t="s">
        <v>24</v>
      </c>
      <c r="L104" s="5" t="s">
        <v>481</v>
      </c>
      <c r="M104" s="5" t="s">
        <v>28</v>
      </c>
      <c r="N104" s="5" t="s">
        <v>444</v>
      </c>
      <c r="O104" s="5" t="s">
        <v>28</v>
      </c>
      <c r="P104" s="5" t="s">
        <v>28</v>
      </c>
      <c r="Q104" s="5" t="s">
        <v>24</v>
      </c>
      <c r="R104" s="5" t="s">
        <v>54</v>
      </c>
      <c r="S104" s="5" t="s">
        <v>445</v>
      </c>
      <c r="T104" s="9" t="s">
        <v>35</v>
      </c>
      <c r="U104" s="5"/>
      <c r="V104" s="8" t="s">
        <v>25</v>
      </c>
    </row>
    <row r="105" spans="1:22" ht="60">
      <c r="A105" s="5" t="s">
        <v>482</v>
      </c>
      <c r="B105" s="5" t="s">
        <v>51</v>
      </c>
      <c r="C105" s="5" t="s">
        <v>24</v>
      </c>
      <c r="D105" s="5" t="s">
        <v>25</v>
      </c>
      <c r="E105" s="5" t="s">
        <v>479</v>
      </c>
      <c r="F105" s="5" t="s">
        <v>28</v>
      </c>
      <c r="G105" s="5" t="s">
        <v>28</v>
      </c>
      <c r="H105" s="5" t="s">
        <v>28</v>
      </c>
      <c r="I105" s="5" t="s">
        <v>28</v>
      </c>
      <c r="J105" s="6" t="s">
        <v>483</v>
      </c>
      <c r="K105" s="5" t="s">
        <v>24</v>
      </c>
      <c r="L105" s="5" t="s">
        <v>484</v>
      </c>
      <c r="M105" s="5" t="s">
        <v>28</v>
      </c>
      <c r="N105" s="5" t="s">
        <v>24</v>
      </c>
      <c r="O105" s="5" t="s">
        <v>24</v>
      </c>
      <c r="P105" s="5" t="s">
        <v>24</v>
      </c>
      <c r="Q105" s="5" t="s">
        <v>24</v>
      </c>
      <c r="R105" s="5" t="s">
        <v>54</v>
      </c>
      <c r="S105" s="5" t="s">
        <v>24</v>
      </c>
      <c r="T105" s="9" t="s">
        <v>35</v>
      </c>
      <c r="U105" s="5" t="s">
        <v>287</v>
      </c>
      <c r="V105" s="8" t="s">
        <v>25</v>
      </c>
    </row>
    <row r="106" spans="1:22" ht="39.950000000000003">
      <c r="A106" s="5" t="s">
        <v>485</v>
      </c>
      <c r="B106" s="5" t="s">
        <v>51</v>
      </c>
      <c r="C106" s="5" t="s">
        <v>24</v>
      </c>
      <c r="D106" s="5" t="s">
        <v>25</v>
      </c>
      <c r="E106" s="5" t="s">
        <v>479</v>
      </c>
      <c r="F106" s="5" t="s">
        <v>28</v>
      </c>
      <c r="G106" s="5" t="s">
        <v>28</v>
      </c>
      <c r="H106" s="5" t="s">
        <v>28</v>
      </c>
      <c r="I106" s="5" t="s">
        <v>28</v>
      </c>
      <c r="J106" s="6" t="s">
        <v>486</v>
      </c>
      <c r="K106" s="5" t="s">
        <v>24</v>
      </c>
      <c r="L106" s="5" t="s">
        <v>487</v>
      </c>
      <c r="M106" s="5" t="s">
        <v>28</v>
      </c>
      <c r="N106" s="5" t="s">
        <v>24</v>
      </c>
      <c r="O106" s="5" t="s">
        <v>24</v>
      </c>
      <c r="P106" s="5" t="s">
        <v>24</v>
      </c>
      <c r="Q106" s="5" t="s">
        <v>24</v>
      </c>
      <c r="R106" s="5" t="s">
        <v>54</v>
      </c>
      <c r="S106" s="5" t="s">
        <v>24</v>
      </c>
      <c r="T106" s="9" t="s">
        <v>35</v>
      </c>
      <c r="U106" s="5" t="s">
        <v>287</v>
      </c>
      <c r="V106" s="8" t="s">
        <v>25</v>
      </c>
    </row>
  </sheetData>
  <autoFilter ref="T1:T106" xr:uid="{F09C56BA-0384-8C43-96D2-C38B34F4F2DC}"/>
  <conditionalFormatting sqref="T1:T1048576">
    <cfRule type="cellIs" dxfId="80" priority="1" operator="equal">
      <formula>"?"</formula>
    </cfRule>
    <cfRule type="cellIs" dxfId="79" priority="2" operator="equal">
      <formula>"No"</formula>
    </cfRule>
    <cfRule type="cellIs" dxfId="78" priority="3" operator="equal">
      <formula>"Yes"</formula>
    </cfRule>
    <cfRule type="colorScale" priority="4">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C3E94-AD49-436E-82EC-13A81113EC5D}">
  <dimension ref="A1:Q106"/>
  <sheetViews>
    <sheetView workbookViewId="0"/>
  </sheetViews>
  <sheetFormatPr defaultColWidth="9" defaultRowHeight="15.95"/>
  <cols>
    <col min="1" max="1" width="41.625" customWidth="1"/>
    <col min="2" max="2" width="16.875" customWidth="1"/>
    <col min="3" max="3" width="20.875" customWidth="1"/>
    <col min="4" max="4" width="14.625" customWidth="1"/>
    <col min="5" max="5" width="46.5" customWidth="1"/>
    <col min="6" max="6" width="21.125" customWidth="1"/>
    <col min="7" max="7" width="46.125" customWidth="1"/>
    <col min="8" max="17" width="25.625" customWidth="1"/>
  </cols>
  <sheetData>
    <row r="1" spans="1:17" ht="55.5" customHeight="1">
      <c r="A1" s="3" t="s">
        <v>5</v>
      </c>
      <c r="B1" s="3" t="s">
        <v>6</v>
      </c>
      <c r="C1" s="3" t="s">
        <v>7</v>
      </c>
      <c r="D1" s="3" t="s">
        <v>8</v>
      </c>
      <c r="E1" s="3" t="s">
        <v>9</v>
      </c>
      <c r="F1" s="3" t="s">
        <v>10</v>
      </c>
      <c r="G1" s="3" t="s">
        <v>11</v>
      </c>
      <c r="H1" s="3" t="s">
        <v>12</v>
      </c>
      <c r="I1" s="3" t="s">
        <v>13</v>
      </c>
      <c r="J1" s="3" t="s">
        <v>14</v>
      </c>
      <c r="K1" s="3" t="s">
        <v>15</v>
      </c>
      <c r="L1" s="3" t="s">
        <v>16</v>
      </c>
      <c r="M1" s="3" t="s">
        <v>17</v>
      </c>
      <c r="N1" s="3" t="s">
        <v>18</v>
      </c>
      <c r="O1" s="11" t="s">
        <v>19</v>
      </c>
      <c r="P1" s="4" t="s">
        <v>20</v>
      </c>
      <c r="Q1" s="4" t="s">
        <v>21</v>
      </c>
    </row>
    <row r="2" spans="1:17" ht="55.5" customHeight="1">
      <c r="A2" s="5" t="s">
        <v>27</v>
      </c>
      <c r="B2" s="5" t="s">
        <v>28</v>
      </c>
      <c r="C2" s="5" t="s">
        <v>28</v>
      </c>
      <c r="D2" s="5" t="s">
        <v>28</v>
      </c>
      <c r="E2" s="6" t="s">
        <v>29</v>
      </c>
      <c r="F2" s="5" t="s">
        <v>30</v>
      </c>
      <c r="G2" s="5" t="s">
        <v>31</v>
      </c>
      <c r="H2" s="5" t="s">
        <v>32</v>
      </c>
      <c r="I2" s="5" t="s">
        <v>33</v>
      </c>
      <c r="J2" s="5" t="s">
        <v>24</v>
      </c>
      <c r="K2" s="5" t="s">
        <v>34</v>
      </c>
      <c r="L2" s="5" t="s">
        <v>33</v>
      </c>
      <c r="M2" s="5" t="s">
        <v>25</v>
      </c>
      <c r="N2" s="5" t="s">
        <v>24</v>
      </c>
      <c r="O2" s="9" t="s">
        <v>35</v>
      </c>
      <c r="P2" s="5" t="s">
        <v>36</v>
      </c>
      <c r="Q2" s="8" t="s">
        <v>25</v>
      </c>
    </row>
    <row r="3" spans="1:17" ht="55.5" customHeight="1">
      <c r="A3" s="5" t="s">
        <v>38</v>
      </c>
      <c r="B3" s="5" t="s">
        <v>39</v>
      </c>
      <c r="C3" s="5" t="s">
        <v>40</v>
      </c>
      <c r="D3" s="5" t="s">
        <v>28</v>
      </c>
      <c r="E3" s="6" t="s">
        <v>41</v>
      </c>
      <c r="F3" s="5" t="s">
        <v>42</v>
      </c>
      <c r="G3" s="5" t="s">
        <v>43</v>
      </c>
      <c r="H3" s="5" t="s">
        <v>44</v>
      </c>
      <c r="I3" s="5" t="s">
        <v>33</v>
      </c>
      <c r="J3" s="10" t="s">
        <v>24</v>
      </c>
      <c r="K3" s="5" t="s">
        <v>34</v>
      </c>
      <c r="L3" s="5" t="s">
        <v>24</v>
      </c>
      <c r="M3" s="5" t="s">
        <v>25</v>
      </c>
      <c r="N3" s="5" t="s">
        <v>45</v>
      </c>
      <c r="O3" s="9" t="s">
        <v>35</v>
      </c>
      <c r="P3" s="5" t="s">
        <v>46</v>
      </c>
      <c r="Q3" s="8" t="s">
        <v>25</v>
      </c>
    </row>
    <row r="4" spans="1:17" ht="55.5" customHeight="1">
      <c r="A4" s="5" t="s">
        <v>38</v>
      </c>
      <c r="B4" s="5" t="s">
        <v>39</v>
      </c>
      <c r="C4" s="5" t="s">
        <v>40</v>
      </c>
      <c r="D4" s="5" t="s">
        <v>28</v>
      </c>
      <c r="E4" s="6" t="s">
        <v>48</v>
      </c>
      <c r="F4" s="5" t="s">
        <v>42</v>
      </c>
      <c r="G4" s="5" t="s">
        <v>49</v>
      </c>
      <c r="H4" s="5" t="s">
        <v>44</v>
      </c>
      <c r="I4" s="5" t="s">
        <v>33</v>
      </c>
      <c r="J4" s="5" t="s">
        <v>24</v>
      </c>
      <c r="K4" s="5" t="s">
        <v>34</v>
      </c>
      <c r="L4" s="5" t="s">
        <v>24</v>
      </c>
      <c r="M4" s="5" t="s">
        <v>25</v>
      </c>
      <c r="N4" s="5" t="s">
        <v>45</v>
      </c>
      <c r="O4" s="9" t="s">
        <v>35</v>
      </c>
      <c r="P4" s="5" t="s">
        <v>50</v>
      </c>
      <c r="Q4" s="8" t="s">
        <v>25</v>
      </c>
    </row>
    <row r="5" spans="1:17" ht="55.5" customHeight="1">
      <c r="A5" s="5" t="s">
        <v>38</v>
      </c>
      <c r="B5" s="5" t="s">
        <v>39</v>
      </c>
      <c r="C5" s="5" t="s">
        <v>40</v>
      </c>
      <c r="D5" s="5" t="s">
        <v>28</v>
      </c>
      <c r="E5" s="6" t="s">
        <v>52</v>
      </c>
      <c r="F5" s="5" t="s">
        <v>42</v>
      </c>
      <c r="G5" s="5" t="s">
        <v>53</v>
      </c>
      <c r="H5" s="5" t="s">
        <v>44</v>
      </c>
      <c r="I5" s="5" t="s">
        <v>33</v>
      </c>
      <c r="J5" s="5" t="s">
        <v>24</v>
      </c>
      <c r="K5" s="5" t="s">
        <v>34</v>
      </c>
      <c r="L5" s="5" t="s">
        <v>24</v>
      </c>
      <c r="M5" s="5" t="s">
        <v>54</v>
      </c>
      <c r="N5" s="5" t="s">
        <v>55</v>
      </c>
      <c r="O5" s="9" t="s">
        <v>35</v>
      </c>
      <c r="P5" s="5" t="s">
        <v>56</v>
      </c>
      <c r="Q5" s="8" t="s">
        <v>25</v>
      </c>
    </row>
    <row r="6" spans="1:17" ht="55.5" customHeight="1">
      <c r="A6" s="5" t="s">
        <v>38</v>
      </c>
      <c r="B6" s="5" t="s">
        <v>39</v>
      </c>
      <c r="C6" s="5" t="s">
        <v>40</v>
      </c>
      <c r="D6" s="5" t="s">
        <v>28</v>
      </c>
      <c r="E6" s="6" t="s">
        <v>58</v>
      </c>
      <c r="F6" s="5" t="s">
        <v>42</v>
      </c>
      <c r="G6" s="5" t="s">
        <v>59</v>
      </c>
      <c r="H6" s="5" t="s">
        <v>44</v>
      </c>
      <c r="I6" s="5" t="s">
        <v>33</v>
      </c>
      <c r="J6" s="5" t="s">
        <v>24</v>
      </c>
      <c r="K6" s="5" t="s">
        <v>34</v>
      </c>
      <c r="L6" s="5" t="s">
        <v>24</v>
      </c>
      <c r="M6" s="5" t="s">
        <v>54</v>
      </c>
      <c r="N6" s="5" t="s">
        <v>55</v>
      </c>
      <c r="O6" s="9" t="s">
        <v>35</v>
      </c>
      <c r="P6" s="5" t="s">
        <v>56</v>
      </c>
      <c r="Q6" s="8" t="s">
        <v>25</v>
      </c>
    </row>
    <row r="7" spans="1:17" ht="55.5" customHeight="1">
      <c r="A7" s="5" t="s">
        <v>38</v>
      </c>
      <c r="B7" s="5" t="s">
        <v>39</v>
      </c>
      <c r="C7" s="5" t="s">
        <v>40</v>
      </c>
      <c r="D7" s="5" t="s">
        <v>28</v>
      </c>
      <c r="E7" s="6" t="s">
        <v>61</v>
      </c>
      <c r="F7" s="5" t="s">
        <v>24</v>
      </c>
      <c r="G7" s="5" t="s">
        <v>62</v>
      </c>
      <c r="H7" s="5" t="s">
        <v>44</v>
      </c>
      <c r="I7" s="5" t="s">
        <v>33</v>
      </c>
      <c r="J7" s="5" t="s">
        <v>24</v>
      </c>
      <c r="K7" s="5" t="s">
        <v>34</v>
      </c>
      <c r="L7" s="5" t="s">
        <v>24</v>
      </c>
      <c r="M7" s="5" t="s">
        <v>63</v>
      </c>
      <c r="N7" s="5" t="s">
        <v>64</v>
      </c>
      <c r="O7" s="9" t="s">
        <v>65</v>
      </c>
      <c r="P7" s="5"/>
      <c r="Q7" s="8" t="s">
        <v>54</v>
      </c>
    </row>
    <row r="8" spans="1:17" ht="55.5" customHeight="1">
      <c r="A8" s="5" t="s">
        <v>38</v>
      </c>
      <c r="B8" s="5" t="s">
        <v>39</v>
      </c>
      <c r="C8" s="5" t="s">
        <v>67</v>
      </c>
      <c r="D8" s="5" t="s">
        <v>28</v>
      </c>
      <c r="E8" s="6" t="s">
        <v>67</v>
      </c>
      <c r="F8" s="5" t="s">
        <v>42</v>
      </c>
      <c r="G8" s="5" t="s">
        <v>68</v>
      </c>
      <c r="H8" s="5" t="s">
        <v>32</v>
      </c>
      <c r="I8" s="5" t="s">
        <v>69</v>
      </c>
      <c r="J8" s="5" t="s">
        <v>24</v>
      </c>
      <c r="K8" s="5" t="s">
        <v>34</v>
      </c>
      <c r="L8" s="5" t="s">
        <v>24</v>
      </c>
      <c r="M8" s="5" t="s">
        <v>54</v>
      </c>
      <c r="N8" s="5" t="s">
        <v>70</v>
      </c>
      <c r="O8" s="9" t="s">
        <v>35</v>
      </c>
      <c r="P8" s="5" t="s">
        <v>71</v>
      </c>
      <c r="Q8" s="8" t="s">
        <v>25</v>
      </c>
    </row>
    <row r="9" spans="1:17" ht="55.5" customHeight="1">
      <c r="A9" s="5" t="s">
        <v>38</v>
      </c>
      <c r="B9" s="5" t="s">
        <v>73</v>
      </c>
      <c r="C9" s="5" t="s">
        <v>74</v>
      </c>
      <c r="D9" s="5" t="s">
        <v>75</v>
      </c>
      <c r="E9" s="6" t="s">
        <v>76</v>
      </c>
      <c r="F9" s="5" t="s">
        <v>24</v>
      </c>
      <c r="G9" s="5" t="s">
        <v>77</v>
      </c>
      <c r="H9" s="5" t="s">
        <v>28</v>
      </c>
      <c r="I9" s="5" t="s">
        <v>69</v>
      </c>
      <c r="J9" s="5" t="s">
        <v>24</v>
      </c>
      <c r="K9" s="5" t="s">
        <v>34</v>
      </c>
      <c r="L9" s="5" t="s">
        <v>24</v>
      </c>
      <c r="M9" s="5" t="s">
        <v>54</v>
      </c>
      <c r="N9" s="5" t="s">
        <v>78</v>
      </c>
      <c r="O9" s="9" t="s">
        <v>35</v>
      </c>
      <c r="P9" s="5" t="s">
        <v>79</v>
      </c>
      <c r="Q9" s="8" t="s">
        <v>25</v>
      </c>
    </row>
    <row r="10" spans="1:17" ht="55.5" customHeight="1">
      <c r="A10" s="5" t="s">
        <v>38</v>
      </c>
      <c r="B10" s="5" t="s">
        <v>73</v>
      </c>
      <c r="C10" s="5" t="s">
        <v>74</v>
      </c>
      <c r="D10" s="5" t="s">
        <v>75</v>
      </c>
      <c r="E10" s="6" t="s">
        <v>81</v>
      </c>
      <c r="F10" s="5" t="s">
        <v>24</v>
      </c>
      <c r="G10" s="5" t="s">
        <v>82</v>
      </c>
      <c r="H10" s="5" t="s">
        <v>28</v>
      </c>
      <c r="I10" s="5" t="s">
        <v>69</v>
      </c>
      <c r="J10" s="5" t="s">
        <v>24</v>
      </c>
      <c r="K10" s="5" t="s">
        <v>34</v>
      </c>
      <c r="L10" s="5" t="s">
        <v>24</v>
      </c>
      <c r="M10" s="5" t="s">
        <v>54</v>
      </c>
      <c r="N10" s="5" t="s">
        <v>78</v>
      </c>
      <c r="O10" s="9" t="s">
        <v>35</v>
      </c>
      <c r="P10" s="5" t="s">
        <v>79</v>
      </c>
      <c r="Q10" s="8" t="s">
        <v>25</v>
      </c>
    </row>
    <row r="11" spans="1:17" ht="55.5" customHeight="1">
      <c r="A11" s="5" t="s">
        <v>38</v>
      </c>
      <c r="B11" s="5" t="s">
        <v>73</v>
      </c>
      <c r="C11" s="5" t="s">
        <v>74</v>
      </c>
      <c r="D11" s="5" t="s">
        <v>84</v>
      </c>
      <c r="E11" s="6" t="s">
        <v>85</v>
      </c>
      <c r="F11" s="5" t="s">
        <v>24</v>
      </c>
      <c r="G11" s="5" t="s">
        <v>86</v>
      </c>
      <c r="H11" s="5" t="s">
        <v>28</v>
      </c>
      <c r="I11" s="5" t="s">
        <v>33</v>
      </c>
      <c r="J11" s="5" t="s">
        <v>24</v>
      </c>
      <c r="K11" s="5" t="s">
        <v>34</v>
      </c>
      <c r="L11" s="5" t="s">
        <v>24</v>
      </c>
      <c r="M11" s="5" t="s">
        <v>25</v>
      </c>
      <c r="N11" s="5" t="s">
        <v>87</v>
      </c>
      <c r="O11" s="9" t="s">
        <v>35</v>
      </c>
      <c r="P11" s="5"/>
      <c r="Q11" s="8" t="s">
        <v>25</v>
      </c>
    </row>
    <row r="12" spans="1:17" ht="55.5" customHeight="1">
      <c r="A12" s="5" t="s">
        <v>38</v>
      </c>
      <c r="B12" s="5" t="s">
        <v>73</v>
      </c>
      <c r="C12" s="5" t="s">
        <v>74</v>
      </c>
      <c r="D12" s="5" t="s">
        <v>84</v>
      </c>
      <c r="E12" s="6" t="s">
        <v>89</v>
      </c>
      <c r="F12" s="5" t="s">
        <v>90</v>
      </c>
      <c r="G12" s="5" t="s">
        <v>91</v>
      </c>
      <c r="H12" s="5" t="s">
        <v>28</v>
      </c>
      <c r="I12" s="5" t="s">
        <v>33</v>
      </c>
      <c r="J12" s="5" t="s">
        <v>24</v>
      </c>
      <c r="K12" s="5" t="s">
        <v>92</v>
      </c>
      <c r="L12" s="5" t="s">
        <v>24</v>
      </c>
      <c r="M12" s="5" t="s">
        <v>25</v>
      </c>
      <c r="N12" s="5" t="s">
        <v>93</v>
      </c>
      <c r="O12" s="9" t="s">
        <v>35</v>
      </c>
      <c r="P12" s="5" t="s">
        <v>79</v>
      </c>
      <c r="Q12" s="8" t="s">
        <v>25</v>
      </c>
    </row>
    <row r="13" spans="1:17" ht="55.5" customHeight="1">
      <c r="A13" s="5" t="s">
        <v>38</v>
      </c>
      <c r="B13" s="5" t="s">
        <v>73</v>
      </c>
      <c r="C13" s="5" t="s">
        <v>74</v>
      </c>
      <c r="D13" s="5" t="s">
        <v>84</v>
      </c>
      <c r="E13" s="6" t="s">
        <v>95</v>
      </c>
      <c r="F13" s="5" t="s">
        <v>90</v>
      </c>
      <c r="G13" s="5" t="s">
        <v>96</v>
      </c>
      <c r="H13" s="5" t="s">
        <v>28</v>
      </c>
      <c r="I13" s="5" t="s">
        <v>33</v>
      </c>
      <c r="J13" s="5" t="s">
        <v>24</v>
      </c>
      <c r="K13" s="5" t="s">
        <v>92</v>
      </c>
      <c r="L13" s="5" t="s">
        <v>24</v>
      </c>
      <c r="M13" s="5" t="s">
        <v>63</v>
      </c>
      <c r="N13" s="5" t="s">
        <v>97</v>
      </c>
      <c r="O13" s="9" t="s">
        <v>35</v>
      </c>
      <c r="P13" s="5" t="s">
        <v>98</v>
      </c>
      <c r="Q13" s="8" t="s">
        <v>25</v>
      </c>
    </row>
    <row r="14" spans="1:17" ht="55.5" customHeight="1">
      <c r="A14" s="5" t="s">
        <v>38</v>
      </c>
      <c r="B14" s="5" t="s">
        <v>73</v>
      </c>
      <c r="C14" s="5" t="s">
        <v>74</v>
      </c>
      <c r="D14" s="5" t="s">
        <v>84</v>
      </c>
      <c r="E14" s="6" t="s">
        <v>100</v>
      </c>
      <c r="F14" s="5" t="s">
        <v>24</v>
      </c>
      <c r="G14" s="5" t="s">
        <v>101</v>
      </c>
      <c r="H14" s="5" t="s">
        <v>28</v>
      </c>
      <c r="I14" s="5" t="s">
        <v>33</v>
      </c>
      <c r="J14" s="5" t="s">
        <v>24</v>
      </c>
      <c r="K14" s="5" t="s">
        <v>34</v>
      </c>
      <c r="L14" s="5" t="s">
        <v>24</v>
      </c>
      <c r="M14" s="5" t="s">
        <v>54</v>
      </c>
      <c r="N14" s="5" t="s">
        <v>102</v>
      </c>
      <c r="O14" s="9" t="s">
        <v>35</v>
      </c>
      <c r="P14" s="5"/>
      <c r="Q14" s="8" t="s">
        <v>25</v>
      </c>
    </row>
    <row r="15" spans="1:17" ht="55.5" customHeight="1">
      <c r="A15" s="5" t="s">
        <v>105</v>
      </c>
      <c r="B15" s="5" t="s">
        <v>106</v>
      </c>
      <c r="C15" s="5" t="s">
        <v>28</v>
      </c>
      <c r="D15" s="5" t="s">
        <v>28</v>
      </c>
      <c r="E15" s="6" t="s">
        <v>107</v>
      </c>
      <c r="F15" s="5" t="s">
        <v>108</v>
      </c>
      <c r="G15" s="5" t="s">
        <v>109</v>
      </c>
      <c r="H15" s="5" t="s">
        <v>32</v>
      </c>
      <c r="I15" s="5" t="s">
        <v>33</v>
      </c>
      <c r="J15" s="5" t="s">
        <v>24</v>
      </c>
      <c r="K15" s="5" t="s">
        <v>110</v>
      </c>
      <c r="L15" s="5" t="s">
        <v>24</v>
      </c>
      <c r="M15" s="5" t="s">
        <v>25</v>
      </c>
      <c r="N15" s="5" t="s">
        <v>111</v>
      </c>
      <c r="O15" s="9" t="s">
        <v>35</v>
      </c>
      <c r="P15" s="5" t="s">
        <v>112</v>
      </c>
      <c r="Q15" s="8" t="s">
        <v>25</v>
      </c>
    </row>
    <row r="16" spans="1:17" ht="55.5" customHeight="1">
      <c r="A16" s="5" t="s">
        <v>105</v>
      </c>
      <c r="B16" s="5" t="s">
        <v>106</v>
      </c>
      <c r="C16" s="5" t="s">
        <v>28</v>
      </c>
      <c r="D16" s="5" t="s">
        <v>28</v>
      </c>
      <c r="E16" s="6" t="s">
        <v>114</v>
      </c>
      <c r="F16" s="5" t="s">
        <v>115</v>
      </c>
      <c r="G16" s="5" t="s">
        <v>116</v>
      </c>
      <c r="H16" s="5" t="s">
        <v>117</v>
      </c>
      <c r="I16" s="5" t="s">
        <v>33</v>
      </c>
      <c r="J16" s="5" t="s">
        <v>24</v>
      </c>
      <c r="K16" s="5" t="s">
        <v>34</v>
      </c>
      <c r="L16" s="5" t="s">
        <v>24</v>
      </c>
      <c r="M16" s="5" t="s">
        <v>25</v>
      </c>
      <c r="N16" s="5" t="s">
        <v>118</v>
      </c>
      <c r="O16" s="9" t="s">
        <v>35</v>
      </c>
      <c r="P16" s="5"/>
      <c r="Q16" s="8" t="s">
        <v>25</v>
      </c>
    </row>
    <row r="17" spans="1:17" ht="55.5" customHeight="1">
      <c r="A17" s="5" t="s">
        <v>105</v>
      </c>
      <c r="B17" s="5" t="s">
        <v>120</v>
      </c>
      <c r="C17" s="5" t="s">
        <v>28</v>
      </c>
      <c r="D17" s="5" t="s">
        <v>28</v>
      </c>
      <c r="E17" s="6" t="s">
        <v>121</v>
      </c>
      <c r="F17" s="5" t="s">
        <v>24</v>
      </c>
      <c r="G17" s="5" t="s">
        <v>122</v>
      </c>
      <c r="H17" s="5" t="s">
        <v>28</v>
      </c>
      <c r="I17" s="5" t="s">
        <v>33</v>
      </c>
      <c r="J17" s="5" t="s">
        <v>24</v>
      </c>
      <c r="K17" s="5" t="s">
        <v>28</v>
      </c>
      <c r="L17" s="5" t="s">
        <v>24</v>
      </c>
      <c r="M17" s="5" t="s">
        <v>28</v>
      </c>
      <c r="N17" s="5" t="s">
        <v>123</v>
      </c>
      <c r="O17" s="9" t="s">
        <v>65</v>
      </c>
      <c r="P17" s="5"/>
      <c r="Q17" s="8" t="s">
        <v>54</v>
      </c>
    </row>
    <row r="18" spans="1:17" ht="55.5" customHeight="1">
      <c r="A18" s="5" t="s">
        <v>125</v>
      </c>
      <c r="B18" s="5" t="s">
        <v>126</v>
      </c>
      <c r="C18" s="5" t="s">
        <v>28</v>
      </c>
      <c r="D18" s="5" t="s">
        <v>28</v>
      </c>
      <c r="E18" s="6" t="s">
        <v>114</v>
      </c>
      <c r="F18" s="5" t="s">
        <v>115</v>
      </c>
      <c r="G18" s="5" t="s">
        <v>127</v>
      </c>
      <c r="H18" s="5" t="s">
        <v>28</v>
      </c>
      <c r="I18" s="5" t="s">
        <v>33</v>
      </c>
      <c r="J18" s="5" t="s">
        <v>24</v>
      </c>
      <c r="K18" s="5" t="s">
        <v>110</v>
      </c>
      <c r="L18" s="5" t="s">
        <v>24</v>
      </c>
      <c r="M18" s="5" t="s">
        <v>128</v>
      </c>
      <c r="N18" s="5" t="s">
        <v>128</v>
      </c>
      <c r="O18" s="9" t="s">
        <v>35</v>
      </c>
      <c r="P18" s="5"/>
      <c r="Q18" s="8" t="s">
        <v>25</v>
      </c>
    </row>
    <row r="19" spans="1:17" ht="55.5" customHeight="1">
      <c r="A19" s="5" t="s">
        <v>125</v>
      </c>
      <c r="B19" s="5" t="s">
        <v>126</v>
      </c>
      <c r="C19" s="5" t="s">
        <v>28</v>
      </c>
      <c r="D19" s="5" t="s">
        <v>28</v>
      </c>
      <c r="E19" s="6" t="s">
        <v>130</v>
      </c>
      <c r="F19" s="5" t="s">
        <v>24</v>
      </c>
      <c r="G19" s="5" t="s">
        <v>131</v>
      </c>
      <c r="H19" s="5" t="s">
        <v>28</v>
      </c>
      <c r="I19" s="5" t="s">
        <v>33</v>
      </c>
      <c r="J19" s="5" t="s">
        <v>24</v>
      </c>
      <c r="K19" s="5" t="s">
        <v>110</v>
      </c>
      <c r="L19" s="5" t="s">
        <v>24</v>
      </c>
      <c r="M19" s="5" t="s">
        <v>25</v>
      </c>
      <c r="N19" s="5" t="s">
        <v>132</v>
      </c>
      <c r="O19" s="9" t="s">
        <v>35</v>
      </c>
      <c r="P19" s="5"/>
      <c r="Q19" s="8" t="s">
        <v>25</v>
      </c>
    </row>
    <row r="20" spans="1:17" ht="55.5" customHeight="1">
      <c r="A20" s="5" t="s">
        <v>125</v>
      </c>
      <c r="B20" s="5" t="s">
        <v>126</v>
      </c>
      <c r="C20" s="5" t="s">
        <v>28</v>
      </c>
      <c r="D20" s="5" t="s">
        <v>28</v>
      </c>
      <c r="E20" s="6" t="s">
        <v>134</v>
      </c>
      <c r="F20" s="5" t="s">
        <v>24</v>
      </c>
      <c r="G20" s="5" t="s">
        <v>135</v>
      </c>
      <c r="H20" s="5" t="s">
        <v>28</v>
      </c>
      <c r="I20" s="5" t="s">
        <v>33</v>
      </c>
      <c r="J20" s="5" t="s">
        <v>24</v>
      </c>
      <c r="K20" s="5" t="s">
        <v>110</v>
      </c>
      <c r="L20" s="5" t="s">
        <v>24</v>
      </c>
      <c r="M20" s="5" t="s">
        <v>25</v>
      </c>
      <c r="N20" s="5" t="s">
        <v>132</v>
      </c>
      <c r="O20" s="9" t="s">
        <v>35</v>
      </c>
      <c r="P20" s="5" t="s">
        <v>136</v>
      </c>
      <c r="Q20" s="8" t="s">
        <v>25</v>
      </c>
    </row>
    <row r="21" spans="1:17" ht="55.5" customHeight="1">
      <c r="A21" s="5" t="s">
        <v>125</v>
      </c>
      <c r="B21" s="5" t="s">
        <v>138</v>
      </c>
      <c r="C21" s="5" t="s">
        <v>139</v>
      </c>
      <c r="D21" s="5" t="s">
        <v>140</v>
      </c>
      <c r="E21" s="6" t="s">
        <v>141</v>
      </c>
      <c r="F21" s="5" t="s">
        <v>142</v>
      </c>
      <c r="G21" s="5" t="s">
        <v>143</v>
      </c>
      <c r="H21" s="5" t="s">
        <v>28</v>
      </c>
      <c r="I21" s="5" t="s">
        <v>69</v>
      </c>
      <c r="J21" s="5" t="s">
        <v>24</v>
      </c>
      <c r="K21" s="5" t="s">
        <v>110</v>
      </c>
      <c r="L21" s="5" t="s">
        <v>24</v>
      </c>
      <c r="M21" s="5" t="s">
        <v>54</v>
      </c>
      <c r="N21" s="5" t="s">
        <v>144</v>
      </c>
      <c r="O21" s="9" t="s">
        <v>35</v>
      </c>
      <c r="P21" s="5" t="s">
        <v>112</v>
      </c>
      <c r="Q21" s="8" t="s">
        <v>25</v>
      </c>
    </row>
    <row r="22" spans="1:17" ht="55.5" customHeight="1">
      <c r="A22" s="5" t="s">
        <v>125</v>
      </c>
      <c r="B22" s="5" t="s">
        <v>138</v>
      </c>
      <c r="C22" s="5" t="s">
        <v>139</v>
      </c>
      <c r="D22" s="5" t="s">
        <v>140</v>
      </c>
      <c r="E22" s="6" t="s">
        <v>146</v>
      </c>
      <c r="F22" s="5" t="s">
        <v>142</v>
      </c>
      <c r="G22" s="5" t="s">
        <v>147</v>
      </c>
      <c r="H22" s="5" t="s">
        <v>28</v>
      </c>
      <c r="I22" s="5" t="s">
        <v>69</v>
      </c>
      <c r="J22" s="5" t="s">
        <v>24</v>
      </c>
      <c r="K22" s="5" t="s">
        <v>110</v>
      </c>
      <c r="L22" s="5" t="s">
        <v>24</v>
      </c>
      <c r="M22" s="5" t="s">
        <v>54</v>
      </c>
      <c r="N22" s="5" t="s">
        <v>144</v>
      </c>
      <c r="O22" s="9" t="s">
        <v>35</v>
      </c>
      <c r="P22" s="5" t="s">
        <v>112</v>
      </c>
      <c r="Q22" s="8" t="s">
        <v>25</v>
      </c>
    </row>
    <row r="23" spans="1:17" ht="55.5" customHeight="1">
      <c r="A23" s="5" t="s">
        <v>125</v>
      </c>
      <c r="B23" s="5" t="s">
        <v>138</v>
      </c>
      <c r="C23" s="5" t="s">
        <v>139</v>
      </c>
      <c r="D23" s="5" t="s">
        <v>140</v>
      </c>
      <c r="E23" s="6" t="s">
        <v>149</v>
      </c>
      <c r="F23" s="5" t="s">
        <v>142</v>
      </c>
      <c r="G23" s="5" t="s">
        <v>150</v>
      </c>
      <c r="H23" s="5" t="s">
        <v>28</v>
      </c>
      <c r="I23" s="5" t="s">
        <v>69</v>
      </c>
      <c r="J23" s="5" t="s">
        <v>24</v>
      </c>
      <c r="K23" s="5" t="s">
        <v>110</v>
      </c>
      <c r="L23" s="5" t="s">
        <v>24</v>
      </c>
      <c r="M23" s="5" t="s">
        <v>54</v>
      </c>
      <c r="N23" s="5" t="s">
        <v>144</v>
      </c>
      <c r="O23" s="9" t="s">
        <v>35</v>
      </c>
      <c r="P23" s="5" t="s">
        <v>112</v>
      </c>
      <c r="Q23" s="8" t="s">
        <v>25</v>
      </c>
    </row>
    <row r="24" spans="1:17" ht="55.5" customHeight="1">
      <c r="A24" s="5" t="s">
        <v>125</v>
      </c>
      <c r="B24" s="5" t="s">
        <v>138</v>
      </c>
      <c r="C24" s="5" t="s">
        <v>139</v>
      </c>
      <c r="D24" s="5" t="s">
        <v>140</v>
      </c>
      <c r="E24" s="6" t="s">
        <v>152</v>
      </c>
      <c r="F24" s="5" t="s">
        <v>142</v>
      </c>
      <c r="G24" s="5" t="s">
        <v>153</v>
      </c>
      <c r="H24" s="5" t="s">
        <v>28</v>
      </c>
      <c r="I24" s="5" t="s">
        <v>69</v>
      </c>
      <c r="J24" s="5" t="s">
        <v>24</v>
      </c>
      <c r="K24" s="5" t="s">
        <v>110</v>
      </c>
      <c r="L24" s="5" t="s">
        <v>24</v>
      </c>
      <c r="M24" s="5" t="s">
        <v>54</v>
      </c>
      <c r="N24" s="5" t="s">
        <v>144</v>
      </c>
      <c r="O24" s="9" t="s">
        <v>35</v>
      </c>
      <c r="P24" s="5" t="s">
        <v>112</v>
      </c>
      <c r="Q24" s="8" t="s">
        <v>25</v>
      </c>
    </row>
    <row r="25" spans="1:17" ht="55.5" customHeight="1">
      <c r="A25" s="5" t="s">
        <v>125</v>
      </c>
      <c r="B25" s="5" t="s">
        <v>138</v>
      </c>
      <c r="C25" s="5" t="s">
        <v>139</v>
      </c>
      <c r="D25" s="5" t="s">
        <v>140</v>
      </c>
      <c r="E25" s="6" t="s">
        <v>155</v>
      </c>
      <c r="F25" s="5" t="s">
        <v>142</v>
      </c>
      <c r="G25" s="5" t="s">
        <v>156</v>
      </c>
      <c r="H25" s="5" t="s">
        <v>28</v>
      </c>
      <c r="I25" s="5" t="s">
        <v>69</v>
      </c>
      <c r="J25" s="5" t="s">
        <v>24</v>
      </c>
      <c r="K25" s="5" t="s">
        <v>128</v>
      </c>
      <c r="L25" s="5" t="s">
        <v>24</v>
      </c>
      <c r="M25" s="5" t="s">
        <v>54</v>
      </c>
      <c r="N25" s="5" t="s">
        <v>144</v>
      </c>
      <c r="O25" s="9" t="s">
        <v>35</v>
      </c>
      <c r="P25" s="5" t="s">
        <v>112</v>
      </c>
      <c r="Q25" s="8" t="s">
        <v>25</v>
      </c>
    </row>
    <row r="26" spans="1:17" ht="55.5" customHeight="1">
      <c r="A26" s="5" t="s">
        <v>125</v>
      </c>
      <c r="B26" s="5" t="s">
        <v>138</v>
      </c>
      <c r="C26" s="5" t="s">
        <v>139</v>
      </c>
      <c r="D26" s="5" t="s">
        <v>140</v>
      </c>
      <c r="E26" s="6" t="s">
        <v>158</v>
      </c>
      <c r="F26" s="5" t="s">
        <v>24</v>
      </c>
      <c r="G26" s="5" t="s">
        <v>159</v>
      </c>
      <c r="H26" s="5" t="s">
        <v>28</v>
      </c>
      <c r="I26" s="5" t="s">
        <v>69</v>
      </c>
      <c r="J26" s="5" t="s">
        <v>24</v>
      </c>
      <c r="K26" s="5" t="s">
        <v>34</v>
      </c>
      <c r="L26" s="5" t="s">
        <v>24</v>
      </c>
      <c r="M26" s="5" t="s">
        <v>54</v>
      </c>
      <c r="N26" s="5" t="s">
        <v>144</v>
      </c>
      <c r="O26" s="9" t="s">
        <v>35</v>
      </c>
      <c r="P26" s="5" t="s">
        <v>112</v>
      </c>
      <c r="Q26" s="8" t="s">
        <v>25</v>
      </c>
    </row>
    <row r="27" spans="1:17" ht="55.5" customHeight="1">
      <c r="A27" s="5" t="s">
        <v>125</v>
      </c>
      <c r="B27" s="5" t="s">
        <v>138</v>
      </c>
      <c r="C27" s="5" t="s">
        <v>139</v>
      </c>
      <c r="D27" s="5" t="s">
        <v>140</v>
      </c>
      <c r="E27" s="6" t="s">
        <v>161</v>
      </c>
      <c r="F27" s="5" t="s">
        <v>142</v>
      </c>
      <c r="G27" s="5" t="s">
        <v>162</v>
      </c>
      <c r="H27" s="5" t="s">
        <v>28</v>
      </c>
      <c r="I27" s="5" t="s">
        <v>69</v>
      </c>
      <c r="J27" s="5" t="s">
        <v>24</v>
      </c>
      <c r="K27" s="5" t="s">
        <v>34</v>
      </c>
      <c r="L27" s="5" t="s">
        <v>24</v>
      </c>
      <c r="M27" s="5" t="s">
        <v>54</v>
      </c>
      <c r="N27" s="5" t="s">
        <v>144</v>
      </c>
      <c r="O27" s="9" t="s">
        <v>35</v>
      </c>
      <c r="P27" s="5" t="s">
        <v>112</v>
      </c>
      <c r="Q27" s="8" t="s">
        <v>25</v>
      </c>
    </row>
    <row r="28" spans="1:17" ht="55.5" customHeight="1">
      <c r="A28" s="5" t="s">
        <v>125</v>
      </c>
      <c r="B28" s="5" t="s">
        <v>138</v>
      </c>
      <c r="C28" s="5" t="s">
        <v>139</v>
      </c>
      <c r="D28" s="5" t="s">
        <v>140</v>
      </c>
      <c r="E28" s="6" t="s">
        <v>164</v>
      </c>
      <c r="F28" s="5" t="s">
        <v>165</v>
      </c>
      <c r="G28" s="5" t="s">
        <v>166</v>
      </c>
      <c r="H28" s="5" t="s">
        <v>28</v>
      </c>
      <c r="I28" s="5" t="s">
        <v>69</v>
      </c>
      <c r="J28" s="5" t="s">
        <v>24</v>
      </c>
      <c r="K28" s="5" t="s">
        <v>34</v>
      </c>
      <c r="L28" s="5" t="s">
        <v>24</v>
      </c>
      <c r="M28" s="5" t="s">
        <v>54</v>
      </c>
      <c r="N28" s="5" t="s">
        <v>167</v>
      </c>
      <c r="O28" s="9" t="s">
        <v>35</v>
      </c>
      <c r="P28" s="5"/>
      <c r="Q28" s="8" t="s">
        <v>25</v>
      </c>
    </row>
    <row r="29" spans="1:17" ht="55.5" customHeight="1">
      <c r="A29" s="5" t="s">
        <v>125</v>
      </c>
      <c r="B29" s="5" t="s">
        <v>138</v>
      </c>
      <c r="C29" s="5" t="s">
        <v>169</v>
      </c>
      <c r="D29" s="5" t="s">
        <v>28</v>
      </c>
      <c r="E29" s="6" t="s">
        <v>170</v>
      </c>
      <c r="F29" s="5" t="s">
        <v>24</v>
      </c>
      <c r="G29" s="5" t="s">
        <v>171</v>
      </c>
      <c r="H29" s="5" t="s">
        <v>172</v>
      </c>
      <c r="I29" s="5" t="s">
        <v>69</v>
      </c>
      <c r="J29" s="5" t="s">
        <v>24</v>
      </c>
      <c r="K29" s="5" t="s">
        <v>110</v>
      </c>
      <c r="L29" s="5" t="s">
        <v>24</v>
      </c>
      <c r="M29" s="5" t="s">
        <v>54</v>
      </c>
      <c r="N29" s="5" t="s">
        <v>144</v>
      </c>
      <c r="O29" s="9" t="s">
        <v>35</v>
      </c>
      <c r="P29" s="5" t="s">
        <v>173</v>
      </c>
      <c r="Q29" s="8" t="s">
        <v>25</v>
      </c>
    </row>
    <row r="30" spans="1:17" ht="55.5" customHeight="1">
      <c r="A30" s="5" t="s">
        <v>125</v>
      </c>
      <c r="B30" s="5" t="s">
        <v>138</v>
      </c>
      <c r="C30" s="5" t="s">
        <v>175</v>
      </c>
      <c r="D30" s="5" t="s">
        <v>28</v>
      </c>
      <c r="E30" s="6" t="s">
        <v>176</v>
      </c>
      <c r="F30" s="5" t="s">
        <v>24</v>
      </c>
      <c r="G30" s="5" t="s">
        <v>177</v>
      </c>
      <c r="H30" s="5" t="s">
        <v>172</v>
      </c>
      <c r="I30" s="5" t="s">
        <v>69</v>
      </c>
      <c r="J30" s="5" t="s">
        <v>24</v>
      </c>
      <c r="K30" s="5" t="s">
        <v>110</v>
      </c>
      <c r="L30" s="5" t="s">
        <v>24</v>
      </c>
      <c r="M30" s="5" t="s">
        <v>54</v>
      </c>
      <c r="N30" s="5" t="s">
        <v>144</v>
      </c>
      <c r="O30" s="9" t="s">
        <v>35</v>
      </c>
      <c r="P30" s="5"/>
      <c r="Q30" s="8" t="s">
        <v>25</v>
      </c>
    </row>
    <row r="31" spans="1:17" ht="55.5" customHeight="1">
      <c r="A31" s="5" t="s">
        <v>179</v>
      </c>
      <c r="B31" s="5" t="s">
        <v>28</v>
      </c>
      <c r="C31" s="5" t="s">
        <v>28</v>
      </c>
      <c r="D31" s="5" t="s">
        <v>28</v>
      </c>
      <c r="E31" s="6" t="s">
        <v>180</v>
      </c>
      <c r="F31" s="5" t="s">
        <v>24</v>
      </c>
      <c r="G31" s="5" t="s">
        <v>181</v>
      </c>
      <c r="H31" s="5" t="s">
        <v>28</v>
      </c>
      <c r="I31" s="5" t="s">
        <v>69</v>
      </c>
      <c r="J31" s="5" t="s">
        <v>24</v>
      </c>
      <c r="K31" s="5" t="s">
        <v>110</v>
      </c>
      <c r="L31" s="5" t="s">
        <v>24</v>
      </c>
      <c r="M31" s="5" t="s">
        <v>54</v>
      </c>
      <c r="N31" s="5" t="s">
        <v>182</v>
      </c>
      <c r="O31" s="9" t="s">
        <v>35</v>
      </c>
      <c r="P31" s="5" t="s">
        <v>183</v>
      </c>
      <c r="Q31" s="8" t="s">
        <v>25</v>
      </c>
    </row>
    <row r="32" spans="1:17" ht="55.5" customHeight="1">
      <c r="A32" s="5" t="s">
        <v>185</v>
      </c>
      <c r="B32" s="5" t="s">
        <v>28</v>
      </c>
      <c r="C32" s="5" t="s">
        <v>28</v>
      </c>
      <c r="D32" s="5" t="s">
        <v>28</v>
      </c>
      <c r="E32" s="6" t="s">
        <v>186</v>
      </c>
      <c r="F32" s="5" t="s">
        <v>24</v>
      </c>
      <c r="G32" s="5" t="s">
        <v>187</v>
      </c>
      <c r="H32" s="5" t="s">
        <v>28</v>
      </c>
      <c r="I32" s="5" t="s">
        <v>188</v>
      </c>
      <c r="J32" s="5" t="s">
        <v>24</v>
      </c>
      <c r="K32" s="5" t="s">
        <v>110</v>
      </c>
      <c r="L32" s="5" t="s">
        <v>24</v>
      </c>
      <c r="M32" s="5" t="s">
        <v>25</v>
      </c>
      <c r="N32" s="5" t="s">
        <v>189</v>
      </c>
      <c r="O32" s="9" t="s">
        <v>35</v>
      </c>
      <c r="P32" s="5" t="s">
        <v>190</v>
      </c>
      <c r="Q32" s="8" t="s">
        <v>25</v>
      </c>
    </row>
    <row r="33" spans="1:17" ht="55.5" customHeight="1">
      <c r="A33" s="5" t="s">
        <v>185</v>
      </c>
      <c r="B33" s="5" t="s">
        <v>28</v>
      </c>
      <c r="C33" s="5" t="s">
        <v>28</v>
      </c>
      <c r="D33" s="5" t="s">
        <v>28</v>
      </c>
      <c r="E33" s="6" t="s">
        <v>192</v>
      </c>
      <c r="F33" s="5" t="s">
        <v>24</v>
      </c>
      <c r="G33" s="5" t="s">
        <v>193</v>
      </c>
      <c r="H33" s="5" t="s">
        <v>28</v>
      </c>
      <c r="I33" s="5" t="s">
        <v>69</v>
      </c>
      <c r="J33" s="5" t="s">
        <v>24</v>
      </c>
      <c r="K33" s="5" t="s">
        <v>110</v>
      </c>
      <c r="L33" s="5" t="s">
        <v>24</v>
      </c>
      <c r="M33" s="5" t="s">
        <v>54</v>
      </c>
      <c r="N33" s="5" t="s">
        <v>144</v>
      </c>
      <c r="O33" s="9" t="s">
        <v>35</v>
      </c>
      <c r="P33" s="5" t="s">
        <v>79</v>
      </c>
      <c r="Q33" s="8" t="s">
        <v>25</v>
      </c>
    </row>
    <row r="34" spans="1:17" ht="55.5" customHeight="1">
      <c r="A34" s="5" t="s">
        <v>196</v>
      </c>
      <c r="B34" s="5" t="s">
        <v>28</v>
      </c>
      <c r="C34" s="5" t="s">
        <v>28</v>
      </c>
      <c r="D34" s="5" t="s">
        <v>28</v>
      </c>
      <c r="E34" s="6" t="s">
        <v>197</v>
      </c>
      <c r="F34" s="5" t="s">
        <v>198</v>
      </c>
      <c r="G34" s="5" t="s">
        <v>199</v>
      </c>
      <c r="H34" s="5" t="s">
        <v>28</v>
      </c>
      <c r="I34" s="5" t="s">
        <v>200</v>
      </c>
      <c r="J34" s="5" t="s">
        <v>24</v>
      </c>
      <c r="K34" s="5" t="s">
        <v>110</v>
      </c>
      <c r="L34" s="5" t="s">
        <v>24</v>
      </c>
      <c r="M34" s="5" t="s">
        <v>54</v>
      </c>
      <c r="N34" s="5" t="s">
        <v>201</v>
      </c>
      <c r="O34" s="9" t="s">
        <v>35</v>
      </c>
      <c r="P34" s="5"/>
      <c r="Q34" s="8" t="s">
        <v>25</v>
      </c>
    </row>
    <row r="35" spans="1:17" ht="55.5" customHeight="1">
      <c r="A35" s="5" t="s">
        <v>196</v>
      </c>
      <c r="B35" s="5" t="s">
        <v>28</v>
      </c>
      <c r="C35" s="5" t="s">
        <v>28</v>
      </c>
      <c r="D35" s="5" t="s">
        <v>28</v>
      </c>
      <c r="E35" s="6" t="s">
        <v>203</v>
      </c>
      <c r="F35" s="5" t="s">
        <v>198</v>
      </c>
      <c r="G35" s="5" t="s">
        <v>204</v>
      </c>
      <c r="H35" s="5" t="s">
        <v>28</v>
      </c>
      <c r="I35" s="5" t="s">
        <v>33</v>
      </c>
      <c r="J35" s="5" t="s">
        <v>24</v>
      </c>
      <c r="K35" s="5" t="s">
        <v>24</v>
      </c>
      <c r="L35" s="5" t="s">
        <v>24</v>
      </c>
      <c r="M35" s="5" t="s">
        <v>24</v>
      </c>
      <c r="N35" s="5" t="s">
        <v>205</v>
      </c>
      <c r="O35" s="9" t="s">
        <v>35</v>
      </c>
      <c r="P35" s="5"/>
      <c r="Q35" s="8" t="s">
        <v>25</v>
      </c>
    </row>
    <row r="36" spans="1:17" ht="55.5" customHeight="1">
      <c r="A36" s="5" t="s">
        <v>207</v>
      </c>
      <c r="B36" s="5" t="s">
        <v>28</v>
      </c>
      <c r="C36" s="5" t="s">
        <v>28</v>
      </c>
      <c r="D36" s="5" t="s">
        <v>28</v>
      </c>
      <c r="E36" s="6" t="s">
        <v>208</v>
      </c>
      <c r="F36" s="5" t="s">
        <v>24</v>
      </c>
      <c r="G36" s="5" t="s">
        <v>209</v>
      </c>
      <c r="H36" s="5" t="s">
        <v>28</v>
      </c>
      <c r="I36" s="5" t="s">
        <v>69</v>
      </c>
      <c r="J36" s="5" t="s">
        <v>24</v>
      </c>
      <c r="K36" s="5" t="s">
        <v>34</v>
      </c>
      <c r="L36" s="5" t="s">
        <v>24</v>
      </c>
      <c r="M36" s="5" t="s">
        <v>54</v>
      </c>
      <c r="N36" s="5" t="s">
        <v>144</v>
      </c>
      <c r="O36" s="9" t="s">
        <v>65</v>
      </c>
      <c r="P36" s="5"/>
      <c r="Q36" s="8" t="s">
        <v>54</v>
      </c>
    </row>
    <row r="37" spans="1:17" ht="55.5" customHeight="1">
      <c r="A37" s="5" t="s">
        <v>207</v>
      </c>
      <c r="B37" s="5" t="s">
        <v>28</v>
      </c>
      <c r="C37" s="5" t="s">
        <v>28</v>
      </c>
      <c r="D37" s="5" t="s">
        <v>28</v>
      </c>
      <c r="E37" s="6" t="s">
        <v>211</v>
      </c>
      <c r="F37" s="5" t="s">
        <v>24</v>
      </c>
      <c r="G37" s="5" t="s">
        <v>212</v>
      </c>
      <c r="H37" s="5" t="s">
        <v>28</v>
      </c>
      <c r="I37" s="5" t="s">
        <v>69</v>
      </c>
      <c r="J37" s="5" t="s">
        <v>24</v>
      </c>
      <c r="K37" s="5" t="s">
        <v>213</v>
      </c>
      <c r="L37" s="5" t="s">
        <v>24</v>
      </c>
      <c r="M37" s="5" t="s">
        <v>54</v>
      </c>
      <c r="N37" s="5" t="s">
        <v>144</v>
      </c>
      <c r="O37" s="9" t="s">
        <v>65</v>
      </c>
      <c r="P37" s="5"/>
      <c r="Q37" s="8" t="s">
        <v>54</v>
      </c>
    </row>
    <row r="38" spans="1:17" ht="55.5" customHeight="1">
      <c r="A38" s="5" t="s">
        <v>207</v>
      </c>
      <c r="B38" s="5" t="s">
        <v>28</v>
      </c>
      <c r="C38" s="5" t="s">
        <v>28</v>
      </c>
      <c r="D38" s="5" t="s">
        <v>28</v>
      </c>
      <c r="E38" s="6" t="s">
        <v>215</v>
      </c>
      <c r="F38" s="5" t="s">
        <v>24</v>
      </c>
      <c r="G38" s="5" t="s">
        <v>216</v>
      </c>
      <c r="H38" s="5" t="s">
        <v>28</v>
      </c>
      <c r="I38" s="5" t="s">
        <v>69</v>
      </c>
      <c r="J38" s="5" t="s">
        <v>24</v>
      </c>
      <c r="K38" s="5" t="s">
        <v>63</v>
      </c>
      <c r="L38" s="5" t="s">
        <v>24</v>
      </c>
      <c r="M38" s="5" t="s">
        <v>54</v>
      </c>
      <c r="N38" s="5" t="s">
        <v>144</v>
      </c>
      <c r="O38" s="9" t="s">
        <v>65</v>
      </c>
      <c r="P38" s="5"/>
      <c r="Q38" s="8" t="s">
        <v>54</v>
      </c>
    </row>
    <row r="39" spans="1:17" ht="55.5" customHeight="1">
      <c r="A39" s="5" t="s">
        <v>207</v>
      </c>
      <c r="B39" s="5" t="s">
        <v>28</v>
      </c>
      <c r="C39" s="5" t="s">
        <v>28</v>
      </c>
      <c r="D39" s="5" t="s">
        <v>28</v>
      </c>
      <c r="E39" s="6" t="s">
        <v>218</v>
      </c>
      <c r="F39" s="5" t="s">
        <v>24</v>
      </c>
      <c r="G39" s="5" t="s">
        <v>219</v>
      </c>
      <c r="H39" s="5" t="s">
        <v>28</v>
      </c>
      <c r="I39" s="5" t="s">
        <v>69</v>
      </c>
      <c r="J39" s="5" t="s">
        <v>24</v>
      </c>
      <c r="K39" s="5" t="s">
        <v>63</v>
      </c>
      <c r="L39" s="5" t="s">
        <v>24</v>
      </c>
      <c r="M39" s="5" t="s">
        <v>54</v>
      </c>
      <c r="N39" s="5" t="s">
        <v>144</v>
      </c>
      <c r="O39" s="9" t="s">
        <v>65</v>
      </c>
      <c r="P39" s="5"/>
      <c r="Q39" s="8" t="s">
        <v>54</v>
      </c>
    </row>
    <row r="40" spans="1:17" ht="55.5" customHeight="1">
      <c r="A40" s="5" t="s">
        <v>221</v>
      </c>
      <c r="B40" s="5" t="s">
        <v>28</v>
      </c>
      <c r="C40" s="5" t="s">
        <v>28</v>
      </c>
      <c r="D40" s="5" t="s">
        <v>28</v>
      </c>
      <c r="E40" s="6" t="s">
        <v>222</v>
      </c>
      <c r="F40" s="5" t="s">
        <v>24</v>
      </c>
      <c r="G40" s="5" t="s">
        <v>223</v>
      </c>
      <c r="H40" s="5" t="s">
        <v>28</v>
      </c>
      <c r="I40" s="5" t="s">
        <v>69</v>
      </c>
      <c r="J40" s="5" t="s">
        <v>24</v>
      </c>
      <c r="K40" s="5" t="s">
        <v>110</v>
      </c>
      <c r="L40" s="5" t="s">
        <v>24</v>
      </c>
      <c r="M40" s="5" t="s">
        <v>54</v>
      </c>
      <c r="N40" s="5" t="s">
        <v>224</v>
      </c>
      <c r="O40" s="9" t="s">
        <v>35</v>
      </c>
      <c r="P40" s="5"/>
      <c r="Q40" s="8" t="s">
        <v>35</v>
      </c>
    </row>
    <row r="41" spans="1:17" ht="55.5" customHeight="1">
      <c r="A41" s="5" t="s">
        <v>226</v>
      </c>
      <c r="B41" s="5" t="s">
        <v>227</v>
      </c>
      <c r="C41" s="5" t="s">
        <v>28</v>
      </c>
      <c r="D41" s="5" t="s">
        <v>28</v>
      </c>
      <c r="E41" s="6" t="s">
        <v>228</v>
      </c>
      <c r="F41" s="5" t="s">
        <v>24</v>
      </c>
      <c r="G41" s="5" t="s">
        <v>229</v>
      </c>
      <c r="H41" s="5" t="s">
        <v>28</v>
      </c>
      <c r="I41" s="5" t="s">
        <v>188</v>
      </c>
      <c r="J41" s="5" t="s">
        <v>24</v>
      </c>
      <c r="K41" s="5" t="s">
        <v>110</v>
      </c>
      <c r="L41" s="5" t="s">
        <v>24</v>
      </c>
      <c r="M41" s="5" t="s">
        <v>54</v>
      </c>
      <c r="N41" s="5" t="s">
        <v>230</v>
      </c>
      <c r="O41" s="9" t="s">
        <v>35</v>
      </c>
      <c r="P41" s="5" t="s">
        <v>231</v>
      </c>
      <c r="Q41" s="8" t="s">
        <v>25</v>
      </c>
    </row>
    <row r="42" spans="1:17" ht="55.5" customHeight="1">
      <c r="A42" s="5" t="s">
        <v>226</v>
      </c>
      <c r="B42" s="5" t="s">
        <v>227</v>
      </c>
      <c r="C42" s="5" t="s">
        <v>28</v>
      </c>
      <c r="D42" s="5" t="s">
        <v>28</v>
      </c>
      <c r="E42" s="6" t="s">
        <v>233</v>
      </c>
      <c r="F42" s="5" t="s">
        <v>24</v>
      </c>
      <c r="G42" s="5" t="s">
        <v>229</v>
      </c>
      <c r="H42" s="5" t="s">
        <v>28</v>
      </c>
      <c r="I42" s="5" t="s">
        <v>188</v>
      </c>
      <c r="J42" s="5" t="s">
        <v>24</v>
      </c>
      <c r="K42" s="5" t="s">
        <v>110</v>
      </c>
      <c r="L42" s="5" t="s">
        <v>24</v>
      </c>
      <c r="M42" s="5" t="s">
        <v>54</v>
      </c>
      <c r="N42" s="5" t="s">
        <v>230</v>
      </c>
      <c r="O42" s="9" t="s">
        <v>35</v>
      </c>
      <c r="P42" s="5" t="s">
        <v>234</v>
      </c>
      <c r="Q42" s="8" t="s">
        <v>25</v>
      </c>
    </row>
    <row r="43" spans="1:17" ht="55.5" customHeight="1">
      <c r="A43" s="5" t="s">
        <v>237</v>
      </c>
      <c r="B43" s="5" t="s">
        <v>238</v>
      </c>
      <c r="C43" s="5" t="s">
        <v>28</v>
      </c>
      <c r="D43" s="5" t="s">
        <v>28</v>
      </c>
      <c r="E43" s="6" t="s">
        <v>239</v>
      </c>
      <c r="F43" s="5" t="s">
        <v>24</v>
      </c>
      <c r="G43" s="5" t="s">
        <v>240</v>
      </c>
      <c r="H43" s="5" t="s">
        <v>28</v>
      </c>
      <c r="I43" s="5" t="s">
        <v>69</v>
      </c>
      <c r="J43" s="5" t="s">
        <v>24</v>
      </c>
      <c r="K43" s="5" t="s">
        <v>213</v>
      </c>
      <c r="L43" s="5" t="s">
        <v>24</v>
      </c>
      <c r="M43" s="5" t="s">
        <v>54</v>
      </c>
      <c r="N43" s="5" t="s">
        <v>241</v>
      </c>
      <c r="O43" s="9" t="s">
        <v>35</v>
      </c>
      <c r="P43" s="5"/>
      <c r="Q43" s="8" t="s">
        <v>25</v>
      </c>
    </row>
    <row r="44" spans="1:17" ht="55.5" customHeight="1">
      <c r="A44" s="5" t="s">
        <v>237</v>
      </c>
      <c r="B44" s="5" t="s">
        <v>238</v>
      </c>
      <c r="C44" s="5" t="s">
        <v>28</v>
      </c>
      <c r="D44" s="5" t="s">
        <v>28</v>
      </c>
      <c r="E44" s="6" t="s">
        <v>243</v>
      </c>
      <c r="F44" s="5" t="s">
        <v>24</v>
      </c>
      <c r="G44" s="5" t="s">
        <v>244</v>
      </c>
      <c r="H44" s="5" t="s">
        <v>28</v>
      </c>
      <c r="I44" s="5" t="s">
        <v>69</v>
      </c>
      <c r="J44" s="5" t="s">
        <v>24</v>
      </c>
      <c r="K44" s="5" t="s">
        <v>110</v>
      </c>
      <c r="L44" s="5" t="s">
        <v>24</v>
      </c>
      <c r="M44" s="5" t="s">
        <v>54</v>
      </c>
      <c r="N44" s="5" t="s">
        <v>245</v>
      </c>
      <c r="O44" s="9" t="s">
        <v>35</v>
      </c>
      <c r="P44" s="5"/>
      <c r="Q44" s="8" t="s">
        <v>35</v>
      </c>
    </row>
    <row r="45" spans="1:17" ht="55.5" customHeight="1">
      <c r="A45" s="5" t="s">
        <v>237</v>
      </c>
      <c r="B45" s="5" t="s">
        <v>238</v>
      </c>
      <c r="C45" s="5" t="s">
        <v>28</v>
      </c>
      <c r="D45" s="5" t="s">
        <v>28</v>
      </c>
      <c r="E45" s="6" t="s">
        <v>247</v>
      </c>
      <c r="F45" s="5" t="s">
        <v>24</v>
      </c>
      <c r="G45" s="5" t="s">
        <v>248</v>
      </c>
      <c r="H45" s="5" t="s">
        <v>28</v>
      </c>
      <c r="I45" s="5" t="s">
        <v>69</v>
      </c>
      <c r="J45" s="5" t="s">
        <v>24</v>
      </c>
      <c r="K45" s="5" t="s">
        <v>110</v>
      </c>
      <c r="L45" s="5" t="s">
        <v>24</v>
      </c>
      <c r="M45" s="5" t="s">
        <v>54</v>
      </c>
      <c r="N45" s="5" t="s">
        <v>144</v>
      </c>
      <c r="O45" s="9" t="s">
        <v>65</v>
      </c>
      <c r="P45" s="5"/>
      <c r="Q45" s="8" t="s">
        <v>54</v>
      </c>
    </row>
    <row r="46" spans="1:17" ht="55.5" customHeight="1">
      <c r="A46" s="5" t="s">
        <v>237</v>
      </c>
      <c r="B46" s="5" t="s">
        <v>250</v>
      </c>
      <c r="C46" s="5" t="s">
        <v>28</v>
      </c>
      <c r="D46" s="5" t="s">
        <v>28</v>
      </c>
      <c r="E46" s="6" t="s">
        <v>251</v>
      </c>
      <c r="F46" s="5" t="s">
        <v>24</v>
      </c>
      <c r="G46" s="5" t="s">
        <v>252</v>
      </c>
      <c r="H46" s="5" t="s">
        <v>28</v>
      </c>
      <c r="I46" s="5" t="s">
        <v>188</v>
      </c>
      <c r="J46" s="5" t="s">
        <v>24</v>
      </c>
      <c r="K46" s="5" t="s">
        <v>63</v>
      </c>
      <c r="L46" s="5" t="s">
        <v>24</v>
      </c>
      <c r="M46" s="5" t="s">
        <v>63</v>
      </c>
      <c r="N46" s="5" t="s">
        <v>253</v>
      </c>
      <c r="O46" s="9" t="s">
        <v>35</v>
      </c>
      <c r="P46" s="5" t="s">
        <v>254</v>
      </c>
      <c r="Q46" s="8" t="s">
        <v>25</v>
      </c>
    </row>
    <row r="47" spans="1:17" ht="55.5" customHeight="1">
      <c r="A47" s="5" t="s">
        <v>256</v>
      </c>
      <c r="B47" s="5" t="s">
        <v>257</v>
      </c>
      <c r="C47" s="5" t="s">
        <v>28</v>
      </c>
      <c r="D47" s="5" t="s">
        <v>28</v>
      </c>
      <c r="E47" s="6" t="s">
        <v>258</v>
      </c>
      <c r="F47" s="5" t="s">
        <v>24</v>
      </c>
      <c r="G47" s="5" t="s">
        <v>259</v>
      </c>
      <c r="H47" s="5" t="s">
        <v>28</v>
      </c>
      <c r="I47" s="5" t="s">
        <v>69</v>
      </c>
      <c r="J47" s="5" t="s">
        <v>24</v>
      </c>
      <c r="K47" s="5" t="s">
        <v>34</v>
      </c>
      <c r="L47" s="5" t="s">
        <v>24</v>
      </c>
      <c r="M47" s="5" t="s">
        <v>54</v>
      </c>
      <c r="N47" s="5" t="s">
        <v>260</v>
      </c>
      <c r="O47" s="9" t="s">
        <v>35</v>
      </c>
      <c r="P47" s="5" t="s">
        <v>261</v>
      </c>
      <c r="Q47" s="8" t="s">
        <v>25</v>
      </c>
    </row>
    <row r="48" spans="1:17" ht="55.5" customHeight="1">
      <c r="A48" s="5" t="s">
        <v>256</v>
      </c>
      <c r="B48" s="5" t="s">
        <v>257</v>
      </c>
      <c r="C48" s="5" t="s">
        <v>28</v>
      </c>
      <c r="D48" s="5" t="s">
        <v>28</v>
      </c>
      <c r="E48" s="6" t="s">
        <v>263</v>
      </c>
      <c r="F48" s="5" t="s">
        <v>24</v>
      </c>
      <c r="G48" s="5" t="s">
        <v>264</v>
      </c>
      <c r="H48" s="5" t="s">
        <v>28</v>
      </c>
      <c r="I48" s="5" t="s">
        <v>69</v>
      </c>
      <c r="J48" s="5" t="s">
        <v>24</v>
      </c>
      <c r="K48" s="5" t="s">
        <v>34</v>
      </c>
      <c r="L48" s="5" t="s">
        <v>24</v>
      </c>
      <c r="M48" s="5" t="s">
        <v>54</v>
      </c>
      <c r="N48" s="5" t="s">
        <v>260</v>
      </c>
      <c r="O48" s="9" t="s">
        <v>35</v>
      </c>
      <c r="P48" s="5" t="s">
        <v>261</v>
      </c>
      <c r="Q48" s="8" t="s">
        <v>25</v>
      </c>
    </row>
    <row r="49" spans="1:17" ht="55.5" customHeight="1">
      <c r="A49" s="5" t="s">
        <v>256</v>
      </c>
      <c r="B49" s="5" t="s">
        <v>257</v>
      </c>
      <c r="C49" s="5" t="s">
        <v>28</v>
      </c>
      <c r="D49" s="5" t="s">
        <v>28</v>
      </c>
      <c r="E49" s="6" t="s">
        <v>266</v>
      </c>
      <c r="F49" s="5" t="s">
        <v>24</v>
      </c>
      <c r="G49" s="5" t="s">
        <v>267</v>
      </c>
      <c r="H49" s="5" t="s">
        <v>28</v>
      </c>
      <c r="I49" s="5" t="s">
        <v>69</v>
      </c>
      <c r="J49" s="5" t="s">
        <v>24</v>
      </c>
      <c r="K49" s="5" t="s">
        <v>110</v>
      </c>
      <c r="L49" s="5" t="s">
        <v>24</v>
      </c>
      <c r="M49" s="5" t="s">
        <v>63</v>
      </c>
      <c r="N49" s="5" t="s">
        <v>268</v>
      </c>
      <c r="O49" s="9" t="s">
        <v>35</v>
      </c>
      <c r="P49" s="5" t="s">
        <v>261</v>
      </c>
      <c r="Q49" s="8" t="s">
        <v>25</v>
      </c>
    </row>
    <row r="50" spans="1:17" ht="55.5" customHeight="1">
      <c r="A50" s="5" t="s">
        <v>256</v>
      </c>
      <c r="B50" s="5" t="s">
        <v>257</v>
      </c>
      <c r="C50" s="5" t="s">
        <v>28</v>
      </c>
      <c r="D50" s="5" t="s">
        <v>28</v>
      </c>
      <c r="E50" s="6" t="s">
        <v>270</v>
      </c>
      <c r="F50" s="5" t="s">
        <v>24</v>
      </c>
      <c r="G50" s="5" t="s">
        <v>271</v>
      </c>
      <c r="H50" s="5" t="s">
        <v>28</v>
      </c>
      <c r="I50" s="5" t="s">
        <v>69</v>
      </c>
      <c r="J50" s="5" t="s">
        <v>24</v>
      </c>
      <c r="K50" s="5" t="s">
        <v>34</v>
      </c>
      <c r="L50" s="5" t="s">
        <v>24</v>
      </c>
      <c r="M50" s="5" t="s">
        <v>54</v>
      </c>
      <c r="N50" s="5" t="s">
        <v>260</v>
      </c>
      <c r="O50" s="9" t="s">
        <v>35</v>
      </c>
      <c r="P50" s="5" t="s">
        <v>261</v>
      </c>
      <c r="Q50" s="8" t="s">
        <v>25</v>
      </c>
    </row>
    <row r="51" spans="1:17" ht="55.5" customHeight="1">
      <c r="A51" s="5" t="s">
        <v>256</v>
      </c>
      <c r="B51" s="5" t="s">
        <v>257</v>
      </c>
      <c r="C51" s="5" t="s">
        <v>28</v>
      </c>
      <c r="D51" s="5" t="s">
        <v>28</v>
      </c>
      <c r="E51" s="6" t="s">
        <v>273</v>
      </c>
      <c r="F51" s="5" t="s">
        <v>24</v>
      </c>
      <c r="G51" s="5" t="s">
        <v>274</v>
      </c>
      <c r="H51" s="5" t="s">
        <v>28</v>
      </c>
      <c r="I51" s="5" t="s">
        <v>69</v>
      </c>
      <c r="J51" s="5" t="s">
        <v>24</v>
      </c>
      <c r="K51" s="5" t="s">
        <v>34</v>
      </c>
      <c r="L51" s="5" t="s">
        <v>24</v>
      </c>
      <c r="M51" s="5" t="s">
        <v>54</v>
      </c>
      <c r="N51" s="5" t="s">
        <v>260</v>
      </c>
      <c r="O51" s="9" t="s">
        <v>35</v>
      </c>
      <c r="P51" s="5" t="s">
        <v>261</v>
      </c>
      <c r="Q51" s="8" t="s">
        <v>25</v>
      </c>
    </row>
    <row r="52" spans="1:17" ht="55.5" customHeight="1">
      <c r="A52" s="5" t="s">
        <v>256</v>
      </c>
      <c r="B52" s="5" t="s">
        <v>257</v>
      </c>
      <c r="C52" s="5" t="s">
        <v>28</v>
      </c>
      <c r="D52" s="5" t="s">
        <v>28</v>
      </c>
      <c r="E52" s="6" t="s">
        <v>276</v>
      </c>
      <c r="F52" s="5" t="s">
        <v>108</v>
      </c>
      <c r="G52" s="5" t="s">
        <v>277</v>
      </c>
      <c r="H52" s="5" t="s">
        <v>28</v>
      </c>
      <c r="I52" s="5" t="s">
        <v>69</v>
      </c>
      <c r="J52" s="5" t="s">
        <v>24</v>
      </c>
      <c r="K52" s="5" t="s">
        <v>34</v>
      </c>
      <c r="L52" s="5" t="s">
        <v>24</v>
      </c>
      <c r="M52" s="5" t="s">
        <v>54</v>
      </c>
      <c r="N52" s="5" t="s">
        <v>260</v>
      </c>
      <c r="O52" s="9" t="s">
        <v>35</v>
      </c>
      <c r="P52" s="5" t="s">
        <v>261</v>
      </c>
      <c r="Q52" s="8" t="s">
        <v>25</v>
      </c>
    </row>
    <row r="53" spans="1:17" ht="55.5" customHeight="1">
      <c r="A53" s="5" t="s">
        <v>256</v>
      </c>
      <c r="B53" s="5" t="s">
        <v>257</v>
      </c>
      <c r="C53" s="5" t="s">
        <v>28</v>
      </c>
      <c r="D53" s="5" t="s">
        <v>28</v>
      </c>
      <c r="E53" s="6" t="s">
        <v>279</v>
      </c>
      <c r="F53" s="5" t="s">
        <v>108</v>
      </c>
      <c r="G53" s="5" t="s">
        <v>280</v>
      </c>
      <c r="H53" s="5" t="s">
        <v>28</v>
      </c>
      <c r="I53" s="5" t="s">
        <v>33</v>
      </c>
      <c r="J53" s="5" t="s">
        <v>24</v>
      </c>
      <c r="K53" s="5" t="s">
        <v>110</v>
      </c>
      <c r="L53" s="5" t="s">
        <v>24</v>
      </c>
      <c r="M53" s="5" t="s">
        <v>25</v>
      </c>
      <c r="N53" s="5" t="s">
        <v>281</v>
      </c>
      <c r="O53" s="9" t="s">
        <v>35</v>
      </c>
      <c r="P53" s="5"/>
      <c r="Q53" s="8" t="s">
        <v>25</v>
      </c>
    </row>
    <row r="54" spans="1:17" ht="55.5" customHeight="1">
      <c r="A54" s="5" t="s">
        <v>284</v>
      </c>
      <c r="B54" s="5" t="s">
        <v>28</v>
      </c>
      <c r="C54" s="5" t="s">
        <v>28</v>
      </c>
      <c r="D54" s="5" t="s">
        <v>28</v>
      </c>
      <c r="E54" s="6" t="s">
        <v>285</v>
      </c>
      <c r="F54" s="5" t="s">
        <v>24</v>
      </c>
      <c r="G54" s="5" t="s">
        <v>286</v>
      </c>
      <c r="H54" s="5" t="s">
        <v>28</v>
      </c>
      <c r="I54" s="5" t="s">
        <v>69</v>
      </c>
      <c r="J54" s="5" t="s">
        <v>24</v>
      </c>
      <c r="K54" s="5" t="s">
        <v>34</v>
      </c>
      <c r="L54" s="5" t="s">
        <v>24</v>
      </c>
      <c r="M54" s="5" t="s">
        <v>24</v>
      </c>
      <c r="N54" s="5" t="s">
        <v>24</v>
      </c>
      <c r="O54" s="9" t="s">
        <v>35</v>
      </c>
      <c r="P54" s="5" t="s">
        <v>287</v>
      </c>
      <c r="Q54" s="8" t="s">
        <v>25</v>
      </c>
    </row>
    <row r="55" spans="1:17" ht="55.5" customHeight="1">
      <c r="A55" s="5" t="s">
        <v>284</v>
      </c>
      <c r="B55" s="5" t="s">
        <v>28</v>
      </c>
      <c r="C55" s="5" t="s">
        <v>28</v>
      </c>
      <c r="D55" s="5" t="s">
        <v>28</v>
      </c>
      <c r="E55" s="6" t="s">
        <v>289</v>
      </c>
      <c r="F55" s="5" t="s">
        <v>165</v>
      </c>
      <c r="G55" s="5" t="s">
        <v>290</v>
      </c>
      <c r="H55" s="5" t="s">
        <v>28</v>
      </c>
      <c r="I55" s="5" t="s">
        <v>69</v>
      </c>
      <c r="J55" s="5" t="s">
        <v>24</v>
      </c>
      <c r="K55" s="5" t="s">
        <v>213</v>
      </c>
      <c r="L55" s="5" t="s">
        <v>24</v>
      </c>
      <c r="M55" s="5" t="s">
        <v>25</v>
      </c>
      <c r="N55" s="5" t="s">
        <v>291</v>
      </c>
      <c r="O55" s="9" t="s">
        <v>35</v>
      </c>
      <c r="P55" s="5" t="s">
        <v>287</v>
      </c>
      <c r="Q55" s="8" t="s">
        <v>25</v>
      </c>
    </row>
    <row r="56" spans="1:17" ht="55.5" customHeight="1">
      <c r="A56" s="5" t="s">
        <v>284</v>
      </c>
      <c r="B56" s="5" t="s">
        <v>28</v>
      </c>
      <c r="C56" s="5" t="s">
        <v>28</v>
      </c>
      <c r="D56" s="5" t="s">
        <v>28</v>
      </c>
      <c r="E56" s="6" t="s">
        <v>293</v>
      </c>
      <c r="F56" s="5" t="s">
        <v>24</v>
      </c>
      <c r="G56" s="5" t="s">
        <v>294</v>
      </c>
      <c r="H56" s="5" t="s">
        <v>28</v>
      </c>
      <c r="I56" s="5" t="s">
        <v>69</v>
      </c>
      <c r="J56" s="5" t="s">
        <v>24</v>
      </c>
      <c r="K56" s="5" t="s">
        <v>34</v>
      </c>
      <c r="L56" s="5" t="s">
        <v>24</v>
      </c>
      <c r="M56" s="5" t="s">
        <v>54</v>
      </c>
      <c r="N56" s="5" t="s">
        <v>295</v>
      </c>
      <c r="O56" s="9" t="s">
        <v>35</v>
      </c>
      <c r="P56" s="5" t="s">
        <v>287</v>
      </c>
      <c r="Q56" s="8" t="s">
        <v>25</v>
      </c>
    </row>
    <row r="57" spans="1:17" ht="55.5" customHeight="1">
      <c r="A57" s="5" t="s">
        <v>284</v>
      </c>
      <c r="B57" s="5" t="s">
        <v>28</v>
      </c>
      <c r="C57" s="5" t="s">
        <v>28</v>
      </c>
      <c r="D57" s="5" t="s">
        <v>28</v>
      </c>
      <c r="E57" s="6" t="s">
        <v>297</v>
      </c>
      <c r="F57" s="5" t="s">
        <v>108</v>
      </c>
      <c r="G57" s="5" t="s">
        <v>298</v>
      </c>
      <c r="H57" s="5" t="s">
        <v>28</v>
      </c>
      <c r="I57" s="5" t="s">
        <v>69</v>
      </c>
      <c r="J57" s="5" t="s">
        <v>24</v>
      </c>
      <c r="K57" s="5" t="s">
        <v>110</v>
      </c>
      <c r="L57" s="5" t="s">
        <v>24</v>
      </c>
      <c r="M57" s="5" t="s">
        <v>63</v>
      </c>
      <c r="N57" s="5" t="s">
        <v>299</v>
      </c>
      <c r="O57" s="9" t="s">
        <v>35</v>
      </c>
      <c r="P57" s="5" t="s">
        <v>287</v>
      </c>
      <c r="Q57" s="8" t="s">
        <v>25</v>
      </c>
    </row>
    <row r="58" spans="1:17" ht="55.5" customHeight="1">
      <c r="A58" s="5" t="s">
        <v>284</v>
      </c>
      <c r="B58" s="5" t="s">
        <v>28</v>
      </c>
      <c r="C58" s="5" t="s">
        <v>28</v>
      </c>
      <c r="D58" s="5" t="s">
        <v>28</v>
      </c>
      <c r="E58" s="6" t="s">
        <v>301</v>
      </c>
      <c r="F58" s="5" t="s">
        <v>108</v>
      </c>
      <c r="G58" s="5" t="s">
        <v>302</v>
      </c>
      <c r="H58" s="5" t="s">
        <v>28</v>
      </c>
      <c r="I58" s="5" t="s">
        <v>69</v>
      </c>
      <c r="J58" s="5" t="s">
        <v>24</v>
      </c>
      <c r="K58" s="5" t="s">
        <v>110</v>
      </c>
      <c r="L58" s="5" t="s">
        <v>24</v>
      </c>
      <c r="M58" s="5" t="s">
        <v>63</v>
      </c>
      <c r="N58" s="5" t="s">
        <v>303</v>
      </c>
      <c r="O58" s="9" t="s">
        <v>35</v>
      </c>
      <c r="P58" s="5" t="s">
        <v>287</v>
      </c>
      <c r="Q58" s="8" t="s">
        <v>25</v>
      </c>
    </row>
    <row r="59" spans="1:17" ht="55.5" customHeight="1">
      <c r="A59" s="5" t="s">
        <v>284</v>
      </c>
      <c r="B59" s="5" t="s">
        <v>28</v>
      </c>
      <c r="C59" s="5" t="s">
        <v>28</v>
      </c>
      <c r="D59" s="5" t="s">
        <v>28</v>
      </c>
      <c r="E59" s="6" t="s">
        <v>305</v>
      </c>
      <c r="F59" s="5" t="s">
        <v>165</v>
      </c>
      <c r="G59" s="5" t="s">
        <v>306</v>
      </c>
      <c r="H59" s="5" t="s">
        <v>28</v>
      </c>
      <c r="I59" s="5" t="s">
        <v>69</v>
      </c>
      <c r="J59" s="5" t="s">
        <v>24</v>
      </c>
      <c r="K59" s="5" t="s">
        <v>34</v>
      </c>
      <c r="L59" s="5" t="s">
        <v>24</v>
      </c>
      <c r="M59" s="5" t="s">
        <v>54</v>
      </c>
      <c r="N59" s="5" t="s">
        <v>307</v>
      </c>
      <c r="O59" s="9" t="s">
        <v>35</v>
      </c>
      <c r="P59" s="5" t="s">
        <v>287</v>
      </c>
      <c r="Q59" s="8" t="s">
        <v>25</v>
      </c>
    </row>
    <row r="60" spans="1:17" ht="55.5" customHeight="1">
      <c r="A60" s="5" t="s">
        <v>284</v>
      </c>
      <c r="B60" s="5" t="s">
        <v>28</v>
      </c>
      <c r="C60" s="5" t="s">
        <v>28</v>
      </c>
      <c r="D60" s="5" t="s">
        <v>28</v>
      </c>
      <c r="E60" s="6" t="s">
        <v>309</v>
      </c>
      <c r="F60" s="5" t="s">
        <v>24</v>
      </c>
      <c r="G60" s="5" t="s">
        <v>310</v>
      </c>
      <c r="H60" s="5" t="s">
        <v>28</v>
      </c>
      <c r="I60" s="5" t="s">
        <v>69</v>
      </c>
      <c r="J60" s="5" t="s">
        <v>24</v>
      </c>
      <c r="K60" s="5" t="s">
        <v>63</v>
      </c>
      <c r="L60" s="5" t="s">
        <v>24</v>
      </c>
      <c r="M60" s="5" t="s">
        <v>63</v>
      </c>
      <c r="N60" s="5" t="s">
        <v>311</v>
      </c>
      <c r="O60" s="9" t="s">
        <v>35</v>
      </c>
      <c r="P60" s="5" t="s">
        <v>287</v>
      </c>
      <c r="Q60" s="8" t="s">
        <v>25</v>
      </c>
    </row>
    <row r="61" spans="1:17" ht="55.5" customHeight="1">
      <c r="A61" s="5" t="s">
        <v>313</v>
      </c>
      <c r="B61" s="5" t="s">
        <v>28</v>
      </c>
      <c r="C61" s="5" t="s">
        <v>28</v>
      </c>
      <c r="D61" s="5" t="s">
        <v>28</v>
      </c>
      <c r="E61" s="6" t="s">
        <v>314</v>
      </c>
      <c r="F61" s="5" t="s">
        <v>42</v>
      </c>
      <c r="G61" s="5" t="s">
        <v>315</v>
      </c>
      <c r="H61" s="5" t="s">
        <v>28</v>
      </c>
      <c r="I61" s="5" t="s">
        <v>33</v>
      </c>
      <c r="J61" s="5" t="s">
        <v>24</v>
      </c>
      <c r="K61" s="5" t="s">
        <v>34</v>
      </c>
      <c r="L61" s="5" t="s">
        <v>24</v>
      </c>
      <c r="M61" s="5" t="s">
        <v>25</v>
      </c>
      <c r="N61" s="5" t="s">
        <v>316</v>
      </c>
      <c r="O61" s="9" t="s">
        <v>35</v>
      </c>
      <c r="P61" s="5" t="s">
        <v>287</v>
      </c>
      <c r="Q61" s="8" t="s">
        <v>35</v>
      </c>
    </row>
    <row r="62" spans="1:17" ht="55.5" customHeight="1">
      <c r="A62" s="5" t="s">
        <v>313</v>
      </c>
      <c r="B62" s="5" t="s">
        <v>28</v>
      </c>
      <c r="C62" s="5" t="s">
        <v>28</v>
      </c>
      <c r="D62" s="5" t="s">
        <v>28</v>
      </c>
      <c r="E62" s="6" t="s">
        <v>318</v>
      </c>
      <c r="F62" s="5" t="s">
        <v>42</v>
      </c>
      <c r="G62" s="5" t="s">
        <v>319</v>
      </c>
      <c r="H62" s="5" t="s">
        <v>28</v>
      </c>
      <c r="I62" s="5" t="s">
        <v>320</v>
      </c>
      <c r="J62" s="5" t="s">
        <v>24</v>
      </c>
      <c r="K62" s="5" t="s">
        <v>34</v>
      </c>
      <c r="L62" s="5" t="s">
        <v>24</v>
      </c>
      <c r="M62" s="5" t="s">
        <v>63</v>
      </c>
      <c r="N62" s="5" t="s">
        <v>321</v>
      </c>
      <c r="O62" s="9" t="s">
        <v>35</v>
      </c>
      <c r="P62" s="5"/>
      <c r="Q62" s="8" t="s">
        <v>25</v>
      </c>
    </row>
    <row r="63" spans="1:17" ht="55.5" customHeight="1">
      <c r="A63" s="5" t="s">
        <v>313</v>
      </c>
      <c r="B63" s="5" t="s">
        <v>28</v>
      </c>
      <c r="C63" s="5" t="s">
        <v>28</v>
      </c>
      <c r="D63" s="5" t="s">
        <v>28</v>
      </c>
      <c r="E63" s="6" t="s">
        <v>323</v>
      </c>
      <c r="F63" s="5" t="s">
        <v>24</v>
      </c>
      <c r="G63" s="5" t="s">
        <v>324</v>
      </c>
      <c r="H63" s="5" t="s">
        <v>28</v>
      </c>
      <c r="I63" s="5" t="s">
        <v>320</v>
      </c>
      <c r="J63" s="5" t="s">
        <v>24</v>
      </c>
      <c r="K63" s="5" t="s">
        <v>110</v>
      </c>
      <c r="L63" s="5" t="s">
        <v>24</v>
      </c>
      <c r="M63" s="5" t="s">
        <v>63</v>
      </c>
      <c r="N63" s="5" t="s">
        <v>321</v>
      </c>
      <c r="O63" s="9" t="s">
        <v>35</v>
      </c>
      <c r="P63" s="5"/>
      <c r="Q63" s="8" t="s">
        <v>25</v>
      </c>
    </row>
    <row r="64" spans="1:17" ht="55.5" customHeight="1">
      <c r="A64" s="5" t="s">
        <v>313</v>
      </c>
      <c r="B64" s="5" t="s">
        <v>28</v>
      </c>
      <c r="C64" s="5" t="s">
        <v>28</v>
      </c>
      <c r="D64" s="5" t="s">
        <v>28</v>
      </c>
      <c r="E64" s="6" t="s">
        <v>326</v>
      </c>
      <c r="F64" s="5" t="s">
        <v>24</v>
      </c>
      <c r="G64" s="5" t="s">
        <v>327</v>
      </c>
      <c r="H64" s="5" t="s">
        <v>28</v>
      </c>
      <c r="I64" s="5" t="s">
        <v>328</v>
      </c>
      <c r="J64" s="5" t="s">
        <v>24</v>
      </c>
      <c r="K64" s="5" t="s">
        <v>213</v>
      </c>
      <c r="L64" s="5" t="s">
        <v>24</v>
      </c>
      <c r="M64" s="5" t="s">
        <v>63</v>
      </c>
      <c r="N64" s="5" t="s">
        <v>321</v>
      </c>
      <c r="O64" s="9" t="s">
        <v>35</v>
      </c>
      <c r="P64" s="5"/>
      <c r="Q64" s="8" t="s">
        <v>25</v>
      </c>
    </row>
    <row r="65" spans="1:17" ht="55.5" customHeight="1">
      <c r="A65" s="5" t="s">
        <v>331</v>
      </c>
      <c r="B65" s="5" t="s">
        <v>28</v>
      </c>
      <c r="C65" s="5" t="s">
        <v>28</v>
      </c>
      <c r="D65" s="5" t="s">
        <v>28</v>
      </c>
      <c r="E65" s="6" t="s">
        <v>332</v>
      </c>
      <c r="F65" s="5" t="s">
        <v>24</v>
      </c>
      <c r="G65" s="5" t="s">
        <v>333</v>
      </c>
      <c r="H65" s="5" t="s">
        <v>28</v>
      </c>
      <c r="I65" s="5" t="s">
        <v>69</v>
      </c>
      <c r="J65" s="5" t="s">
        <v>24</v>
      </c>
      <c r="K65" s="5" t="s">
        <v>213</v>
      </c>
      <c r="L65" s="5" t="s">
        <v>24</v>
      </c>
      <c r="M65" s="5" t="s">
        <v>54</v>
      </c>
      <c r="N65" s="5" t="s">
        <v>334</v>
      </c>
      <c r="O65" s="9" t="s">
        <v>35</v>
      </c>
      <c r="P65" s="5"/>
      <c r="Q65" s="8" t="s">
        <v>25</v>
      </c>
    </row>
    <row r="66" spans="1:17" ht="55.5" customHeight="1">
      <c r="A66" s="5" t="s">
        <v>331</v>
      </c>
      <c r="B66" s="5" t="s">
        <v>28</v>
      </c>
      <c r="C66" s="5" t="s">
        <v>28</v>
      </c>
      <c r="D66" s="5" t="s">
        <v>28</v>
      </c>
      <c r="E66" s="6" t="s">
        <v>336</v>
      </c>
      <c r="F66" s="5" t="s">
        <v>24</v>
      </c>
      <c r="G66" s="5" t="s">
        <v>337</v>
      </c>
      <c r="H66" s="5" t="s">
        <v>28</v>
      </c>
      <c r="I66" s="5" t="s">
        <v>69</v>
      </c>
      <c r="J66" s="5" t="s">
        <v>24</v>
      </c>
      <c r="K66" s="5" t="s">
        <v>110</v>
      </c>
      <c r="L66" s="5" t="s">
        <v>24</v>
      </c>
      <c r="M66" s="5" t="s">
        <v>54</v>
      </c>
      <c r="N66" s="5" t="s">
        <v>334</v>
      </c>
      <c r="O66" s="9" t="s">
        <v>35</v>
      </c>
      <c r="P66" s="5" t="s">
        <v>338</v>
      </c>
      <c r="Q66" s="8" t="s">
        <v>25</v>
      </c>
    </row>
    <row r="67" spans="1:17" ht="55.5" customHeight="1">
      <c r="A67" s="5" t="s">
        <v>340</v>
      </c>
      <c r="B67" s="5" t="s">
        <v>28</v>
      </c>
      <c r="C67" s="5" t="s">
        <v>28</v>
      </c>
      <c r="D67" s="5" t="s">
        <v>28</v>
      </c>
      <c r="E67" s="6" t="s">
        <v>341</v>
      </c>
      <c r="F67" s="5" t="s">
        <v>342</v>
      </c>
      <c r="G67" s="5" t="s">
        <v>343</v>
      </c>
      <c r="H67" s="5" t="s">
        <v>28</v>
      </c>
      <c r="I67" s="5" t="s">
        <v>69</v>
      </c>
      <c r="J67" s="5" t="s">
        <v>344</v>
      </c>
      <c r="K67" s="5" t="s">
        <v>110</v>
      </c>
      <c r="L67" s="5" t="s">
        <v>24</v>
      </c>
      <c r="M67" s="5" t="s">
        <v>54</v>
      </c>
      <c r="N67" s="5" t="s">
        <v>345</v>
      </c>
      <c r="O67" s="9" t="s">
        <v>35</v>
      </c>
      <c r="P67" s="5"/>
      <c r="Q67" s="8" t="s">
        <v>25</v>
      </c>
    </row>
    <row r="68" spans="1:17" ht="55.5" customHeight="1">
      <c r="A68" s="5" t="s">
        <v>340</v>
      </c>
      <c r="B68" s="5" t="s">
        <v>28</v>
      </c>
      <c r="C68" s="5" t="s">
        <v>28</v>
      </c>
      <c r="D68" s="5" t="s">
        <v>28</v>
      </c>
      <c r="E68" s="6" t="s">
        <v>347</v>
      </c>
      <c r="F68" s="5" t="s">
        <v>342</v>
      </c>
      <c r="G68" s="5" t="s">
        <v>348</v>
      </c>
      <c r="H68" s="5" t="s">
        <v>28</v>
      </c>
      <c r="I68" s="5" t="s">
        <v>69</v>
      </c>
      <c r="J68" s="5" t="s">
        <v>344</v>
      </c>
      <c r="K68" s="5" t="s">
        <v>110</v>
      </c>
      <c r="L68" s="5" t="s">
        <v>24</v>
      </c>
      <c r="M68" s="5" t="s">
        <v>54</v>
      </c>
      <c r="N68" s="5" t="s">
        <v>345</v>
      </c>
      <c r="O68" s="9" t="s">
        <v>35</v>
      </c>
      <c r="P68" s="5"/>
      <c r="Q68" s="8" t="s">
        <v>25</v>
      </c>
    </row>
    <row r="69" spans="1:17" ht="55.5" customHeight="1">
      <c r="A69" s="5" t="s">
        <v>340</v>
      </c>
      <c r="B69" s="5" t="s">
        <v>28</v>
      </c>
      <c r="C69" s="5" t="s">
        <v>28</v>
      </c>
      <c r="D69" s="5" t="s">
        <v>28</v>
      </c>
      <c r="E69" s="6" t="s">
        <v>350</v>
      </c>
      <c r="F69" s="5" t="s">
        <v>342</v>
      </c>
      <c r="G69" s="5" t="s">
        <v>351</v>
      </c>
      <c r="H69" s="5" t="s">
        <v>28</v>
      </c>
      <c r="I69" s="5" t="s">
        <v>69</v>
      </c>
      <c r="J69" s="5" t="s">
        <v>344</v>
      </c>
      <c r="K69" s="5" t="s">
        <v>110</v>
      </c>
      <c r="L69" s="5" t="s">
        <v>24</v>
      </c>
      <c r="M69" s="5" t="s">
        <v>54</v>
      </c>
      <c r="N69" s="5" t="s">
        <v>345</v>
      </c>
      <c r="O69" s="9" t="s">
        <v>35</v>
      </c>
      <c r="P69" s="5"/>
      <c r="Q69" s="8" t="s">
        <v>25</v>
      </c>
    </row>
    <row r="70" spans="1:17" ht="55.5" customHeight="1">
      <c r="A70" s="5" t="s">
        <v>340</v>
      </c>
      <c r="B70" s="5" t="s">
        <v>28</v>
      </c>
      <c r="C70" s="5" t="s">
        <v>28</v>
      </c>
      <c r="D70" s="5" t="s">
        <v>28</v>
      </c>
      <c r="E70" s="6" t="s">
        <v>353</v>
      </c>
      <c r="F70" s="5" t="s">
        <v>342</v>
      </c>
      <c r="G70" s="5" t="s">
        <v>354</v>
      </c>
      <c r="H70" s="5" t="s">
        <v>28</v>
      </c>
      <c r="I70" s="5" t="s">
        <v>69</v>
      </c>
      <c r="J70" s="5" t="s">
        <v>344</v>
      </c>
      <c r="K70" s="5" t="s">
        <v>110</v>
      </c>
      <c r="L70" s="5" t="s">
        <v>24</v>
      </c>
      <c r="M70" s="5" t="s">
        <v>54</v>
      </c>
      <c r="N70" s="5" t="s">
        <v>345</v>
      </c>
      <c r="O70" s="9" t="s">
        <v>35</v>
      </c>
      <c r="P70" s="5"/>
      <c r="Q70" s="8" t="s">
        <v>25</v>
      </c>
    </row>
    <row r="71" spans="1:17" ht="55.5" customHeight="1">
      <c r="A71" s="5" t="s">
        <v>340</v>
      </c>
      <c r="B71" s="5" t="s">
        <v>28</v>
      </c>
      <c r="C71" s="5" t="s">
        <v>28</v>
      </c>
      <c r="D71" s="5" t="s">
        <v>28</v>
      </c>
      <c r="E71" s="6" t="s">
        <v>356</v>
      </c>
      <c r="F71" s="5" t="s">
        <v>342</v>
      </c>
      <c r="G71" s="5" t="s">
        <v>357</v>
      </c>
      <c r="H71" s="5" t="s">
        <v>28</v>
      </c>
      <c r="I71" s="5" t="s">
        <v>69</v>
      </c>
      <c r="J71" s="5" t="s">
        <v>344</v>
      </c>
      <c r="K71" s="5" t="s">
        <v>110</v>
      </c>
      <c r="L71" s="5" t="s">
        <v>24</v>
      </c>
      <c r="M71" s="5" t="s">
        <v>54</v>
      </c>
      <c r="N71" s="5" t="s">
        <v>345</v>
      </c>
      <c r="O71" s="9" t="s">
        <v>35</v>
      </c>
      <c r="P71" s="5"/>
      <c r="Q71" s="8" t="s">
        <v>25</v>
      </c>
    </row>
    <row r="72" spans="1:17" ht="55.5" customHeight="1">
      <c r="A72" s="5" t="s">
        <v>340</v>
      </c>
      <c r="B72" s="5" t="s">
        <v>28</v>
      </c>
      <c r="C72" s="5" t="s">
        <v>28</v>
      </c>
      <c r="D72" s="5" t="s">
        <v>28</v>
      </c>
      <c r="E72" s="6" t="s">
        <v>359</v>
      </c>
      <c r="F72" s="5" t="s">
        <v>342</v>
      </c>
      <c r="G72" s="5" t="s">
        <v>360</v>
      </c>
      <c r="H72" s="5" t="s">
        <v>28</v>
      </c>
      <c r="I72" s="5" t="s">
        <v>69</v>
      </c>
      <c r="J72" s="5" t="s">
        <v>344</v>
      </c>
      <c r="K72" s="5" t="s">
        <v>110</v>
      </c>
      <c r="L72" s="5" t="s">
        <v>24</v>
      </c>
      <c r="M72" s="5" t="s">
        <v>54</v>
      </c>
      <c r="N72" s="5" t="s">
        <v>345</v>
      </c>
      <c r="O72" s="9" t="s">
        <v>35</v>
      </c>
      <c r="P72" s="5"/>
      <c r="Q72" s="8" t="s">
        <v>25</v>
      </c>
    </row>
    <row r="73" spans="1:17" ht="55.5" customHeight="1">
      <c r="A73" s="5" t="s">
        <v>340</v>
      </c>
      <c r="B73" s="5" t="s">
        <v>28</v>
      </c>
      <c r="C73" s="5" t="s">
        <v>28</v>
      </c>
      <c r="D73" s="5" t="s">
        <v>28</v>
      </c>
      <c r="E73" s="6" t="s">
        <v>362</v>
      </c>
      <c r="F73" s="5" t="s">
        <v>342</v>
      </c>
      <c r="G73" s="5" t="s">
        <v>363</v>
      </c>
      <c r="H73" s="5" t="s">
        <v>28</v>
      </c>
      <c r="I73" s="5" t="s">
        <v>69</v>
      </c>
      <c r="J73" s="5" t="s">
        <v>344</v>
      </c>
      <c r="K73" s="5" t="s">
        <v>110</v>
      </c>
      <c r="L73" s="5" t="s">
        <v>24</v>
      </c>
      <c r="M73" s="5" t="s">
        <v>54</v>
      </c>
      <c r="N73" s="5" t="s">
        <v>345</v>
      </c>
      <c r="O73" s="9" t="s">
        <v>35</v>
      </c>
      <c r="P73" s="5"/>
      <c r="Q73" s="8" t="s">
        <v>25</v>
      </c>
    </row>
    <row r="74" spans="1:17" ht="55.5" customHeight="1">
      <c r="A74" s="5" t="s">
        <v>340</v>
      </c>
      <c r="B74" s="5" t="s">
        <v>28</v>
      </c>
      <c r="C74" s="5" t="s">
        <v>28</v>
      </c>
      <c r="D74" s="5" t="s">
        <v>28</v>
      </c>
      <c r="E74" s="6" t="s">
        <v>365</v>
      </c>
      <c r="F74" s="5" t="s">
        <v>24</v>
      </c>
      <c r="G74" s="5" t="s">
        <v>366</v>
      </c>
      <c r="H74" s="5" t="s">
        <v>28</v>
      </c>
      <c r="I74" s="5" t="s">
        <v>69</v>
      </c>
      <c r="J74" s="5" t="s">
        <v>24</v>
      </c>
      <c r="K74" s="5" t="s">
        <v>63</v>
      </c>
      <c r="L74" s="5" t="s">
        <v>24</v>
      </c>
      <c r="M74" s="5" t="s">
        <v>54</v>
      </c>
      <c r="N74" s="5" t="s">
        <v>345</v>
      </c>
      <c r="O74" s="9" t="s">
        <v>35</v>
      </c>
      <c r="P74" s="5" t="s">
        <v>367</v>
      </c>
      <c r="Q74" s="8" t="s">
        <v>25</v>
      </c>
    </row>
    <row r="75" spans="1:17" ht="55.5" customHeight="1">
      <c r="A75" s="5" t="s">
        <v>28</v>
      </c>
      <c r="B75" s="5" t="s">
        <v>28</v>
      </c>
      <c r="C75" s="5" t="s">
        <v>28</v>
      </c>
      <c r="D75" s="5" t="s">
        <v>28</v>
      </c>
      <c r="E75" s="6" t="s">
        <v>370</v>
      </c>
      <c r="F75" s="5" t="s">
        <v>108</v>
      </c>
      <c r="G75" s="5" t="s">
        <v>371</v>
      </c>
      <c r="H75" s="5" t="s">
        <v>28</v>
      </c>
      <c r="I75" s="5" t="s">
        <v>69</v>
      </c>
      <c r="J75" s="5" t="s">
        <v>372</v>
      </c>
      <c r="K75" s="5" t="s">
        <v>110</v>
      </c>
      <c r="L75" s="5" t="s">
        <v>24</v>
      </c>
      <c r="M75" s="5" t="s">
        <v>54</v>
      </c>
      <c r="N75" s="5" t="s">
        <v>24</v>
      </c>
      <c r="O75" s="9" t="s">
        <v>35</v>
      </c>
      <c r="P75" s="5" t="s">
        <v>373</v>
      </c>
      <c r="Q75" s="8" t="s">
        <v>25</v>
      </c>
    </row>
    <row r="76" spans="1:17" ht="55.5" customHeight="1">
      <c r="A76" s="5" t="s">
        <v>28</v>
      </c>
      <c r="B76" s="5" t="s">
        <v>28</v>
      </c>
      <c r="C76" s="5" t="s">
        <v>28</v>
      </c>
      <c r="D76" s="5" t="s">
        <v>28</v>
      </c>
      <c r="E76" s="6" t="s">
        <v>375</v>
      </c>
      <c r="F76" s="5" t="s">
        <v>24</v>
      </c>
      <c r="G76" s="5" t="s">
        <v>376</v>
      </c>
      <c r="H76" s="5" t="s">
        <v>28</v>
      </c>
      <c r="I76" s="5" t="s">
        <v>69</v>
      </c>
      <c r="J76" s="5" t="s">
        <v>377</v>
      </c>
      <c r="K76" s="5" t="s">
        <v>110</v>
      </c>
      <c r="L76" s="5" t="s">
        <v>24</v>
      </c>
      <c r="M76" s="5" t="s">
        <v>54</v>
      </c>
      <c r="N76" s="5" t="s">
        <v>24</v>
      </c>
      <c r="O76" s="9" t="s">
        <v>35</v>
      </c>
      <c r="P76" s="5" t="s">
        <v>373</v>
      </c>
      <c r="Q76" s="8" t="s">
        <v>25</v>
      </c>
    </row>
    <row r="77" spans="1:17" ht="55.5" customHeight="1">
      <c r="A77" s="5" t="s">
        <v>28</v>
      </c>
      <c r="B77" s="5" t="s">
        <v>28</v>
      </c>
      <c r="C77" s="5" t="s">
        <v>28</v>
      </c>
      <c r="D77" s="5" t="s">
        <v>28</v>
      </c>
      <c r="E77" s="6" t="s">
        <v>379</v>
      </c>
      <c r="F77" s="5" t="s">
        <v>108</v>
      </c>
      <c r="G77" s="5" t="s">
        <v>380</v>
      </c>
      <c r="H77" s="5" t="s">
        <v>28</v>
      </c>
      <c r="I77" s="5" t="s">
        <v>69</v>
      </c>
      <c r="J77" s="5" t="s">
        <v>377</v>
      </c>
      <c r="K77" s="5" t="s">
        <v>34</v>
      </c>
      <c r="L77" s="5" t="s">
        <v>24</v>
      </c>
      <c r="M77" s="5" t="s">
        <v>54</v>
      </c>
      <c r="N77" s="5" t="s">
        <v>24</v>
      </c>
      <c r="O77" s="9" t="s">
        <v>35</v>
      </c>
      <c r="P77" s="5" t="s">
        <v>373</v>
      </c>
      <c r="Q77" s="8" t="s">
        <v>25</v>
      </c>
    </row>
    <row r="78" spans="1:17" ht="55.5" customHeight="1">
      <c r="A78" s="5" t="s">
        <v>28</v>
      </c>
      <c r="B78" s="5" t="s">
        <v>28</v>
      </c>
      <c r="C78" s="5" t="s">
        <v>28</v>
      </c>
      <c r="D78" s="5" t="s">
        <v>28</v>
      </c>
      <c r="E78" s="6" t="s">
        <v>382</v>
      </c>
      <c r="F78" s="5" t="s">
        <v>24</v>
      </c>
      <c r="G78" s="5" t="s">
        <v>24</v>
      </c>
      <c r="H78" s="5" t="s">
        <v>24</v>
      </c>
      <c r="I78" s="5" t="s">
        <v>69</v>
      </c>
      <c r="J78" s="5" t="s">
        <v>372</v>
      </c>
      <c r="K78" s="5" t="s">
        <v>110</v>
      </c>
      <c r="L78" s="5" t="s">
        <v>24</v>
      </c>
      <c r="M78" s="5" t="s">
        <v>54</v>
      </c>
      <c r="N78" s="5" t="s">
        <v>383</v>
      </c>
      <c r="O78" s="9" t="s">
        <v>35</v>
      </c>
      <c r="P78" s="5" t="s">
        <v>373</v>
      </c>
      <c r="Q78" s="8" t="s">
        <v>25</v>
      </c>
    </row>
    <row r="79" spans="1:17" ht="55.5" customHeight="1">
      <c r="A79" s="5" t="s">
        <v>28</v>
      </c>
      <c r="B79" s="5" t="s">
        <v>28</v>
      </c>
      <c r="C79" s="5" t="s">
        <v>28</v>
      </c>
      <c r="D79" s="5" t="s">
        <v>28</v>
      </c>
      <c r="E79" s="6" t="s">
        <v>385</v>
      </c>
      <c r="F79" s="5" t="s">
        <v>24</v>
      </c>
      <c r="G79" s="5" t="s">
        <v>24</v>
      </c>
      <c r="H79" s="5" t="s">
        <v>24</v>
      </c>
      <c r="I79" s="5" t="s">
        <v>69</v>
      </c>
      <c r="J79" s="5" t="s">
        <v>377</v>
      </c>
      <c r="K79" s="5" t="s">
        <v>110</v>
      </c>
      <c r="L79" s="5" t="s">
        <v>24</v>
      </c>
      <c r="M79" s="5" t="s">
        <v>54</v>
      </c>
      <c r="N79" s="5" t="s">
        <v>24</v>
      </c>
      <c r="O79" s="9" t="s">
        <v>35</v>
      </c>
      <c r="P79" s="5" t="s">
        <v>373</v>
      </c>
      <c r="Q79" s="8" t="s">
        <v>25</v>
      </c>
    </row>
    <row r="80" spans="1:17" ht="55.5" customHeight="1">
      <c r="A80" s="5" t="s">
        <v>28</v>
      </c>
      <c r="B80" s="5" t="s">
        <v>28</v>
      </c>
      <c r="C80" s="5" t="s">
        <v>28</v>
      </c>
      <c r="D80" s="5" t="s">
        <v>28</v>
      </c>
      <c r="E80" s="6" t="s">
        <v>387</v>
      </c>
      <c r="F80" s="5" t="s">
        <v>24</v>
      </c>
      <c r="G80" s="5" t="s">
        <v>24</v>
      </c>
      <c r="H80" s="5" t="s">
        <v>24</v>
      </c>
      <c r="I80" s="5" t="s">
        <v>69</v>
      </c>
      <c r="J80" s="5" t="s">
        <v>372</v>
      </c>
      <c r="K80" s="5" t="s">
        <v>34</v>
      </c>
      <c r="L80" s="5" t="s">
        <v>24</v>
      </c>
      <c r="M80" s="5" t="s">
        <v>54</v>
      </c>
      <c r="N80" s="5" t="s">
        <v>24</v>
      </c>
      <c r="O80" s="9" t="s">
        <v>35</v>
      </c>
      <c r="P80" s="5" t="s">
        <v>373</v>
      </c>
      <c r="Q80" s="8" t="s">
        <v>25</v>
      </c>
    </row>
    <row r="81" spans="1:17" ht="55.5" customHeight="1">
      <c r="A81" s="5" t="s">
        <v>28</v>
      </c>
      <c r="B81" s="5" t="s">
        <v>28</v>
      </c>
      <c r="C81" s="5" t="s">
        <v>28</v>
      </c>
      <c r="D81" s="5" t="s">
        <v>28</v>
      </c>
      <c r="E81" s="6" t="s">
        <v>389</v>
      </c>
      <c r="F81" s="5" t="s">
        <v>24</v>
      </c>
      <c r="G81" s="5" t="s">
        <v>24</v>
      </c>
      <c r="H81" s="5" t="s">
        <v>24</v>
      </c>
      <c r="I81" s="5" t="s">
        <v>69</v>
      </c>
      <c r="J81" s="5" t="s">
        <v>377</v>
      </c>
      <c r="K81" s="5" t="s">
        <v>34</v>
      </c>
      <c r="L81" s="5" t="s">
        <v>24</v>
      </c>
      <c r="M81" s="5" t="s">
        <v>54</v>
      </c>
      <c r="N81" s="5" t="s">
        <v>390</v>
      </c>
      <c r="O81" s="9" t="s">
        <v>35</v>
      </c>
      <c r="P81" s="5"/>
      <c r="Q81" s="8" t="s">
        <v>25</v>
      </c>
    </row>
    <row r="82" spans="1:17" ht="55.5" customHeight="1">
      <c r="A82" s="5" t="s">
        <v>28</v>
      </c>
      <c r="B82" s="5" t="s">
        <v>28</v>
      </c>
      <c r="C82" s="5" t="s">
        <v>28</v>
      </c>
      <c r="D82" s="5" t="s">
        <v>28</v>
      </c>
      <c r="E82" s="6" t="s">
        <v>392</v>
      </c>
      <c r="F82" s="5" t="s">
        <v>393</v>
      </c>
      <c r="G82" s="5" t="s">
        <v>24</v>
      </c>
      <c r="H82" s="5" t="s">
        <v>24</v>
      </c>
      <c r="I82" s="5" t="s">
        <v>69</v>
      </c>
      <c r="J82" s="5" t="s">
        <v>377</v>
      </c>
      <c r="K82" s="5" t="s">
        <v>34</v>
      </c>
      <c r="L82" s="5" t="s">
        <v>24</v>
      </c>
      <c r="M82" s="5" t="s">
        <v>63</v>
      </c>
      <c r="N82" s="5" t="s">
        <v>394</v>
      </c>
      <c r="O82" s="9" t="s">
        <v>35</v>
      </c>
      <c r="P82" s="5"/>
      <c r="Q82" s="8" t="s">
        <v>25</v>
      </c>
    </row>
    <row r="83" spans="1:17" ht="55.5" customHeight="1">
      <c r="A83" s="5" t="s">
        <v>28</v>
      </c>
      <c r="B83" s="5" t="s">
        <v>28</v>
      </c>
      <c r="C83" s="5" t="s">
        <v>28</v>
      </c>
      <c r="D83" s="5" t="s">
        <v>28</v>
      </c>
      <c r="E83" s="6" t="s">
        <v>397</v>
      </c>
      <c r="F83" s="5" t="s">
        <v>398</v>
      </c>
      <c r="G83" s="5" t="s">
        <v>399</v>
      </c>
      <c r="H83" s="5" t="s">
        <v>28</v>
      </c>
      <c r="I83" s="5" t="s">
        <v>24</v>
      </c>
      <c r="J83" s="5" t="s">
        <v>24</v>
      </c>
      <c r="K83" s="5" t="s">
        <v>24</v>
      </c>
      <c r="L83" s="5" t="s">
        <v>24</v>
      </c>
      <c r="M83" s="5" t="s">
        <v>24</v>
      </c>
      <c r="N83" s="5" t="s">
        <v>24</v>
      </c>
      <c r="O83" s="9" t="s">
        <v>35</v>
      </c>
      <c r="P83" s="5"/>
      <c r="Q83" s="8" t="s">
        <v>25</v>
      </c>
    </row>
    <row r="84" spans="1:17" ht="55.5" customHeight="1">
      <c r="A84" s="5" t="s">
        <v>28</v>
      </c>
      <c r="B84" s="5" t="s">
        <v>28</v>
      </c>
      <c r="C84" s="5" t="s">
        <v>28</v>
      </c>
      <c r="D84" s="5" t="s">
        <v>28</v>
      </c>
      <c r="E84" s="6" t="s">
        <v>402</v>
      </c>
      <c r="F84" s="5" t="s">
        <v>24</v>
      </c>
      <c r="G84" s="5" t="s">
        <v>403</v>
      </c>
      <c r="H84" s="5" t="s">
        <v>28</v>
      </c>
      <c r="I84" s="5" t="s">
        <v>24</v>
      </c>
      <c r="J84" s="5" t="s">
        <v>24</v>
      </c>
      <c r="K84" s="5" t="s">
        <v>24</v>
      </c>
      <c r="L84" s="5" t="s">
        <v>24</v>
      </c>
      <c r="M84" s="5" t="s">
        <v>54</v>
      </c>
      <c r="N84" s="5" t="s">
        <v>24</v>
      </c>
      <c r="O84" s="9" t="s">
        <v>35</v>
      </c>
      <c r="P84" s="5"/>
      <c r="Q84" s="8" t="s">
        <v>25</v>
      </c>
    </row>
    <row r="85" spans="1:17" ht="55.5" customHeight="1">
      <c r="A85" s="5" t="s">
        <v>28</v>
      </c>
      <c r="B85" s="5" t="s">
        <v>28</v>
      </c>
      <c r="C85" s="5" t="s">
        <v>28</v>
      </c>
      <c r="D85" s="5" t="s">
        <v>28</v>
      </c>
      <c r="E85" s="6" t="s">
        <v>406</v>
      </c>
      <c r="F85" s="5" t="s">
        <v>407</v>
      </c>
      <c r="G85" s="5" t="s">
        <v>408</v>
      </c>
      <c r="H85" s="5" t="s">
        <v>28</v>
      </c>
      <c r="I85" s="5" t="s">
        <v>24</v>
      </c>
      <c r="J85" s="5" t="s">
        <v>24</v>
      </c>
      <c r="K85" s="5" t="s">
        <v>24</v>
      </c>
      <c r="L85" s="5" t="s">
        <v>24</v>
      </c>
      <c r="M85" s="5" t="s">
        <v>24</v>
      </c>
      <c r="N85" s="5" t="s">
        <v>24</v>
      </c>
      <c r="O85" s="9" t="s">
        <v>35</v>
      </c>
      <c r="P85" s="5"/>
      <c r="Q85" s="8" t="s">
        <v>25</v>
      </c>
    </row>
    <row r="86" spans="1:17" ht="55.5" customHeight="1">
      <c r="A86" s="5" t="s">
        <v>28</v>
      </c>
      <c r="B86" s="5" t="s">
        <v>28</v>
      </c>
      <c r="C86" s="5" t="s">
        <v>28</v>
      </c>
      <c r="D86" s="5" t="s">
        <v>28</v>
      </c>
      <c r="E86" s="6" t="s">
        <v>411</v>
      </c>
      <c r="F86" s="5" t="s">
        <v>412</v>
      </c>
      <c r="G86" s="5" t="s">
        <v>413</v>
      </c>
      <c r="H86" s="5" t="s">
        <v>28</v>
      </c>
      <c r="I86" s="5" t="s">
        <v>24</v>
      </c>
      <c r="J86" s="5" t="s">
        <v>24</v>
      </c>
      <c r="K86" s="5" t="s">
        <v>24</v>
      </c>
      <c r="L86" s="5" t="s">
        <v>24</v>
      </c>
      <c r="M86" s="5" t="s">
        <v>24</v>
      </c>
      <c r="N86" s="5" t="s">
        <v>24</v>
      </c>
      <c r="O86" s="9" t="s">
        <v>35</v>
      </c>
      <c r="P86" s="5" t="s">
        <v>287</v>
      </c>
      <c r="Q86" s="8" t="s">
        <v>25</v>
      </c>
    </row>
    <row r="87" spans="1:17" ht="55.5" customHeight="1">
      <c r="A87" s="5" t="s">
        <v>28</v>
      </c>
      <c r="B87" s="5" t="s">
        <v>28</v>
      </c>
      <c r="C87" s="5" t="s">
        <v>28</v>
      </c>
      <c r="D87" s="5" t="s">
        <v>28</v>
      </c>
      <c r="E87" s="6" t="s">
        <v>415</v>
      </c>
      <c r="F87" s="5" t="s">
        <v>412</v>
      </c>
      <c r="G87" s="5" t="s">
        <v>416</v>
      </c>
      <c r="H87" s="5" t="s">
        <v>28</v>
      </c>
      <c r="I87" s="5" t="s">
        <v>24</v>
      </c>
      <c r="J87" s="5" t="s">
        <v>24</v>
      </c>
      <c r="K87" s="5" t="s">
        <v>24</v>
      </c>
      <c r="L87" s="5" t="s">
        <v>24</v>
      </c>
      <c r="M87" s="5" t="s">
        <v>24</v>
      </c>
      <c r="N87" s="5" t="s">
        <v>24</v>
      </c>
      <c r="O87" s="9" t="s">
        <v>35</v>
      </c>
      <c r="P87" s="5" t="s">
        <v>287</v>
      </c>
      <c r="Q87" s="8" t="s">
        <v>25</v>
      </c>
    </row>
    <row r="88" spans="1:17" ht="55.5" customHeight="1">
      <c r="A88" s="5" t="s">
        <v>28</v>
      </c>
      <c r="B88" s="5" t="s">
        <v>28</v>
      </c>
      <c r="C88" s="5" t="s">
        <v>28</v>
      </c>
      <c r="D88" s="5" t="s">
        <v>28</v>
      </c>
      <c r="E88" s="6" t="s">
        <v>418</v>
      </c>
      <c r="F88" s="5" t="s">
        <v>90</v>
      </c>
      <c r="G88" s="5" t="s">
        <v>419</v>
      </c>
      <c r="H88" s="5" t="s">
        <v>28</v>
      </c>
      <c r="I88" s="5" t="s">
        <v>69</v>
      </c>
      <c r="J88" s="5" t="s">
        <v>420</v>
      </c>
      <c r="K88" s="5" t="s">
        <v>92</v>
      </c>
      <c r="L88" s="5" t="s">
        <v>24</v>
      </c>
      <c r="M88" s="5" t="s">
        <v>54</v>
      </c>
      <c r="N88" s="5" t="s">
        <v>421</v>
      </c>
      <c r="O88" s="9" t="s">
        <v>35</v>
      </c>
      <c r="P88" s="5"/>
      <c r="Q88" s="8" t="s">
        <v>25</v>
      </c>
    </row>
    <row r="89" spans="1:17" ht="55.5" customHeight="1">
      <c r="A89" s="5" t="s">
        <v>28</v>
      </c>
      <c r="B89" s="5" t="s">
        <v>28</v>
      </c>
      <c r="C89" s="5" t="s">
        <v>28</v>
      </c>
      <c r="D89" s="5" t="s">
        <v>28</v>
      </c>
      <c r="E89" s="6" t="s">
        <v>423</v>
      </c>
      <c r="F89" s="5" t="s">
        <v>24</v>
      </c>
      <c r="G89" s="5" t="s">
        <v>424</v>
      </c>
      <c r="H89" s="5" t="s">
        <v>28</v>
      </c>
      <c r="I89" s="5" t="s">
        <v>69</v>
      </c>
      <c r="J89" s="5" t="s">
        <v>344</v>
      </c>
      <c r="K89" s="5" t="s">
        <v>425</v>
      </c>
      <c r="L89" s="5" t="s">
        <v>24</v>
      </c>
      <c r="M89" s="5" t="s">
        <v>54</v>
      </c>
      <c r="N89" s="5" t="s">
        <v>421</v>
      </c>
      <c r="O89" s="9" t="s">
        <v>35</v>
      </c>
      <c r="P89" s="5" t="s">
        <v>79</v>
      </c>
      <c r="Q89" s="8" t="s">
        <v>25</v>
      </c>
    </row>
    <row r="90" spans="1:17" ht="55.5" customHeight="1">
      <c r="A90" s="5" t="s">
        <v>28</v>
      </c>
      <c r="B90" s="5" t="s">
        <v>28</v>
      </c>
      <c r="C90" s="5" t="s">
        <v>28</v>
      </c>
      <c r="D90" s="5" t="s">
        <v>28</v>
      </c>
      <c r="E90" s="6" t="s">
        <v>427</v>
      </c>
      <c r="F90" s="5" t="s">
        <v>428</v>
      </c>
      <c r="G90" s="5" t="s">
        <v>429</v>
      </c>
      <c r="H90" s="5" t="s">
        <v>28</v>
      </c>
      <c r="I90" s="5" t="s">
        <v>24</v>
      </c>
      <c r="J90" s="5" t="s">
        <v>24</v>
      </c>
      <c r="K90" s="5" t="s">
        <v>24</v>
      </c>
      <c r="L90" s="5" t="s">
        <v>24</v>
      </c>
      <c r="M90" s="5" t="s">
        <v>24</v>
      </c>
      <c r="N90" s="5" t="s">
        <v>24</v>
      </c>
      <c r="O90" s="9" t="s">
        <v>35</v>
      </c>
      <c r="P90" s="5" t="s">
        <v>287</v>
      </c>
      <c r="Q90" s="8" t="s">
        <v>25</v>
      </c>
    </row>
    <row r="91" spans="1:17" ht="55.5" customHeight="1">
      <c r="A91" s="5" t="s">
        <v>28</v>
      </c>
      <c r="B91" s="5" t="s">
        <v>28</v>
      </c>
      <c r="C91" s="5" t="s">
        <v>28</v>
      </c>
      <c r="D91" s="5" t="s">
        <v>28</v>
      </c>
      <c r="E91" s="6" t="s">
        <v>431</v>
      </c>
      <c r="F91" s="5" t="s">
        <v>24</v>
      </c>
      <c r="G91" s="5" t="s">
        <v>432</v>
      </c>
      <c r="H91" s="5" t="s">
        <v>28</v>
      </c>
      <c r="I91" s="5" t="s">
        <v>33</v>
      </c>
      <c r="J91" s="5" t="s">
        <v>433</v>
      </c>
      <c r="K91" s="5" t="s">
        <v>92</v>
      </c>
      <c r="L91" s="5" t="s">
        <v>24</v>
      </c>
      <c r="M91" s="5" t="s">
        <v>25</v>
      </c>
      <c r="N91" s="5" t="s">
        <v>434</v>
      </c>
      <c r="O91" s="9" t="s">
        <v>35</v>
      </c>
      <c r="P91" s="5"/>
      <c r="Q91" s="8" t="s">
        <v>25</v>
      </c>
    </row>
    <row r="92" spans="1:17" ht="55.5" customHeight="1">
      <c r="A92" s="5" t="s">
        <v>28</v>
      </c>
      <c r="B92" s="5" t="s">
        <v>28</v>
      </c>
      <c r="C92" s="5" t="s">
        <v>28</v>
      </c>
      <c r="D92" s="5" t="s">
        <v>28</v>
      </c>
      <c r="E92" s="6" t="s">
        <v>436</v>
      </c>
      <c r="F92" s="5" t="s">
        <v>24</v>
      </c>
      <c r="G92" s="5" t="s">
        <v>437</v>
      </c>
      <c r="H92" s="5" t="s">
        <v>28</v>
      </c>
      <c r="I92" s="5" t="s">
        <v>24</v>
      </c>
      <c r="J92" s="5" t="s">
        <v>24</v>
      </c>
      <c r="K92" s="5" t="s">
        <v>24</v>
      </c>
      <c r="L92" s="5" t="s">
        <v>24</v>
      </c>
      <c r="M92" s="5" t="s">
        <v>24</v>
      </c>
      <c r="N92" s="5" t="s">
        <v>24</v>
      </c>
      <c r="O92" s="9" t="s">
        <v>65</v>
      </c>
      <c r="P92" s="5"/>
      <c r="Q92" s="8" t="s">
        <v>54</v>
      </c>
    </row>
    <row r="93" spans="1:17" ht="55.5" customHeight="1">
      <c r="A93" s="5" t="s">
        <v>28</v>
      </c>
      <c r="B93" s="5" t="s">
        <v>28</v>
      </c>
      <c r="C93" s="5" t="s">
        <v>28</v>
      </c>
      <c r="D93" s="5" t="s">
        <v>28</v>
      </c>
      <c r="E93" s="6" t="s">
        <v>439</v>
      </c>
      <c r="F93" s="5" t="s">
        <v>24</v>
      </c>
      <c r="G93" s="5" t="s">
        <v>440</v>
      </c>
      <c r="H93" s="5" t="s">
        <v>28</v>
      </c>
      <c r="I93" s="5" t="s">
        <v>24</v>
      </c>
      <c r="J93" s="5" t="s">
        <v>24</v>
      </c>
      <c r="K93" s="5" t="s">
        <v>24</v>
      </c>
      <c r="L93" s="5" t="s">
        <v>24</v>
      </c>
      <c r="M93" s="5" t="s">
        <v>24</v>
      </c>
      <c r="N93" s="5" t="s">
        <v>24</v>
      </c>
      <c r="O93" s="9" t="s">
        <v>65</v>
      </c>
      <c r="P93" s="5"/>
      <c r="Q93" s="8" t="s">
        <v>54</v>
      </c>
    </row>
    <row r="94" spans="1:17" ht="55.5" customHeight="1">
      <c r="A94" s="5" t="s">
        <v>28</v>
      </c>
      <c r="B94" s="5" t="s">
        <v>28</v>
      </c>
      <c r="C94" s="5" t="s">
        <v>28</v>
      </c>
      <c r="D94" s="5" t="s">
        <v>28</v>
      </c>
      <c r="E94" s="6" t="s">
        <v>442</v>
      </c>
      <c r="F94" s="5" t="s">
        <v>165</v>
      </c>
      <c r="G94" s="5" t="s">
        <v>443</v>
      </c>
      <c r="H94" s="5" t="s">
        <v>28</v>
      </c>
      <c r="I94" s="5" t="s">
        <v>444</v>
      </c>
      <c r="J94" s="5" t="s">
        <v>28</v>
      </c>
      <c r="K94" s="5" t="s">
        <v>28</v>
      </c>
      <c r="L94" s="5" t="s">
        <v>24</v>
      </c>
      <c r="M94" s="5" t="s">
        <v>54</v>
      </c>
      <c r="N94" s="5" t="s">
        <v>445</v>
      </c>
      <c r="O94" s="9" t="s">
        <v>35</v>
      </c>
      <c r="P94" s="5"/>
      <c r="Q94" s="8" t="s">
        <v>25</v>
      </c>
    </row>
    <row r="95" spans="1:17" ht="55.5" customHeight="1">
      <c r="A95" s="5" t="s">
        <v>28</v>
      </c>
      <c r="B95" s="5" t="s">
        <v>28</v>
      </c>
      <c r="C95" s="5" t="s">
        <v>28</v>
      </c>
      <c r="D95" s="5" t="s">
        <v>28</v>
      </c>
      <c r="E95" s="6" t="s">
        <v>447</v>
      </c>
      <c r="F95" s="5" t="s">
        <v>24</v>
      </c>
      <c r="G95" s="5" t="s">
        <v>448</v>
      </c>
      <c r="H95" s="5" t="s">
        <v>28</v>
      </c>
      <c r="I95" s="5" t="s">
        <v>444</v>
      </c>
      <c r="J95" s="5" t="s">
        <v>28</v>
      </c>
      <c r="K95" s="5" t="s">
        <v>28</v>
      </c>
      <c r="L95" s="5" t="s">
        <v>24</v>
      </c>
      <c r="M95" s="5" t="s">
        <v>54</v>
      </c>
      <c r="N95" s="5" t="s">
        <v>445</v>
      </c>
      <c r="O95" s="9" t="s">
        <v>35</v>
      </c>
      <c r="P95" s="5"/>
      <c r="Q95" s="8" t="s">
        <v>25</v>
      </c>
    </row>
    <row r="96" spans="1:17" ht="55.5" customHeight="1">
      <c r="A96" s="5" t="s">
        <v>28</v>
      </c>
      <c r="B96" s="5" t="s">
        <v>28</v>
      </c>
      <c r="C96" s="5" t="s">
        <v>28</v>
      </c>
      <c r="D96" s="5" t="s">
        <v>28</v>
      </c>
      <c r="E96" s="6" t="s">
        <v>450</v>
      </c>
      <c r="F96" s="5" t="s">
        <v>24</v>
      </c>
      <c r="G96" s="5" t="s">
        <v>451</v>
      </c>
      <c r="H96" s="5" t="s">
        <v>28</v>
      </c>
      <c r="I96" s="5" t="s">
        <v>452</v>
      </c>
      <c r="J96" s="5" t="s">
        <v>433</v>
      </c>
      <c r="K96" s="5" t="s">
        <v>92</v>
      </c>
      <c r="L96" s="5" t="s">
        <v>24</v>
      </c>
      <c r="M96" s="5" t="s">
        <v>25</v>
      </c>
      <c r="N96" s="5" t="s">
        <v>453</v>
      </c>
      <c r="O96" s="9" t="s">
        <v>35</v>
      </c>
      <c r="P96" s="5"/>
      <c r="Q96" s="8" t="s">
        <v>25</v>
      </c>
    </row>
    <row r="97" spans="1:17" ht="55.5" customHeight="1">
      <c r="A97" s="5" t="s">
        <v>28</v>
      </c>
      <c r="B97" s="5" t="s">
        <v>28</v>
      </c>
      <c r="C97" s="5" t="s">
        <v>28</v>
      </c>
      <c r="D97" s="5" t="s">
        <v>28</v>
      </c>
      <c r="E97" s="6" t="s">
        <v>455</v>
      </c>
      <c r="F97" s="5" t="s">
        <v>24</v>
      </c>
      <c r="G97" s="5" t="s">
        <v>456</v>
      </c>
      <c r="H97" s="5" t="s">
        <v>28</v>
      </c>
      <c r="I97" s="5" t="s">
        <v>33</v>
      </c>
      <c r="J97" s="5" t="s">
        <v>420</v>
      </c>
      <c r="K97" s="5" t="s">
        <v>92</v>
      </c>
      <c r="L97" s="5" t="s">
        <v>24</v>
      </c>
      <c r="M97" s="5" t="s">
        <v>63</v>
      </c>
      <c r="N97" s="5" t="s">
        <v>434</v>
      </c>
      <c r="O97" s="9" t="s">
        <v>35</v>
      </c>
      <c r="P97" s="5" t="s">
        <v>287</v>
      </c>
      <c r="Q97" s="8" t="s">
        <v>25</v>
      </c>
    </row>
    <row r="98" spans="1:17" ht="55.5" customHeight="1">
      <c r="A98" s="5" t="s">
        <v>28</v>
      </c>
      <c r="B98" s="5" t="s">
        <v>28</v>
      </c>
      <c r="C98" s="5" t="s">
        <v>28</v>
      </c>
      <c r="D98" s="5" t="s">
        <v>28</v>
      </c>
      <c r="E98" s="6" t="s">
        <v>457</v>
      </c>
      <c r="F98" s="5" t="s">
        <v>24</v>
      </c>
      <c r="G98" s="5" t="s">
        <v>458</v>
      </c>
      <c r="H98" s="5" t="s">
        <v>28</v>
      </c>
      <c r="I98" s="5" t="s">
        <v>33</v>
      </c>
      <c r="J98" s="5" t="s">
        <v>433</v>
      </c>
      <c r="K98" s="5" t="s">
        <v>92</v>
      </c>
      <c r="L98" s="5" t="s">
        <v>24</v>
      </c>
      <c r="M98" s="5" t="s">
        <v>63</v>
      </c>
      <c r="N98" s="5" t="s">
        <v>434</v>
      </c>
      <c r="O98" s="9" t="s">
        <v>35</v>
      </c>
      <c r="P98" s="5" t="s">
        <v>287</v>
      </c>
      <c r="Q98" s="8" t="s">
        <v>25</v>
      </c>
    </row>
    <row r="99" spans="1:17" ht="55.5" customHeight="1">
      <c r="A99" s="5" t="s">
        <v>28</v>
      </c>
      <c r="B99" s="5" t="s">
        <v>28</v>
      </c>
      <c r="C99" s="5" t="s">
        <v>28</v>
      </c>
      <c r="D99" s="5" t="s">
        <v>28</v>
      </c>
      <c r="E99" s="6" t="s">
        <v>461</v>
      </c>
      <c r="F99" s="5" t="s">
        <v>24</v>
      </c>
      <c r="G99" s="5" t="s">
        <v>462</v>
      </c>
      <c r="H99" s="5" t="s">
        <v>28</v>
      </c>
      <c r="I99" s="5" t="s">
        <v>24</v>
      </c>
      <c r="J99" s="5" t="s">
        <v>24</v>
      </c>
      <c r="K99" s="5" t="s">
        <v>24</v>
      </c>
      <c r="L99" s="5" t="s">
        <v>24</v>
      </c>
      <c r="M99" s="5" t="s">
        <v>54</v>
      </c>
      <c r="N99" s="5" t="s">
        <v>24</v>
      </c>
      <c r="O99" s="9" t="s">
        <v>65</v>
      </c>
      <c r="P99" s="5" t="s">
        <v>463</v>
      </c>
      <c r="Q99" s="8" t="s">
        <v>54</v>
      </c>
    </row>
    <row r="100" spans="1:17" ht="55.5" customHeight="1">
      <c r="A100" s="5" t="s">
        <v>28</v>
      </c>
      <c r="B100" s="5" t="s">
        <v>28</v>
      </c>
      <c r="C100" s="5" t="s">
        <v>28</v>
      </c>
      <c r="D100" s="5" t="s">
        <v>28</v>
      </c>
      <c r="E100" s="6" t="s">
        <v>465</v>
      </c>
      <c r="F100" s="5" t="s">
        <v>24</v>
      </c>
      <c r="G100" s="5" t="s">
        <v>466</v>
      </c>
      <c r="H100" s="5" t="s">
        <v>28</v>
      </c>
      <c r="I100" s="5" t="s">
        <v>24</v>
      </c>
      <c r="J100" s="5" t="s">
        <v>24</v>
      </c>
      <c r="K100" s="5" t="s">
        <v>24</v>
      </c>
      <c r="L100" s="5" t="s">
        <v>24</v>
      </c>
      <c r="M100" s="5" t="s">
        <v>54</v>
      </c>
      <c r="N100" s="5" t="s">
        <v>24</v>
      </c>
      <c r="O100" s="9" t="s">
        <v>65</v>
      </c>
      <c r="P100" s="5" t="s">
        <v>463</v>
      </c>
      <c r="Q100" s="8" t="s">
        <v>54</v>
      </c>
    </row>
    <row r="101" spans="1:17" ht="55.5" customHeight="1">
      <c r="A101" s="5" t="s">
        <v>28</v>
      </c>
      <c r="B101" s="5" t="s">
        <v>28</v>
      </c>
      <c r="C101" s="5" t="s">
        <v>28</v>
      </c>
      <c r="D101" s="5" t="s">
        <v>28</v>
      </c>
      <c r="E101" s="6" t="s">
        <v>468</v>
      </c>
      <c r="F101" s="5" t="s">
        <v>24</v>
      </c>
      <c r="G101" s="5" t="s">
        <v>469</v>
      </c>
      <c r="H101" s="5" t="s">
        <v>28</v>
      </c>
      <c r="I101" s="5" t="s">
        <v>24</v>
      </c>
      <c r="J101" s="5" t="s">
        <v>24</v>
      </c>
      <c r="K101" s="5" t="s">
        <v>24</v>
      </c>
      <c r="L101" s="5" t="s">
        <v>24</v>
      </c>
      <c r="M101" s="5" t="s">
        <v>54</v>
      </c>
      <c r="N101" s="5" t="s">
        <v>24</v>
      </c>
      <c r="O101" s="9" t="s">
        <v>65</v>
      </c>
      <c r="P101" s="5"/>
      <c r="Q101" s="8" t="s">
        <v>54</v>
      </c>
    </row>
    <row r="102" spans="1:17" ht="55.5" customHeight="1">
      <c r="A102" s="5" t="s">
        <v>28</v>
      </c>
      <c r="B102" s="5" t="s">
        <v>28</v>
      </c>
      <c r="C102" s="5" t="s">
        <v>28</v>
      </c>
      <c r="D102" s="5" t="s">
        <v>28</v>
      </c>
      <c r="E102" s="6" t="s">
        <v>472</v>
      </c>
      <c r="F102" s="5" t="s">
        <v>24</v>
      </c>
      <c r="G102" s="5" t="s">
        <v>473</v>
      </c>
      <c r="H102" s="5" t="s">
        <v>28</v>
      </c>
      <c r="I102" s="5" t="s">
        <v>444</v>
      </c>
      <c r="J102" s="5" t="s">
        <v>28</v>
      </c>
      <c r="K102" s="5" t="s">
        <v>28</v>
      </c>
      <c r="L102" s="5" t="s">
        <v>24</v>
      </c>
      <c r="M102" s="5" t="s">
        <v>54</v>
      </c>
      <c r="N102" s="5" t="s">
        <v>445</v>
      </c>
      <c r="O102" s="9" t="s">
        <v>35</v>
      </c>
      <c r="P102" s="5" t="s">
        <v>261</v>
      </c>
      <c r="Q102" s="8" t="s">
        <v>25</v>
      </c>
    </row>
    <row r="103" spans="1:17" ht="55.5" customHeight="1">
      <c r="A103" s="5" t="s">
        <v>28</v>
      </c>
      <c r="B103" s="5" t="s">
        <v>28</v>
      </c>
      <c r="C103" s="5" t="s">
        <v>28</v>
      </c>
      <c r="D103" s="5" t="s">
        <v>28</v>
      </c>
      <c r="E103" s="6" t="s">
        <v>476</v>
      </c>
      <c r="F103" s="5" t="s">
        <v>24</v>
      </c>
      <c r="G103" s="5" t="s">
        <v>477</v>
      </c>
      <c r="H103" s="5" t="s">
        <v>28</v>
      </c>
      <c r="I103" s="5" t="s">
        <v>24</v>
      </c>
      <c r="J103" s="5" t="s">
        <v>24</v>
      </c>
      <c r="K103" s="5" t="s">
        <v>24</v>
      </c>
      <c r="L103" s="5" t="s">
        <v>24</v>
      </c>
      <c r="M103" s="5" t="s">
        <v>24</v>
      </c>
      <c r="N103" s="5" t="s">
        <v>24</v>
      </c>
      <c r="O103" s="9" t="s">
        <v>65</v>
      </c>
      <c r="P103" s="5"/>
      <c r="Q103" s="8" t="s">
        <v>54</v>
      </c>
    </row>
    <row r="104" spans="1:17" ht="55.5" customHeight="1">
      <c r="A104" s="5" t="s">
        <v>28</v>
      </c>
      <c r="B104" s="5" t="s">
        <v>28</v>
      </c>
      <c r="C104" s="5" t="s">
        <v>28</v>
      </c>
      <c r="D104" s="5" t="s">
        <v>28</v>
      </c>
      <c r="E104" s="6" t="s">
        <v>480</v>
      </c>
      <c r="F104" s="5" t="s">
        <v>24</v>
      </c>
      <c r="G104" s="5" t="s">
        <v>481</v>
      </c>
      <c r="H104" s="5" t="s">
        <v>28</v>
      </c>
      <c r="I104" s="5" t="s">
        <v>444</v>
      </c>
      <c r="J104" s="5" t="s">
        <v>28</v>
      </c>
      <c r="K104" s="5" t="s">
        <v>28</v>
      </c>
      <c r="L104" s="5" t="s">
        <v>24</v>
      </c>
      <c r="M104" s="5" t="s">
        <v>54</v>
      </c>
      <c r="N104" s="5" t="s">
        <v>445</v>
      </c>
      <c r="O104" s="9" t="s">
        <v>35</v>
      </c>
      <c r="P104" s="5"/>
      <c r="Q104" s="8" t="s">
        <v>25</v>
      </c>
    </row>
    <row r="105" spans="1:17" ht="55.5" customHeight="1">
      <c r="A105" s="5" t="s">
        <v>28</v>
      </c>
      <c r="B105" s="5" t="s">
        <v>28</v>
      </c>
      <c r="C105" s="5" t="s">
        <v>28</v>
      </c>
      <c r="D105" s="5" t="s">
        <v>28</v>
      </c>
      <c r="E105" s="6" t="s">
        <v>483</v>
      </c>
      <c r="F105" s="5" t="s">
        <v>24</v>
      </c>
      <c r="G105" s="5" t="s">
        <v>484</v>
      </c>
      <c r="H105" s="5" t="s">
        <v>28</v>
      </c>
      <c r="I105" s="5" t="s">
        <v>24</v>
      </c>
      <c r="J105" s="5" t="s">
        <v>24</v>
      </c>
      <c r="K105" s="5" t="s">
        <v>24</v>
      </c>
      <c r="L105" s="5" t="s">
        <v>24</v>
      </c>
      <c r="M105" s="5" t="s">
        <v>54</v>
      </c>
      <c r="N105" s="5" t="s">
        <v>24</v>
      </c>
      <c r="O105" s="9" t="s">
        <v>35</v>
      </c>
      <c r="P105" s="5" t="s">
        <v>287</v>
      </c>
      <c r="Q105" s="8" t="s">
        <v>25</v>
      </c>
    </row>
    <row r="106" spans="1:17" ht="55.5" customHeight="1">
      <c r="A106" s="5" t="s">
        <v>28</v>
      </c>
      <c r="B106" s="5" t="s">
        <v>28</v>
      </c>
      <c r="C106" s="5" t="s">
        <v>28</v>
      </c>
      <c r="D106" s="5" t="s">
        <v>28</v>
      </c>
      <c r="E106" s="6" t="s">
        <v>486</v>
      </c>
      <c r="F106" s="5" t="s">
        <v>24</v>
      </c>
      <c r="G106" s="5" t="s">
        <v>487</v>
      </c>
      <c r="H106" s="5" t="s">
        <v>28</v>
      </c>
      <c r="I106" s="5" t="s">
        <v>24</v>
      </c>
      <c r="J106" s="5" t="s">
        <v>24</v>
      </c>
      <c r="K106" s="5" t="s">
        <v>24</v>
      </c>
      <c r="L106" s="5" t="s">
        <v>24</v>
      </c>
      <c r="M106" s="5" t="s">
        <v>54</v>
      </c>
      <c r="N106" s="5" t="s">
        <v>24</v>
      </c>
      <c r="O106" s="9" t="s">
        <v>35</v>
      </c>
      <c r="P106" s="5" t="s">
        <v>287</v>
      </c>
      <c r="Q106" s="8" t="s">
        <v>25</v>
      </c>
    </row>
  </sheetData>
  <conditionalFormatting sqref="O1:O106">
    <cfRule type="cellIs" dxfId="77" priority="1" operator="equal">
      <formula>"?"</formula>
    </cfRule>
    <cfRule type="cellIs" dxfId="76" priority="2" operator="equal">
      <formula>"No"</formula>
    </cfRule>
    <cfRule type="cellIs" dxfId="75" priority="3" operator="equal">
      <formula>"Yes"</formula>
    </cfRule>
    <cfRule type="colorScale" priority="4">
      <colorScale>
        <cfvo type="min"/>
        <cfvo type="percentile" val="50"/>
        <cfvo type="max"/>
        <color rgb="FF63BE7B"/>
        <color rgb="FFFFEB84"/>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4E416-6ED5-8C4E-9455-6E1B7657ED26}">
  <dimension ref="A1:Z103"/>
  <sheetViews>
    <sheetView topLeftCell="N93" workbookViewId="0">
      <selection activeCell="W104" sqref="W104"/>
    </sheetView>
  </sheetViews>
  <sheetFormatPr defaultColWidth="11" defaultRowHeight="18.95"/>
  <cols>
    <col min="4" max="4" width="14.625" customWidth="1"/>
    <col min="9" max="9" width="14.875" customWidth="1"/>
    <col min="10" max="10" width="16.875" customWidth="1"/>
    <col min="11" max="11" width="42.125" customWidth="1"/>
    <col min="18" max="18" width="19.125" customWidth="1"/>
    <col min="19" max="19" width="9.375" style="13" customWidth="1"/>
    <col min="21" max="23" width="18.875" customWidth="1"/>
    <col min="25" max="25" width="18.875" customWidth="1"/>
  </cols>
  <sheetData>
    <row r="1" spans="1:26" ht="44.1">
      <c r="A1" s="3" t="s">
        <v>0</v>
      </c>
      <c r="B1" s="3" t="s">
        <v>1</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c r="R1" s="3" t="s">
        <v>18</v>
      </c>
      <c r="S1" s="12" t="s">
        <v>17</v>
      </c>
      <c r="T1" s="4" t="s">
        <v>488</v>
      </c>
      <c r="U1" s="11" t="s">
        <v>489</v>
      </c>
      <c r="V1" s="11" t="s">
        <v>490</v>
      </c>
      <c r="W1" s="11" t="s">
        <v>491</v>
      </c>
      <c r="X1" s="11" t="s">
        <v>492</v>
      </c>
      <c r="Y1" s="11" t="s">
        <v>493</v>
      </c>
      <c r="Z1" s="11" t="s">
        <v>494</v>
      </c>
    </row>
    <row r="2" spans="1:26" s="17" customFormat="1" ht="170.25">
      <c r="A2" s="14" t="s">
        <v>22</v>
      </c>
      <c r="B2" s="14" t="s">
        <v>23</v>
      </c>
      <c r="C2" s="14" t="s">
        <v>25</v>
      </c>
      <c r="D2" s="14" t="s">
        <v>26</v>
      </c>
      <c r="E2" s="14" t="s">
        <v>27</v>
      </c>
      <c r="F2" s="14" t="s">
        <v>28</v>
      </c>
      <c r="G2" s="14" t="s">
        <v>28</v>
      </c>
      <c r="H2" s="14" t="s">
        <v>28</v>
      </c>
      <c r="I2" s="15" t="s">
        <v>29</v>
      </c>
      <c r="J2" s="14" t="s">
        <v>30</v>
      </c>
      <c r="K2" s="14" t="s">
        <v>31</v>
      </c>
      <c r="L2" s="14" t="s">
        <v>32</v>
      </c>
      <c r="M2" s="14" t="s">
        <v>33</v>
      </c>
      <c r="N2" s="14" t="s">
        <v>24</v>
      </c>
      <c r="O2" s="14" t="s">
        <v>495</v>
      </c>
      <c r="P2" s="14" t="s">
        <v>33</v>
      </c>
      <c r="Q2" s="14" t="s">
        <v>25</v>
      </c>
      <c r="R2" s="14" t="s">
        <v>24</v>
      </c>
      <c r="S2" s="15" t="s">
        <v>35</v>
      </c>
      <c r="T2" s="14" t="s">
        <v>36</v>
      </c>
      <c r="U2" s="16" t="s">
        <v>496</v>
      </c>
      <c r="V2" s="16"/>
      <c r="W2" s="16"/>
      <c r="Y2" s="16"/>
    </row>
    <row r="3" spans="1:26" ht="151.5">
      <c r="A3" s="5" t="s">
        <v>37</v>
      </c>
      <c r="B3" s="5" t="s">
        <v>23</v>
      </c>
      <c r="C3" s="5" t="s">
        <v>25</v>
      </c>
      <c r="D3" s="5" t="s">
        <v>26</v>
      </c>
      <c r="E3" s="5" t="s">
        <v>38</v>
      </c>
      <c r="F3" s="5" t="s">
        <v>39</v>
      </c>
      <c r="G3" s="5" t="s">
        <v>40</v>
      </c>
      <c r="H3" s="5" t="s">
        <v>28</v>
      </c>
      <c r="I3" s="6" t="s">
        <v>41</v>
      </c>
      <c r="J3" s="5" t="s">
        <v>42</v>
      </c>
      <c r="K3" s="5" t="s">
        <v>43</v>
      </c>
      <c r="L3" s="5" t="s">
        <v>44</v>
      </c>
      <c r="M3" s="5" t="s">
        <v>33</v>
      </c>
      <c r="N3" s="10" t="s">
        <v>24</v>
      </c>
      <c r="O3" s="5" t="s">
        <v>495</v>
      </c>
      <c r="P3" s="5" t="s">
        <v>24</v>
      </c>
      <c r="Q3" s="5" t="s">
        <v>25</v>
      </c>
      <c r="R3" s="5" t="s">
        <v>45</v>
      </c>
      <c r="S3" s="6" t="s">
        <v>35</v>
      </c>
      <c r="T3" s="5" t="s">
        <v>46</v>
      </c>
      <c r="U3" s="9" t="s">
        <v>65</v>
      </c>
      <c r="V3" s="9" t="s">
        <v>497</v>
      </c>
      <c r="W3" s="9"/>
      <c r="Y3" s="9"/>
    </row>
    <row r="4" spans="1:26" ht="151.5">
      <c r="A4" s="5" t="s">
        <v>47</v>
      </c>
      <c r="B4" s="5" t="s">
        <v>23</v>
      </c>
      <c r="C4" s="5" t="s">
        <v>25</v>
      </c>
      <c r="D4" s="5" t="s">
        <v>26</v>
      </c>
      <c r="E4" s="5" t="s">
        <v>38</v>
      </c>
      <c r="F4" s="5" t="s">
        <v>39</v>
      </c>
      <c r="G4" s="5" t="s">
        <v>40</v>
      </c>
      <c r="H4" s="5" t="s">
        <v>28</v>
      </c>
      <c r="I4" s="6" t="s">
        <v>48</v>
      </c>
      <c r="J4" s="5" t="s">
        <v>42</v>
      </c>
      <c r="K4" s="5" t="s">
        <v>49</v>
      </c>
      <c r="L4" s="5" t="s">
        <v>44</v>
      </c>
      <c r="M4" s="5" t="s">
        <v>33</v>
      </c>
      <c r="N4" s="5" t="s">
        <v>24</v>
      </c>
      <c r="O4" s="5" t="s">
        <v>495</v>
      </c>
      <c r="P4" s="5" t="s">
        <v>24</v>
      </c>
      <c r="Q4" s="5" t="s">
        <v>25</v>
      </c>
      <c r="R4" s="5" t="s">
        <v>45</v>
      </c>
      <c r="S4" s="6" t="s">
        <v>35</v>
      </c>
      <c r="T4" s="5" t="s">
        <v>50</v>
      </c>
      <c r="U4" s="9" t="s">
        <v>35</v>
      </c>
      <c r="V4" s="9"/>
      <c r="W4" s="9" t="s">
        <v>35</v>
      </c>
      <c r="Y4" s="9" t="s">
        <v>35</v>
      </c>
    </row>
    <row r="5" spans="1:26" ht="113.25">
      <c r="A5" s="5" t="s">
        <v>51</v>
      </c>
      <c r="B5" s="5" t="s">
        <v>23</v>
      </c>
      <c r="C5" s="5" t="s">
        <v>25</v>
      </c>
      <c r="D5" s="5" t="s">
        <v>26</v>
      </c>
      <c r="E5" s="5" t="s">
        <v>38</v>
      </c>
      <c r="F5" s="5" t="s">
        <v>39</v>
      </c>
      <c r="G5" s="5" t="s">
        <v>40</v>
      </c>
      <c r="H5" s="5" t="s">
        <v>28</v>
      </c>
      <c r="I5" s="6" t="s">
        <v>52</v>
      </c>
      <c r="J5" s="5" t="s">
        <v>42</v>
      </c>
      <c r="K5" s="5" t="s">
        <v>53</v>
      </c>
      <c r="L5" s="5" t="s">
        <v>44</v>
      </c>
      <c r="M5" s="5" t="s">
        <v>33</v>
      </c>
      <c r="N5" s="5" t="s">
        <v>24</v>
      </c>
      <c r="O5" s="5" t="s">
        <v>495</v>
      </c>
      <c r="P5" s="5" t="s">
        <v>24</v>
      </c>
      <c r="Q5" s="5" t="s">
        <v>54</v>
      </c>
      <c r="R5" s="5" t="s">
        <v>55</v>
      </c>
      <c r="S5" s="6" t="s">
        <v>35</v>
      </c>
      <c r="T5" s="5" t="s">
        <v>56</v>
      </c>
      <c r="U5" s="9" t="s">
        <v>65</v>
      </c>
      <c r="V5" s="9"/>
      <c r="W5" s="9"/>
      <c r="Y5" s="9"/>
    </row>
    <row r="6" spans="1:26" ht="113.25">
      <c r="A6" s="5" t="s">
        <v>57</v>
      </c>
      <c r="B6" s="5" t="s">
        <v>23</v>
      </c>
      <c r="C6" s="5" t="s">
        <v>25</v>
      </c>
      <c r="D6" s="5" t="s">
        <v>26</v>
      </c>
      <c r="E6" s="5" t="s">
        <v>38</v>
      </c>
      <c r="F6" s="5" t="s">
        <v>39</v>
      </c>
      <c r="G6" s="5" t="s">
        <v>40</v>
      </c>
      <c r="H6" s="5" t="s">
        <v>28</v>
      </c>
      <c r="I6" s="6" t="s">
        <v>58</v>
      </c>
      <c r="J6" s="5" t="s">
        <v>42</v>
      </c>
      <c r="K6" s="5" t="s">
        <v>59</v>
      </c>
      <c r="L6" s="5" t="s">
        <v>44</v>
      </c>
      <c r="M6" s="5" t="s">
        <v>33</v>
      </c>
      <c r="N6" s="5" t="s">
        <v>24</v>
      </c>
      <c r="O6" s="5" t="s">
        <v>495</v>
      </c>
      <c r="P6" s="5" t="s">
        <v>24</v>
      </c>
      <c r="Q6" s="5" t="s">
        <v>54</v>
      </c>
      <c r="R6" s="5" t="s">
        <v>55</v>
      </c>
      <c r="S6" s="6" t="s">
        <v>35</v>
      </c>
      <c r="T6" s="5" t="s">
        <v>56</v>
      </c>
      <c r="U6" s="9" t="s">
        <v>65</v>
      </c>
      <c r="V6" s="9"/>
      <c r="W6" s="9"/>
      <c r="Y6" s="9"/>
    </row>
    <row r="7" spans="1:26" ht="189">
      <c r="A7" s="5" t="s">
        <v>66</v>
      </c>
      <c r="B7" s="5" t="s">
        <v>23</v>
      </c>
      <c r="C7" s="5" t="s">
        <v>25</v>
      </c>
      <c r="D7" s="5" t="s">
        <v>26</v>
      </c>
      <c r="E7" s="5" t="s">
        <v>38</v>
      </c>
      <c r="F7" s="5" t="s">
        <v>39</v>
      </c>
      <c r="G7" s="5" t="s">
        <v>67</v>
      </c>
      <c r="H7" s="5" t="s">
        <v>28</v>
      </c>
      <c r="I7" s="6" t="s">
        <v>67</v>
      </c>
      <c r="J7" s="5" t="s">
        <v>42</v>
      </c>
      <c r="K7" s="5" t="s">
        <v>68</v>
      </c>
      <c r="L7" s="5" t="s">
        <v>32</v>
      </c>
      <c r="M7" s="5" t="s">
        <v>69</v>
      </c>
      <c r="N7" s="5" t="s">
        <v>24</v>
      </c>
      <c r="O7" s="5" t="s">
        <v>495</v>
      </c>
      <c r="P7" s="5" t="s">
        <v>24</v>
      </c>
      <c r="Q7" s="5" t="s">
        <v>54</v>
      </c>
      <c r="R7" s="5" t="s">
        <v>70</v>
      </c>
      <c r="S7" s="6" t="s">
        <v>35</v>
      </c>
      <c r="T7" s="5" t="s">
        <v>71</v>
      </c>
      <c r="U7" s="9" t="s">
        <v>65</v>
      </c>
      <c r="V7" s="9" t="s">
        <v>498</v>
      </c>
      <c r="W7" s="9"/>
      <c r="Y7" s="9"/>
    </row>
    <row r="8" spans="1:26" ht="113.25">
      <c r="A8" s="5" t="s">
        <v>72</v>
      </c>
      <c r="B8" s="5" t="s">
        <v>23</v>
      </c>
      <c r="C8" s="5" t="s">
        <v>25</v>
      </c>
      <c r="D8" s="5" t="s">
        <v>26</v>
      </c>
      <c r="E8" s="5" t="s">
        <v>38</v>
      </c>
      <c r="F8" s="5" t="s">
        <v>73</v>
      </c>
      <c r="G8" s="5" t="s">
        <v>74</v>
      </c>
      <c r="H8" s="5" t="s">
        <v>75</v>
      </c>
      <c r="I8" s="6" t="s">
        <v>76</v>
      </c>
      <c r="J8" s="5" t="s">
        <v>24</v>
      </c>
      <c r="K8" s="5" t="s">
        <v>77</v>
      </c>
      <c r="L8" s="5" t="s">
        <v>28</v>
      </c>
      <c r="M8" s="5" t="s">
        <v>69</v>
      </c>
      <c r="N8" s="5" t="s">
        <v>24</v>
      </c>
      <c r="O8" s="5" t="s">
        <v>495</v>
      </c>
      <c r="P8" s="5" t="s">
        <v>24</v>
      </c>
      <c r="Q8" s="5" t="s">
        <v>54</v>
      </c>
      <c r="R8" s="5" t="s">
        <v>78</v>
      </c>
      <c r="S8" s="6" t="s">
        <v>35</v>
      </c>
      <c r="T8" s="5" t="s">
        <v>79</v>
      </c>
      <c r="U8" s="9" t="s">
        <v>35</v>
      </c>
      <c r="V8" s="9"/>
      <c r="W8" s="9" t="s">
        <v>35</v>
      </c>
      <c r="Y8" s="9" t="s">
        <v>35</v>
      </c>
    </row>
    <row r="9" spans="1:26" ht="113.25">
      <c r="A9" s="5" t="s">
        <v>80</v>
      </c>
      <c r="B9" s="5" t="s">
        <v>23</v>
      </c>
      <c r="C9" s="5" t="s">
        <v>25</v>
      </c>
      <c r="D9" s="5" t="s">
        <v>26</v>
      </c>
      <c r="E9" s="5" t="s">
        <v>38</v>
      </c>
      <c r="F9" s="5" t="s">
        <v>73</v>
      </c>
      <c r="G9" s="5" t="s">
        <v>74</v>
      </c>
      <c r="H9" s="5" t="s">
        <v>75</v>
      </c>
      <c r="I9" s="6" t="s">
        <v>81</v>
      </c>
      <c r="J9" s="5" t="s">
        <v>24</v>
      </c>
      <c r="K9" s="5" t="s">
        <v>82</v>
      </c>
      <c r="L9" s="5" t="s">
        <v>28</v>
      </c>
      <c r="M9" s="5" t="s">
        <v>69</v>
      </c>
      <c r="N9" s="5" t="s">
        <v>24</v>
      </c>
      <c r="O9" s="5" t="s">
        <v>495</v>
      </c>
      <c r="P9" s="5" t="s">
        <v>24</v>
      </c>
      <c r="Q9" s="5" t="s">
        <v>54</v>
      </c>
      <c r="R9" s="5" t="s">
        <v>78</v>
      </c>
      <c r="S9" s="6" t="s">
        <v>35</v>
      </c>
      <c r="T9" s="5" t="s">
        <v>79</v>
      </c>
      <c r="U9" s="9" t="s">
        <v>35</v>
      </c>
      <c r="V9" s="9"/>
      <c r="W9" s="9" t="s">
        <v>35</v>
      </c>
      <c r="Y9" s="9" t="s">
        <v>35</v>
      </c>
    </row>
    <row r="10" spans="1:26" ht="132">
      <c r="A10" s="5" t="s">
        <v>83</v>
      </c>
      <c r="B10" s="5" t="s">
        <v>23</v>
      </c>
      <c r="C10" s="5" t="s">
        <v>25</v>
      </c>
      <c r="D10" s="5" t="s">
        <v>26</v>
      </c>
      <c r="E10" s="5" t="s">
        <v>38</v>
      </c>
      <c r="F10" s="5" t="s">
        <v>73</v>
      </c>
      <c r="G10" s="5" t="s">
        <v>74</v>
      </c>
      <c r="H10" s="5" t="s">
        <v>84</v>
      </c>
      <c r="I10" s="6" t="s">
        <v>85</v>
      </c>
      <c r="J10" s="5" t="s">
        <v>24</v>
      </c>
      <c r="K10" s="5" t="s">
        <v>86</v>
      </c>
      <c r="L10" s="5" t="s">
        <v>28</v>
      </c>
      <c r="M10" s="5" t="s">
        <v>33</v>
      </c>
      <c r="N10" s="5" t="s">
        <v>24</v>
      </c>
      <c r="O10" s="5" t="s">
        <v>495</v>
      </c>
      <c r="P10" s="5" t="s">
        <v>24</v>
      </c>
      <c r="Q10" s="5" t="s">
        <v>25</v>
      </c>
      <c r="R10" s="5" t="s">
        <v>87</v>
      </c>
      <c r="S10" s="6" t="s">
        <v>35</v>
      </c>
      <c r="T10" s="5"/>
      <c r="U10" s="9" t="s">
        <v>35</v>
      </c>
      <c r="V10" s="9"/>
      <c r="W10" s="9" t="s">
        <v>65</v>
      </c>
      <c r="Y10" s="9"/>
    </row>
    <row r="11" spans="1:26" ht="113.25">
      <c r="A11" s="5" t="s">
        <v>88</v>
      </c>
      <c r="B11" s="5" t="s">
        <v>23</v>
      </c>
      <c r="C11" s="5" t="s">
        <v>25</v>
      </c>
      <c r="D11" s="5" t="s">
        <v>26</v>
      </c>
      <c r="E11" s="5" t="s">
        <v>38</v>
      </c>
      <c r="F11" s="5" t="s">
        <v>73</v>
      </c>
      <c r="G11" s="5" t="s">
        <v>74</v>
      </c>
      <c r="H11" s="5" t="s">
        <v>84</v>
      </c>
      <c r="I11" s="6" t="s">
        <v>89</v>
      </c>
      <c r="J11" s="5" t="s">
        <v>90</v>
      </c>
      <c r="K11" s="5" t="s">
        <v>91</v>
      </c>
      <c r="L11" s="5" t="s">
        <v>28</v>
      </c>
      <c r="M11" s="5" t="s">
        <v>33</v>
      </c>
      <c r="N11" s="5" t="s">
        <v>24</v>
      </c>
      <c r="O11" s="5" t="s">
        <v>499</v>
      </c>
      <c r="P11" s="5" t="s">
        <v>24</v>
      </c>
      <c r="Q11" s="5" t="s">
        <v>25</v>
      </c>
      <c r="R11" s="5" t="s">
        <v>93</v>
      </c>
      <c r="S11" s="6" t="s">
        <v>35</v>
      </c>
      <c r="T11" s="5" t="s">
        <v>79</v>
      </c>
      <c r="U11" s="9" t="s">
        <v>65</v>
      </c>
      <c r="V11" s="9"/>
      <c r="W11" s="9"/>
      <c r="Y11" s="9"/>
    </row>
    <row r="12" spans="1:26" ht="113.25">
      <c r="A12" s="5" t="s">
        <v>94</v>
      </c>
      <c r="B12" s="5" t="s">
        <v>23</v>
      </c>
      <c r="C12" s="5" t="s">
        <v>25</v>
      </c>
      <c r="D12" s="5" t="s">
        <v>26</v>
      </c>
      <c r="E12" s="5" t="s">
        <v>38</v>
      </c>
      <c r="F12" s="5" t="s">
        <v>73</v>
      </c>
      <c r="G12" s="5" t="s">
        <v>74</v>
      </c>
      <c r="H12" s="5" t="s">
        <v>84</v>
      </c>
      <c r="I12" s="6" t="s">
        <v>95</v>
      </c>
      <c r="J12" s="5" t="s">
        <v>90</v>
      </c>
      <c r="K12" s="5" t="s">
        <v>96</v>
      </c>
      <c r="L12" s="5" t="s">
        <v>28</v>
      </c>
      <c r="M12" s="5" t="s">
        <v>33</v>
      </c>
      <c r="N12" s="5" t="s">
        <v>24</v>
      </c>
      <c r="O12" s="5" t="s">
        <v>499</v>
      </c>
      <c r="P12" s="5" t="s">
        <v>24</v>
      </c>
      <c r="Q12" s="5" t="s">
        <v>63</v>
      </c>
      <c r="R12" s="5" t="s">
        <v>97</v>
      </c>
      <c r="S12" s="6" t="s">
        <v>35</v>
      </c>
      <c r="T12" s="5" t="s">
        <v>98</v>
      </c>
      <c r="U12" s="9" t="s">
        <v>35</v>
      </c>
      <c r="V12" s="9"/>
      <c r="W12" s="9" t="s">
        <v>65</v>
      </c>
      <c r="Y12" s="9"/>
    </row>
    <row r="13" spans="1:26" s="17" customFormat="1" ht="113.25">
      <c r="A13" s="14" t="s">
        <v>99</v>
      </c>
      <c r="B13" s="14" t="s">
        <v>23</v>
      </c>
      <c r="C13" s="14" t="s">
        <v>25</v>
      </c>
      <c r="D13" s="14" t="s">
        <v>26</v>
      </c>
      <c r="E13" s="14" t="s">
        <v>38</v>
      </c>
      <c r="F13" s="14" t="s">
        <v>73</v>
      </c>
      <c r="G13" s="14" t="s">
        <v>74</v>
      </c>
      <c r="H13" s="14" t="s">
        <v>84</v>
      </c>
      <c r="I13" s="15" t="s">
        <v>100</v>
      </c>
      <c r="J13" s="14" t="s">
        <v>24</v>
      </c>
      <c r="K13" s="14" t="s">
        <v>101</v>
      </c>
      <c r="L13" s="14" t="s">
        <v>28</v>
      </c>
      <c r="M13" s="14" t="s">
        <v>33</v>
      </c>
      <c r="N13" s="14" t="s">
        <v>24</v>
      </c>
      <c r="O13" s="14" t="s">
        <v>495</v>
      </c>
      <c r="P13" s="14" t="s">
        <v>24</v>
      </c>
      <c r="Q13" s="14" t="s">
        <v>54</v>
      </c>
      <c r="R13" s="14" t="s">
        <v>102</v>
      </c>
      <c r="S13" s="15" t="s">
        <v>35</v>
      </c>
      <c r="T13" s="19" t="s">
        <v>500</v>
      </c>
      <c r="U13" s="16" t="s">
        <v>496</v>
      </c>
      <c r="V13" s="16"/>
      <c r="W13" s="16"/>
      <c r="Y13" s="16"/>
    </row>
    <row r="14" spans="1:26" ht="170.25">
      <c r="A14" s="5" t="s">
        <v>103</v>
      </c>
      <c r="B14" s="5" t="s">
        <v>23</v>
      </c>
      <c r="C14" s="5" t="s">
        <v>25</v>
      </c>
      <c r="D14" s="5" t="s">
        <v>104</v>
      </c>
      <c r="E14" s="5" t="s">
        <v>105</v>
      </c>
      <c r="F14" s="5" t="s">
        <v>106</v>
      </c>
      <c r="G14" s="5" t="s">
        <v>28</v>
      </c>
      <c r="H14" s="5" t="s">
        <v>28</v>
      </c>
      <c r="I14" s="6" t="s">
        <v>107</v>
      </c>
      <c r="J14" s="5" t="s">
        <v>108</v>
      </c>
      <c r="K14" s="5" t="s">
        <v>109</v>
      </c>
      <c r="L14" s="5" t="s">
        <v>32</v>
      </c>
      <c r="M14" s="5" t="s">
        <v>33</v>
      </c>
      <c r="N14" s="5" t="s">
        <v>24</v>
      </c>
      <c r="O14" s="5" t="s">
        <v>499</v>
      </c>
      <c r="P14" s="5" t="s">
        <v>24</v>
      </c>
      <c r="Q14" s="5" t="s">
        <v>25</v>
      </c>
      <c r="R14" s="5" t="s">
        <v>111</v>
      </c>
      <c r="S14" s="6" t="s">
        <v>35</v>
      </c>
      <c r="T14" s="5" t="s">
        <v>112</v>
      </c>
      <c r="U14" s="9" t="s">
        <v>35</v>
      </c>
      <c r="V14" s="9"/>
      <c r="W14" s="9" t="s">
        <v>35</v>
      </c>
      <c r="Y14" s="9" t="s">
        <v>35</v>
      </c>
    </row>
    <row r="15" spans="1:26" ht="94.5">
      <c r="A15" s="5" t="s">
        <v>113</v>
      </c>
      <c r="B15" s="5" t="s">
        <v>23</v>
      </c>
      <c r="C15" s="5" t="s">
        <v>25</v>
      </c>
      <c r="D15" s="5" t="s">
        <v>104</v>
      </c>
      <c r="E15" s="5" t="s">
        <v>105</v>
      </c>
      <c r="F15" s="5" t="s">
        <v>106</v>
      </c>
      <c r="G15" s="5" t="s">
        <v>28</v>
      </c>
      <c r="H15" s="5" t="s">
        <v>28</v>
      </c>
      <c r="I15" s="6" t="s">
        <v>114</v>
      </c>
      <c r="J15" s="5" t="s">
        <v>115</v>
      </c>
      <c r="K15" s="5" t="s">
        <v>116</v>
      </c>
      <c r="L15" s="5" t="s">
        <v>117</v>
      </c>
      <c r="M15" s="5" t="s">
        <v>33</v>
      </c>
      <c r="N15" s="5" t="s">
        <v>24</v>
      </c>
      <c r="O15" s="5" t="s">
        <v>495</v>
      </c>
      <c r="P15" s="5" t="s">
        <v>24</v>
      </c>
      <c r="Q15" s="5" t="s">
        <v>25</v>
      </c>
      <c r="R15" s="5" t="s">
        <v>118</v>
      </c>
      <c r="S15" s="6" t="s">
        <v>35</v>
      </c>
      <c r="T15" s="5"/>
      <c r="U15" s="9" t="s">
        <v>65</v>
      </c>
      <c r="V15" s="9"/>
      <c r="W15" s="9"/>
      <c r="Y15" s="9"/>
    </row>
    <row r="16" spans="1:26" ht="113.25">
      <c r="A16" s="5" t="s">
        <v>124</v>
      </c>
      <c r="B16" s="5" t="s">
        <v>23</v>
      </c>
      <c r="C16" s="5" t="s">
        <v>25</v>
      </c>
      <c r="D16" s="5" t="s">
        <v>104</v>
      </c>
      <c r="E16" s="5" t="s">
        <v>125</v>
      </c>
      <c r="F16" s="5" t="s">
        <v>126</v>
      </c>
      <c r="G16" s="5" t="s">
        <v>28</v>
      </c>
      <c r="H16" s="5" t="s">
        <v>28</v>
      </c>
      <c r="I16" s="6" t="s">
        <v>114</v>
      </c>
      <c r="J16" s="5" t="s">
        <v>115</v>
      </c>
      <c r="K16" s="5" t="s">
        <v>127</v>
      </c>
      <c r="L16" s="5" t="s">
        <v>28</v>
      </c>
      <c r="M16" s="5" t="s">
        <v>33</v>
      </c>
      <c r="N16" s="5" t="s">
        <v>24</v>
      </c>
      <c r="O16" s="5" t="s">
        <v>499</v>
      </c>
      <c r="P16" s="5" t="s">
        <v>24</v>
      </c>
      <c r="Q16" s="5" t="s">
        <v>128</v>
      </c>
      <c r="R16" s="5" t="s">
        <v>128</v>
      </c>
      <c r="S16" s="6" t="s">
        <v>35</v>
      </c>
      <c r="T16" s="5"/>
      <c r="U16" s="9" t="s">
        <v>65</v>
      </c>
      <c r="V16" s="9"/>
      <c r="W16" s="9"/>
      <c r="Y16" s="9"/>
    </row>
    <row r="17" spans="1:25" ht="170.25">
      <c r="A17" s="5" t="s">
        <v>129</v>
      </c>
      <c r="B17" s="5" t="s">
        <v>23</v>
      </c>
      <c r="C17" s="5" t="s">
        <v>25</v>
      </c>
      <c r="D17" s="5" t="s">
        <v>104</v>
      </c>
      <c r="E17" s="5" t="s">
        <v>125</v>
      </c>
      <c r="F17" s="5" t="s">
        <v>126</v>
      </c>
      <c r="G17" s="5" t="s">
        <v>28</v>
      </c>
      <c r="H17" s="5" t="s">
        <v>28</v>
      </c>
      <c r="I17" s="6" t="s">
        <v>130</v>
      </c>
      <c r="J17" s="5" t="s">
        <v>24</v>
      </c>
      <c r="K17" s="5" t="s">
        <v>131</v>
      </c>
      <c r="L17" s="5" t="s">
        <v>28</v>
      </c>
      <c r="M17" s="5" t="s">
        <v>33</v>
      </c>
      <c r="N17" s="5" t="s">
        <v>24</v>
      </c>
      <c r="O17" s="5" t="s">
        <v>499</v>
      </c>
      <c r="P17" s="5" t="s">
        <v>24</v>
      </c>
      <c r="Q17" s="5" t="s">
        <v>25</v>
      </c>
      <c r="R17" s="5" t="s">
        <v>132</v>
      </c>
      <c r="S17" s="6" t="s">
        <v>35</v>
      </c>
      <c r="T17" s="5"/>
      <c r="U17" s="9" t="s">
        <v>65</v>
      </c>
      <c r="V17" s="9"/>
      <c r="W17" s="9"/>
      <c r="Y17" s="9"/>
    </row>
    <row r="18" spans="1:25" s="17" customFormat="1" ht="170.25">
      <c r="A18" s="14" t="s">
        <v>133</v>
      </c>
      <c r="B18" s="14" t="s">
        <v>23</v>
      </c>
      <c r="C18" s="14" t="s">
        <v>25</v>
      </c>
      <c r="D18" s="14" t="s">
        <v>104</v>
      </c>
      <c r="E18" s="14" t="s">
        <v>125</v>
      </c>
      <c r="F18" s="14" t="s">
        <v>126</v>
      </c>
      <c r="G18" s="14" t="s">
        <v>28</v>
      </c>
      <c r="H18" s="14" t="s">
        <v>28</v>
      </c>
      <c r="I18" s="15" t="s">
        <v>134</v>
      </c>
      <c r="J18" s="14" t="s">
        <v>24</v>
      </c>
      <c r="K18" s="14" t="s">
        <v>135</v>
      </c>
      <c r="L18" s="14" t="s">
        <v>28</v>
      </c>
      <c r="M18" s="14" t="s">
        <v>33</v>
      </c>
      <c r="N18" s="14" t="s">
        <v>24</v>
      </c>
      <c r="O18" s="14" t="s">
        <v>499</v>
      </c>
      <c r="P18" s="14" t="s">
        <v>24</v>
      </c>
      <c r="Q18" s="14" t="s">
        <v>25</v>
      </c>
      <c r="R18" s="14" t="s">
        <v>132</v>
      </c>
      <c r="S18" s="15" t="s">
        <v>35</v>
      </c>
      <c r="T18" s="14" t="s">
        <v>501</v>
      </c>
      <c r="U18" s="16" t="s">
        <v>496</v>
      </c>
      <c r="V18" s="16"/>
      <c r="W18" s="16"/>
      <c r="Y18" s="16"/>
    </row>
    <row r="19" spans="1:25" ht="113.25">
      <c r="A19" s="5" t="s">
        <v>137</v>
      </c>
      <c r="B19" s="5" t="s">
        <v>23</v>
      </c>
      <c r="C19" s="5" t="s">
        <v>25</v>
      </c>
      <c r="D19" s="5" t="s">
        <v>104</v>
      </c>
      <c r="E19" s="5" t="s">
        <v>125</v>
      </c>
      <c r="F19" s="5" t="s">
        <v>138</v>
      </c>
      <c r="G19" s="5" t="s">
        <v>139</v>
      </c>
      <c r="H19" s="5" t="s">
        <v>140</v>
      </c>
      <c r="I19" s="6" t="s">
        <v>141</v>
      </c>
      <c r="J19" s="5" t="s">
        <v>142</v>
      </c>
      <c r="K19" s="5" t="s">
        <v>143</v>
      </c>
      <c r="L19" s="5" t="s">
        <v>28</v>
      </c>
      <c r="M19" s="5" t="s">
        <v>69</v>
      </c>
      <c r="N19" s="5" t="s">
        <v>24</v>
      </c>
      <c r="O19" s="5" t="s">
        <v>499</v>
      </c>
      <c r="P19" s="5" t="s">
        <v>24</v>
      </c>
      <c r="Q19" s="5" t="s">
        <v>54</v>
      </c>
      <c r="R19" s="5" t="s">
        <v>144</v>
      </c>
      <c r="S19" s="6" t="s">
        <v>35</v>
      </c>
      <c r="T19" s="5" t="s">
        <v>112</v>
      </c>
      <c r="U19" s="9" t="s">
        <v>65</v>
      </c>
      <c r="V19" s="9" t="s">
        <v>502</v>
      </c>
      <c r="W19" s="9"/>
      <c r="Y19" s="9"/>
    </row>
    <row r="20" spans="1:25" ht="113.25">
      <c r="A20" s="5" t="s">
        <v>145</v>
      </c>
      <c r="B20" s="5" t="s">
        <v>23</v>
      </c>
      <c r="C20" s="5" t="s">
        <v>25</v>
      </c>
      <c r="D20" s="5" t="s">
        <v>104</v>
      </c>
      <c r="E20" s="5" t="s">
        <v>125</v>
      </c>
      <c r="F20" s="5" t="s">
        <v>138</v>
      </c>
      <c r="G20" s="5" t="s">
        <v>139</v>
      </c>
      <c r="H20" s="5" t="s">
        <v>140</v>
      </c>
      <c r="I20" s="6" t="s">
        <v>146</v>
      </c>
      <c r="J20" s="5" t="s">
        <v>142</v>
      </c>
      <c r="K20" s="5" t="s">
        <v>147</v>
      </c>
      <c r="L20" s="5" t="s">
        <v>28</v>
      </c>
      <c r="M20" s="5" t="s">
        <v>69</v>
      </c>
      <c r="N20" s="5" t="s">
        <v>24</v>
      </c>
      <c r="O20" s="5" t="s">
        <v>499</v>
      </c>
      <c r="P20" s="5" t="s">
        <v>24</v>
      </c>
      <c r="Q20" s="5" t="s">
        <v>54</v>
      </c>
      <c r="R20" s="5" t="s">
        <v>144</v>
      </c>
      <c r="S20" s="6" t="s">
        <v>35</v>
      </c>
      <c r="T20" s="5" t="s">
        <v>112</v>
      </c>
      <c r="U20" s="9" t="s">
        <v>65</v>
      </c>
      <c r="V20" s="9"/>
      <c r="W20" s="9"/>
      <c r="Y20" s="9"/>
    </row>
    <row r="21" spans="1:25" ht="113.25">
      <c r="A21" s="5" t="s">
        <v>148</v>
      </c>
      <c r="B21" s="5" t="s">
        <v>23</v>
      </c>
      <c r="C21" s="5" t="s">
        <v>25</v>
      </c>
      <c r="D21" s="5" t="s">
        <v>104</v>
      </c>
      <c r="E21" s="5" t="s">
        <v>125</v>
      </c>
      <c r="F21" s="5" t="s">
        <v>138</v>
      </c>
      <c r="G21" s="5" t="s">
        <v>139</v>
      </c>
      <c r="H21" s="5" t="s">
        <v>140</v>
      </c>
      <c r="I21" s="6" t="s">
        <v>149</v>
      </c>
      <c r="J21" s="5" t="s">
        <v>142</v>
      </c>
      <c r="K21" s="5" t="s">
        <v>150</v>
      </c>
      <c r="L21" s="5" t="s">
        <v>28</v>
      </c>
      <c r="M21" s="5" t="s">
        <v>69</v>
      </c>
      <c r="N21" s="5" t="s">
        <v>24</v>
      </c>
      <c r="O21" s="5" t="s">
        <v>499</v>
      </c>
      <c r="P21" s="5" t="s">
        <v>24</v>
      </c>
      <c r="Q21" s="5" t="s">
        <v>54</v>
      </c>
      <c r="R21" s="5" t="s">
        <v>144</v>
      </c>
      <c r="S21" s="6" t="s">
        <v>35</v>
      </c>
      <c r="T21" s="5" t="s">
        <v>112</v>
      </c>
      <c r="U21" s="9" t="s">
        <v>65</v>
      </c>
      <c r="V21" s="9"/>
      <c r="W21" s="9"/>
      <c r="Y21" s="9"/>
    </row>
    <row r="22" spans="1:25" ht="113.25">
      <c r="A22" s="5" t="s">
        <v>151</v>
      </c>
      <c r="B22" s="5" t="s">
        <v>23</v>
      </c>
      <c r="C22" s="5" t="s">
        <v>25</v>
      </c>
      <c r="D22" s="5" t="s">
        <v>104</v>
      </c>
      <c r="E22" s="5" t="s">
        <v>125</v>
      </c>
      <c r="F22" s="5" t="s">
        <v>138</v>
      </c>
      <c r="G22" s="5" t="s">
        <v>139</v>
      </c>
      <c r="H22" s="5" t="s">
        <v>140</v>
      </c>
      <c r="I22" s="6" t="s">
        <v>152</v>
      </c>
      <c r="J22" s="5" t="s">
        <v>142</v>
      </c>
      <c r="K22" s="5" t="s">
        <v>153</v>
      </c>
      <c r="L22" s="5" t="s">
        <v>28</v>
      </c>
      <c r="M22" s="5" t="s">
        <v>69</v>
      </c>
      <c r="N22" s="5" t="s">
        <v>24</v>
      </c>
      <c r="O22" s="5" t="s">
        <v>499</v>
      </c>
      <c r="P22" s="5" t="s">
        <v>24</v>
      </c>
      <c r="Q22" s="5" t="s">
        <v>54</v>
      </c>
      <c r="R22" s="5" t="s">
        <v>144</v>
      </c>
      <c r="S22" s="6" t="s">
        <v>35</v>
      </c>
      <c r="T22" s="5" t="s">
        <v>112</v>
      </c>
      <c r="U22" s="9" t="s">
        <v>65</v>
      </c>
      <c r="V22" s="9"/>
      <c r="W22" s="9"/>
      <c r="Y22" s="9"/>
    </row>
    <row r="23" spans="1:25" ht="240">
      <c r="A23" s="5" t="s">
        <v>154</v>
      </c>
      <c r="B23" s="5" t="s">
        <v>23</v>
      </c>
      <c r="C23" s="5" t="s">
        <v>25</v>
      </c>
      <c r="D23" s="5" t="s">
        <v>104</v>
      </c>
      <c r="E23" s="5" t="s">
        <v>125</v>
      </c>
      <c r="F23" s="5" t="s">
        <v>138</v>
      </c>
      <c r="G23" s="5" t="s">
        <v>139</v>
      </c>
      <c r="H23" s="5" t="s">
        <v>140</v>
      </c>
      <c r="I23" s="6" t="s">
        <v>155</v>
      </c>
      <c r="J23" s="5" t="s">
        <v>142</v>
      </c>
      <c r="K23" s="5" t="s">
        <v>156</v>
      </c>
      <c r="L23" s="5" t="s">
        <v>28</v>
      </c>
      <c r="M23" s="5" t="s">
        <v>69</v>
      </c>
      <c r="N23" s="5" t="s">
        <v>24</v>
      </c>
      <c r="O23" s="5" t="s">
        <v>128</v>
      </c>
      <c r="P23" s="5" t="s">
        <v>24</v>
      </c>
      <c r="Q23" s="5" t="s">
        <v>54</v>
      </c>
      <c r="R23" s="5" t="s">
        <v>144</v>
      </c>
      <c r="S23" s="6" t="s">
        <v>35</v>
      </c>
      <c r="T23" s="5" t="s">
        <v>112</v>
      </c>
      <c r="U23" s="9" t="s">
        <v>35</v>
      </c>
      <c r="V23" s="9"/>
      <c r="W23" s="9" t="s">
        <v>35</v>
      </c>
      <c r="Y23" s="9" t="s">
        <v>35</v>
      </c>
    </row>
    <row r="24" spans="1:25" ht="113.25">
      <c r="A24" s="5" t="s">
        <v>157</v>
      </c>
      <c r="B24" s="5" t="s">
        <v>23</v>
      </c>
      <c r="C24" s="5" t="s">
        <v>25</v>
      </c>
      <c r="D24" s="5" t="s">
        <v>104</v>
      </c>
      <c r="E24" s="5" t="s">
        <v>125</v>
      </c>
      <c r="F24" s="5" t="s">
        <v>138</v>
      </c>
      <c r="G24" s="5" t="s">
        <v>139</v>
      </c>
      <c r="H24" s="5" t="s">
        <v>140</v>
      </c>
      <c r="I24" s="6" t="s">
        <v>158</v>
      </c>
      <c r="J24" s="5" t="s">
        <v>24</v>
      </c>
      <c r="K24" s="5" t="s">
        <v>159</v>
      </c>
      <c r="L24" s="5" t="s">
        <v>28</v>
      </c>
      <c r="M24" s="5" t="s">
        <v>69</v>
      </c>
      <c r="N24" s="5" t="s">
        <v>24</v>
      </c>
      <c r="O24" s="5" t="s">
        <v>495</v>
      </c>
      <c r="P24" s="5" t="s">
        <v>24</v>
      </c>
      <c r="Q24" s="5" t="s">
        <v>54</v>
      </c>
      <c r="R24" s="5" t="s">
        <v>144</v>
      </c>
      <c r="S24" s="6" t="s">
        <v>35</v>
      </c>
      <c r="T24" s="5" t="s">
        <v>112</v>
      </c>
      <c r="U24" s="9" t="s">
        <v>65</v>
      </c>
      <c r="V24" s="9"/>
      <c r="W24" s="9"/>
      <c r="Y24" s="9"/>
    </row>
    <row r="25" spans="1:25" ht="113.25">
      <c r="A25" s="5" t="s">
        <v>160</v>
      </c>
      <c r="B25" s="5" t="s">
        <v>23</v>
      </c>
      <c r="C25" s="5" t="s">
        <v>25</v>
      </c>
      <c r="D25" s="5" t="s">
        <v>104</v>
      </c>
      <c r="E25" s="5" t="s">
        <v>125</v>
      </c>
      <c r="F25" s="5" t="s">
        <v>138</v>
      </c>
      <c r="G25" s="5" t="s">
        <v>139</v>
      </c>
      <c r="H25" s="5" t="s">
        <v>140</v>
      </c>
      <c r="I25" s="6" t="s">
        <v>161</v>
      </c>
      <c r="J25" s="5" t="s">
        <v>142</v>
      </c>
      <c r="K25" s="5" t="s">
        <v>162</v>
      </c>
      <c r="L25" s="5" t="s">
        <v>28</v>
      </c>
      <c r="M25" s="5" t="s">
        <v>69</v>
      </c>
      <c r="N25" s="5" t="s">
        <v>24</v>
      </c>
      <c r="O25" s="5" t="s">
        <v>495</v>
      </c>
      <c r="P25" s="5" t="s">
        <v>24</v>
      </c>
      <c r="Q25" s="5" t="s">
        <v>54</v>
      </c>
      <c r="R25" s="5" t="s">
        <v>144</v>
      </c>
      <c r="S25" s="6" t="s">
        <v>35</v>
      </c>
      <c r="T25" s="5" t="s">
        <v>112</v>
      </c>
      <c r="U25" s="9" t="s">
        <v>65</v>
      </c>
      <c r="V25" s="9"/>
      <c r="W25" s="9"/>
      <c r="Y25" s="9"/>
    </row>
    <row r="26" spans="1:25" ht="113.25">
      <c r="A26" s="5" t="s">
        <v>163</v>
      </c>
      <c r="B26" s="5" t="s">
        <v>23</v>
      </c>
      <c r="C26" s="5" t="s">
        <v>25</v>
      </c>
      <c r="D26" s="5" t="s">
        <v>104</v>
      </c>
      <c r="E26" s="5" t="s">
        <v>125</v>
      </c>
      <c r="F26" s="5" t="s">
        <v>138</v>
      </c>
      <c r="G26" s="5" t="s">
        <v>139</v>
      </c>
      <c r="H26" s="5" t="s">
        <v>140</v>
      </c>
      <c r="I26" s="6" t="s">
        <v>164</v>
      </c>
      <c r="J26" s="5" t="s">
        <v>165</v>
      </c>
      <c r="K26" s="5" t="s">
        <v>166</v>
      </c>
      <c r="L26" s="5" t="s">
        <v>28</v>
      </c>
      <c r="M26" s="5" t="s">
        <v>69</v>
      </c>
      <c r="N26" s="5" t="s">
        <v>24</v>
      </c>
      <c r="O26" s="5" t="s">
        <v>495</v>
      </c>
      <c r="P26" s="5" t="s">
        <v>24</v>
      </c>
      <c r="Q26" s="5" t="s">
        <v>54</v>
      </c>
      <c r="R26" s="5" t="s">
        <v>167</v>
      </c>
      <c r="S26" s="6" t="s">
        <v>35</v>
      </c>
      <c r="T26" s="5"/>
      <c r="U26" s="9" t="s">
        <v>35</v>
      </c>
      <c r="V26" s="9"/>
      <c r="W26" s="9" t="s">
        <v>35</v>
      </c>
      <c r="Y26" s="9" t="s">
        <v>35</v>
      </c>
    </row>
    <row r="27" spans="1:25" ht="132">
      <c r="A27" s="5" t="s">
        <v>168</v>
      </c>
      <c r="B27" s="5" t="s">
        <v>23</v>
      </c>
      <c r="C27" s="5" t="s">
        <v>25</v>
      </c>
      <c r="D27" s="5" t="s">
        <v>104</v>
      </c>
      <c r="E27" s="5" t="s">
        <v>125</v>
      </c>
      <c r="F27" s="5" t="s">
        <v>138</v>
      </c>
      <c r="G27" s="5" t="s">
        <v>169</v>
      </c>
      <c r="H27" s="5" t="s">
        <v>28</v>
      </c>
      <c r="I27" s="6" t="s">
        <v>170</v>
      </c>
      <c r="J27" s="5" t="s">
        <v>24</v>
      </c>
      <c r="K27" s="5" t="s">
        <v>171</v>
      </c>
      <c r="L27" s="5" t="s">
        <v>172</v>
      </c>
      <c r="M27" s="5" t="s">
        <v>69</v>
      </c>
      <c r="N27" s="5" t="s">
        <v>24</v>
      </c>
      <c r="O27" s="5" t="s">
        <v>499</v>
      </c>
      <c r="P27" s="5" t="s">
        <v>24</v>
      </c>
      <c r="Q27" s="5" t="s">
        <v>54</v>
      </c>
      <c r="R27" s="5" t="s">
        <v>144</v>
      </c>
      <c r="S27" s="6" t="s">
        <v>35</v>
      </c>
      <c r="T27" s="5" t="s">
        <v>173</v>
      </c>
      <c r="U27" s="9" t="s">
        <v>35</v>
      </c>
      <c r="V27" s="9" t="s">
        <v>503</v>
      </c>
      <c r="W27" s="9" t="s">
        <v>35</v>
      </c>
      <c r="Y27" s="9" t="s">
        <v>35</v>
      </c>
    </row>
    <row r="28" spans="1:25" ht="113.25">
      <c r="A28" s="5" t="s">
        <v>174</v>
      </c>
      <c r="B28" s="5" t="s">
        <v>23</v>
      </c>
      <c r="C28" s="5" t="s">
        <v>25</v>
      </c>
      <c r="D28" s="5" t="s">
        <v>104</v>
      </c>
      <c r="E28" s="5" t="s">
        <v>125</v>
      </c>
      <c r="F28" s="5" t="s">
        <v>138</v>
      </c>
      <c r="G28" s="5" t="s">
        <v>175</v>
      </c>
      <c r="H28" s="5" t="s">
        <v>28</v>
      </c>
      <c r="I28" s="6" t="s">
        <v>176</v>
      </c>
      <c r="J28" s="5" t="s">
        <v>24</v>
      </c>
      <c r="K28" s="5" t="s">
        <v>177</v>
      </c>
      <c r="L28" s="5" t="s">
        <v>172</v>
      </c>
      <c r="M28" s="5" t="s">
        <v>69</v>
      </c>
      <c r="N28" s="5" t="s">
        <v>24</v>
      </c>
      <c r="O28" s="5" t="s">
        <v>499</v>
      </c>
      <c r="P28" s="5" t="s">
        <v>24</v>
      </c>
      <c r="Q28" s="5" t="s">
        <v>54</v>
      </c>
      <c r="R28" s="5" t="s">
        <v>144</v>
      </c>
      <c r="S28" s="6" t="s">
        <v>35</v>
      </c>
      <c r="T28" s="5"/>
      <c r="U28" s="9" t="s">
        <v>65</v>
      </c>
      <c r="V28" s="9"/>
      <c r="W28" s="9"/>
      <c r="Y28" s="9"/>
    </row>
    <row r="29" spans="1:25" s="17" customFormat="1" ht="113.25">
      <c r="A29" s="14" t="s">
        <v>178</v>
      </c>
      <c r="B29" s="14" t="s">
        <v>23</v>
      </c>
      <c r="C29" s="14" t="s">
        <v>25</v>
      </c>
      <c r="D29" s="14" t="s">
        <v>104</v>
      </c>
      <c r="E29" s="14" t="s">
        <v>179</v>
      </c>
      <c r="F29" s="14" t="s">
        <v>28</v>
      </c>
      <c r="G29" s="14" t="s">
        <v>28</v>
      </c>
      <c r="H29" s="14" t="s">
        <v>28</v>
      </c>
      <c r="I29" s="15" t="s">
        <v>180</v>
      </c>
      <c r="J29" s="14" t="s">
        <v>24</v>
      </c>
      <c r="K29" s="14" t="s">
        <v>181</v>
      </c>
      <c r="L29" s="14" t="s">
        <v>28</v>
      </c>
      <c r="M29" s="14" t="s">
        <v>69</v>
      </c>
      <c r="N29" s="14" t="s">
        <v>24</v>
      </c>
      <c r="O29" s="14" t="s">
        <v>499</v>
      </c>
      <c r="P29" s="14" t="s">
        <v>24</v>
      </c>
      <c r="Q29" s="14" t="s">
        <v>54</v>
      </c>
      <c r="R29" s="14" t="s">
        <v>182</v>
      </c>
      <c r="S29" s="15" t="s">
        <v>35</v>
      </c>
      <c r="T29" s="14" t="s">
        <v>183</v>
      </c>
      <c r="U29" s="16" t="s">
        <v>496</v>
      </c>
      <c r="V29" s="19" t="s">
        <v>504</v>
      </c>
      <c r="W29" s="16"/>
      <c r="Y29" s="16"/>
    </row>
    <row r="30" spans="1:25" ht="94.5">
      <c r="A30" s="5" t="s">
        <v>184</v>
      </c>
      <c r="B30" s="5" t="s">
        <v>23</v>
      </c>
      <c r="C30" s="5" t="s">
        <v>25</v>
      </c>
      <c r="D30" s="5" t="s">
        <v>104</v>
      </c>
      <c r="E30" s="5" t="s">
        <v>185</v>
      </c>
      <c r="F30" s="5" t="s">
        <v>28</v>
      </c>
      <c r="G30" s="5" t="s">
        <v>28</v>
      </c>
      <c r="H30" s="5" t="s">
        <v>28</v>
      </c>
      <c r="I30" s="6" t="s">
        <v>186</v>
      </c>
      <c r="J30" s="5" t="s">
        <v>24</v>
      </c>
      <c r="K30" s="5" t="s">
        <v>187</v>
      </c>
      <c r="L30" s="5" t="s">
        <v>28</v>
      </c>
      <c r="M30" s="5" t="s">
        <v>188</v>
      </c>
      <c r="N30" s="5" t="s">
        <v>24</v>
      </c>
      <c r="O30" s="5" t="s">
        <v>499</v>
      </c>
      <c r="P30" s="5" t="s">
        <v>24</v>
      </c>
      <c r="Q30" s="5" t="s">
        <v>25</v>
      </c>
      <c r="R30" s="5" t="s">
        <v>189</v>
      </c>
      <c r="S30" s="6" t="s">
        <v>35</v>
      </c>
      <c r="T30" s="5" t="s">
        <v>190</v>
      </c>
      <c r="U30" s="9" t="s">
        <v>35</v>
      </c>
      <c r="V30" s="9"/>
      <c r="W30" s="9" t="s">
        <v>35</v>
      </c>
      <c r="Y30" s="9" t="s">
        <v>35</v>
      </c>
    </row>
    <row r="31" spans="1:25" ht="113.25">
      <c r="A31" s="5" t="s">
        <v>191</v>
      </c>
      <c r="B31" s="5" t="s">
        <v>23</v>
      </c>
      <c r="C31" s="5" t="s">
        <v>25</v>
      </c>
      <c r="D31" s="5" t="s">
        <v>104</v>
      </c>
      <c r="E31" s="5" t="s">
        <v>185</v>
      </c>
      <c r="F31" s="5" t="s">
        <v>28</v>
      </c>
      <c r="G31" s="5" t="s">
        <v>28</v>
      </c>
      <c r="H31" s="5" t="s">
        <v>28</v>
      </c>
      <c r="I31" s="6" t="s">
        <v>192</v>
      </c>
      <c r="J31" s="5" t="s">
        <v>24</v>
      </c>
      <c r="K31" s="5" t="s">
        <v>193</v>
      </c>
      <c r="L31" s="5" t="s">
        <v>28</v>
      </c>
      <c r="M31" s="5" t="s">
        <v>69</v>
      </c>
      <c r="N31" s="5" t="s">
        <v>24</v>
      </c>
      <c r="O31" s="5" t="s">
        <v>499</v>
      </c>
      <c r="P31" s="5" t="s">
        <v>24</v>
      </c>
      <c r="Q31" s="5" t="s">
        <v>54</v>
      </c>
      <c r="R31" s="5" t="s">
        <v>144</v>
      </c>
      <c r="S31" s="6" t="s">
        <v>35</v>
      </c>
      <c r="T31" s="5" t="s">
        <v>79</v>
      </c>
      <c r="U31" s="9" t="s">
        <v>65</v>
      </c>
      <c r="V31" s="9" t="s">
        <v>498</v>
      </c>
      <c r="W31" s="9"/>
      <c r="Y31" s="9"/>
    </row>
    <row r="32" spans="1:25" ht="75.75">
      <c r="A32" s="5" t="s">
        <v>194</v>
      </c>
      <c r="B32" s="5" t="s">
        <v>23</v>
      </c>
      <c r="C32" s="5" t="s">
        <v>25</v>
      </c>
      <c r="D32" s="5" t="s">
        <v>195</v>
      </c>
      <c r="E32" s="5" t="s">
        <v>196</v>
      </c>
      <c r="F32" s="5" t="s">
        <v>28</v>
      </c>
      <c r="G32" s="5" t="s">
        <v>28</v>
      </c>
      <c r="H32" s="5" t="s">
        <v>28</v>
      </c>
      <c r="I32" s="6" t="s">
        <v>197</v>
      </c>
      <c r="J32" s="5" t="s">
        <v>198</v>
      </c>
      <c r="K32" s="5" t="s">
        <v>199</v>
      </c>
      <c r="L32" s="5" t="s">
        <v>28</v>
      </c>
      <c r="M32" s="5" t="s">
        <v>200</v>
      </c>
      <c r="N32" s="5" t="s">
        <v>24</v>
      </c>
      <c r="O32" s="5" t="s">
        <v>499</v>
      </c>
      <c r="P32" s="5" t="s">
        <v>24</v>
      </c>
      <c r="Q32" s="5" t="s">
        <v>54</v>
      </c>
      <c r="R32" s="5" t="s">
        <v>201</v>
      </c>
      <c r="S32" s="6" t="s">
        <v>35</v>
      </c>
      <c r="T32" s="5"/>
      <c r="U32" s="9" t="s">
        <v>65</v>
      </c>
      <c r="V32" s="9" t="s">
        <v>497</v>
      </c>
      <c r="W32" s="9"/>
      <c r="Y32" s="9"/>
    </row>
    <row r="33" spans="1:25" ht="99.95">
      <c r="A33" s="5" t="s">
        <v>202</v>
      </c>
      <c r="B33" s="5" t="s">
        <v>23</v>
      </c>
      <c r="C33" s="5" t="s">
        <v>25</v>
      </c>
      <c r="D33" s="5" t="s">
        <v>195</v>
      </c>
      <c r="E33" s="5" t="s">
        <v>196</v>
      </c>
      <c r="F33" s="5" t="s">
        <v>28</v>
      </c>
      <c r="G33" s="5" t="s">
        <v>28</v>
      </c>
      <c r="H33" s="5" t="s">
        <v>28</v>
      </c>
      <c r="I33" s="6" t="s">
        <v>203</v>
      </c>
      <c r="J33" s="5" t="s">
        <v>198</v>
      </c>
      <c r="K33" s="5" t="s">
        <v>204</v>
      </c>
      <c r="L33" s="5" t="s">
        <v>28</v>
      </c>
      <c r="M33" s="5" t="s">
        <v>33</v>
      </c>
      <c r="N33" s="5" t="s">
        <v>24</v>
      </c>
      <c r="O33" s="5" t="s">
        <v>24</v>
      </c>
      <c r="P33" s="5" t="s">
        <v>24</v>
      </c>
      <c r="Q33" s="5" t="s">
        <v>24</v>
      </c>
      <c r="R33" s="5" t="s">
        <v>205</v>
      </c>
      <c r="S33" s="6" t="s">
        <v>35</v>
      </c>
      <c r="T33" s="5"/>
      <c r="U33" s="9" t="s">
        <v>65</v>
      </c>
      <c r="V33" s="9"/>
      <c r="W33" s="9"/>
      <c r="Y33" s="9"/>
    </row>
    <row r="34" spans="1:25" ht="164.25">
      <c r="A34" s="5" t="s">
        <v>220</v>
      </c>
      <c r="B34" s="5" t="s">
        <v>23</v>
      </c>
      <c r="C34" s="5" t="s">
        <v>25</v>
      </c>
      <c r="D34" s="5" t="s">
        <v>195</v>
      </c>
      <c r="E34" s="5" t="s">
        <v>221</v>
      </c>
      <c r="F34" s="5" t="s">
        <v>28</v>
      </c>
      <c r="G34" s="5" t="s">
        <v>28</v>
      </c>
      <c r="H34" s="5" t="s">
        <v>28</v>
      </c>
      <c r="I34" s="6" t="s">
        <v>222</v>
      </c>
      <c r="J34" s="5" t="s">
        <v>24</v>
      </c>
      <c r="K34" s="5" t="s">
        <v>223</v>
      </c>
      <c r="L34" s="5" t="s">
        <v>28</v>
      </c>
      <c r="M34" s="5" t="s">
        <v>69</v>
      </c>
      <c r="N34" s="5" t="s">
        <v>24</v>
      </c>
      <c r="O34" s="5" t="s">
        <v>499</v>
      </c>
      <c r="P34" s="5" t="s">
        <v>24</v>
      </c>
      <c r="Q34" s="5" t="s">
        <v>54</v>
      </c>
      <c r="R34" s="5" t="s">
        <v>224</v>
      </c>
      <c r="S34" s="6" t="s">
        <v>35</v>
      </c>
      <c r="T34" s="18" t="s">
        <v>505</v>
      </c>
      <c r="U34" s="9" t="s">
        <v>65</v>
      </c>
      <c r="V34" s="9" t="s">
        <v>506</v>
      </c>
      <c r="W34" s="9"/>
      <c r="Y34" s="9"/>
    </row>
    <row r="35" spans="1:25" ht="151.5">
      <c r="A35" s="5" t="s">
        <v>225</v>
      </c>
      <c r="B35" s="5" t="s">
        <v>23</v>
      </c>
      <c r="C35" s="5" t="s">
        <v>25</v>
      </c>
      <c r="D35" s="5" t="s">
        <v>195</v>
      </c>
      <c r="E35" s="5" t="s">
        <v>226</v>
      </c>
      <c r="F35" s="5" t="s">
        <v>227</v>
      </c>
      <c r="G35" s="5" t="s">
        <v>28</v>
      </c>
      <c r="H35" s="5" t="s">
        <v>28</v>
      </c>
      <c r="I35" s="6" t="s">
        <v>228</v>
      </c>
      <c r="J35" s="5" t="s">
        <v>24</v>
      </c>
      <c r="K35" s="5" t="s">
        <v>229</v>
      </c>
      <c r="L35" s="5" t="s">
        <v>28</v>
      </c>
      <c r="M35" s="5" t="s">
        <v>188</v>
      </c>
      <c r="N35" s="5" t="s">
        <v>24</v>
      </c>
      <c r="O35" s="5" t="s">
        <v>499</v>
      </c>
      <c r="P35" s="5" t="s">
        <v>24</v>
      </c>
      <c r="Q35" s="5" t="s">
        <v>54</v>
      </c>
      <c r="R35" s="5" t="s">
        <v>230</v>
      </c>
      <c r="S35" s="6" t="s">
        <v>35</v>
      </c>
      <c r="T35" s="5" t="s">
        <v>231</v>
      </c>
      <c r="U35" s="9" t="s">
        <v>65</v>
      </c>
      <c r="V35" s="9"/>
      <c r="W35" s="9"/>
      <c r="Y35" s="9"/>
    </row>
    <row r="36" spans="1:25" ht="151.5">
      <c r="A36" s="5" t="s">
        <v>232</v>
      </c>
      <c r="B36" s="5" t="s">
        <v>23</v>
      </c>
      <c r="C36" s="5" t="s">
        <v>25</v>
      </c>
      <c r="D36" s="5" t="s">
        <v>195</v>
      </c>
      <c r="E36" s="5" t="s">
        <v>226</v>
      </c>
      <c r="F36" s="5" t="s">
        <v>227</v>
      </c>
      <c r="G36" s="5" t="s">
        <v>28</v>
      </c>
      <c r="H36" s="5" t="s">
        <v>28</v>
      </c>
      <c r="I36" s="6" t="s">
        <v>233</v>
      </c>
      <c r="J36" s="5" t="s">
        <v>24</v>
      </c>
      <c r="K36" s="5" t="s">
        <v>229</v>
      </c>
      <c r="L36" s="5" t="s">
        <v>28</v>
      </c>
      <c r="M36" s="5" t="s">
        <v>188</v>
      </c>
      <c r="N36" s="5" t="s">
        <v>24</v>
      </c>
      <c r="O36" s="5" t="s">
        <v>499</v>
      </c>
      <c r="P36" s="5" t="s">
        <v>24</v>
      </c>
      <c r="Q36" s="5" t="s">
        <v>54</v>
      </c>
      <c r="R36" s="5" t="s">
        <v>230</v>
      </c>
      <c r="S36" s="6" t="s">
        <v>35</v>
      </c>
      <c r="T36" s="5" t="s">
        <v>234</v>
      </c>
      <c r="U36" s="9" t="s">
        <v>65</v>
      </c>
      <c r="V36" s="9"/>
      <c r="W36" s="9"/>
      <c r="Y36" s="9"/>
    </row>
    <row r="37" spans="1:25" ht="132">
      <c r="A37" s="5" t="s">
        <v>235</v>
      </c>
      <c r="B37" s="5" t="s">
        <v>23</v>
      </c>
      <c r="C37" s="5" t="s">
        <v>25</v>
      </c>
      <c r="D37" s="5" t="s">
        <v>236</v>
      </c>
      <c r="E37" s="5" t="s">
        <v>237</v>
      </c>
      <c r="F37" s="5" t="s">
        <v>238</v>
      </c>
      <c r="G37" s="5" t="s">
        <v>28</v>
      </c>
      <c r="H37" s="5" t="s">
        <v>28</v>
      </c>
      <c r="I37" s="6" t="s">
        <v>239</v>
      </c>
      <c r="J37" s="5" t="s">
        <v>24</v>
      </c>
      <c r="K37" s="5" t="s">
        <v>240</v>
      </c>
      <c r="L37" s="5" t="s">
        <v>28</v>
      </c>
      <c r="M37" s="5" t="s">
        <v>69</v>
      </c>
      <c r="N37" s="5" t="s">
        <v>24</v>
      </c>
      <c r="O37" s="5" t="s">
        <v>495</v>
      </c>
      <c r="P37" s="5" t="s">
        <v>24</v>
      </c>
      <c r="Q37" s="5" t="s">
        <v>54</v>
      </c>
      <c r="R37" s="5" t="s">
        <v>241</v>
      </c>
      <c r="S37" s="6" t="s">
        <v>35</v>
      </c>
      <c r="T37" s="5"/>
      <c r="U37" s="9" t="s">
        <v>35</v>
      </c>
      <c r="V37" s="9"/>
      <c r="W37" s="9" t="s">
        <v>35</v>
      </c>
      <c r="Y37" s="9" t="s">
        <v>35</v>
      </c>
    </row>
    <row r="38" spans="1:25" ht="132">
      <c r="A38" s="5" t="s">
        <v>242</v>
      </c>
      <c r="B38" s="5" t="s">
        <v>23</v>
      </c>
      <c r="C38" s="5" t="s">
        <v>25</v>
      </c>
      <c r="D38" s="5" t="s">
        <v>236</v>
      </c>
      <c r="E38" s="5" t="s">
        <v>237</v>
      </c>
      <c r="F38" s="5" t="s">
        <v>238</v>
      </c>
      <c r="G38" s="5" t="s">
        <v>28</v>
      </c>
      <c r="H38" s="5" t="s">
        <v>28</v>
      </c>
      <c r="I38" s="6" t="s">
        <v>243</v>
      </c>
      <c r="J38" s="5" t="s">
        <v>24</v>
      </c>
      <c r="K38" s="5" t="s">
        <v>244</v>
      </c>
      <c r="L38" s="5" t="s">
        <v>28</v>
      </c>
      <c r="M38" s="5" t="s">
        <v>69</v>
      </c>
      <c r="N38" s="5" t="s">
        <v>24</v>
      </c>
      <c r="O38" s="5" t="s">
        <v>499</v>
      </c>
      <c r="P38" s="5" t="s">
        <v>24</v>
      </c>
      <c r="Q38" s="5" t="s">
        <v>54</v>
      </c>
      <c r="R38" s="5" t="s">
        <v>245</v>
      </c>
      <c r="S38" s="6" t="s">
        <v>35</v>
      </c>
      <c r="T38" s="5"/>
      <c r="U38" s="9" t="s">
        <v>65</v>
      </c>
      <c r="V38" s="9"/>
      <c r="W38" s="9"/>
      <c r="Y38" s="9"/>
    </row>
    <row r="39" spans="1:25" ht="120">
      <c r="A39" s="5" t="s">
        <v>249</v>
      </c>
      <c r="B39" s="5" t="s">
        <v>23</v>
      </c>
      <c r="C39" s="5" t="s">
        <v>25</v>
      </c>
      <c r="D39" s="5" t="s">
        <v>236</v>
      </c>
      <c r="E39" s="5" t="s">
        <v>237</v>
      </c>
      <c r="F39" s="5" t="s">
        <v>250</v>
      </c>
      <c r="G39" s="5" t="s">
        <v>28</v>
      </c>
      <c r="H39" s="5" t="s">
        <v>28</v>
      </c>
      <c r="I39" s="6" t="s">
        <v>251</v>
      </c>
      <c r="J39" s="5" t="s">
        <v>24</v>
      </c>
      <c r="K39" s="5" t="s">
        <v>252</v>
      </c>
      <c r="L39" s="5" t="s">
        <v>28</v>
      </c>
      <c r="M39" s="5" t="s">
        <v>188</v>
      </c>
      <c r="N39" s="5" t="s">
        <v>24</v>
      </c>
      <c r="O39" s="5" t="s">
        <v>63</v>
      </c>
      <c r="P39" s="5" t="s">
        <v>24</v>
      </c>
      <c r="Q39" s="5" t="s">
        <v>63</v>
      </c>
      <c r="R39" s="5" t="s">
        <v>253</v>
      </c>
      <c r="S39" s="6" t="s">
        <v>35</v>
      </c>
      <c r="T39" s="5" t="s">
        <v>254</v>
      </c>
      <c r="U39" s="9" t="s">
        <v>65</v>
      </c>
      <c r="V39" s="9"/>
      <c r="W39" s="9"/>
      <c r="Y39" s="9"/>
    </row>
    <row r="40" spans="1:25" ht="113.25">
      <c r="A40" s="5" t="s">
        <v>255</v>
      </c>
      <c r="B40" s="5" t="s">
        <v>23</v>
      </c>
      <c r="C40" s="5" t="s">
        <v>25</v>
      </c>
      <c r="D40" s="5" t="s">
        <v>236</v>
      </c>
      <c r="E40" s="5" t="s">
        <v>256</v>
      </c>
      <c r="F40" s="5" t="s">
        <v>257</v>
      </c>
      <c r="G40" s="5" t="s">
        <v>28</v>
      </c>
      <c r="H40" s="5" t="s">
        <v>28</v>
      </c>
      <c r="I40" s="6" t="s">
        <v>258</v>
      </c>
      <c r="J40" s="5" t="s">
        <v>24</v>
      </c>
      <c r="K40" s="5" t="s">
        <v>259</v>
      </c>
      <c r="L40" s="5" t="s">
        <v>28</v>
      </c>
      <c r="M40" s="5" t="s">
        <v>69</v>
      </c>
      <c r="N40" s="5" t="s">
        <v>24</v>
      </c>
      <c r="O40" s="5" t="s">
        <v>495</v>
      </c>
      <c r="P40" s="5" t="s">
        <v>24</v>
      </c>
      <c r="Q40" s="5" t="s">
        <v>54</v>
      </c>
      <c r="R40" s="5" t="s">
        <v>260</v>
      </c>
      <c r="S40" s="6" t="s">
        <v>35</v>
      </c>
      <c r="T40" s="5" t="s">
        <v>261</v>
      </c>
      <c r="U40" s="9" t="s">
        <v>65</v>
      </c>
      <c r="V40" s="9"/>
      <c r="W40" s="9"/>
      <c r="Y40" s="9"/>
    </row>
    <row r="41" spans="1:25" ht="113.25">
      <c r="A41" s="5" t="s">
        <v>262</v>
      </c>
      <c r="B41" s="5" t="s">
        <v>23</v>
      </c>
      <c r="C41" s="5" t="s">
        <v>25</v>
      </c>
      <c r="D41" s="5" t="s">
        <v>236</v>
      </c>
      <c r="E41" s="5" t="s">
        <v>256</v>
      </c>
      <c r="F41" s="5" t="s">
        <v>257</v>
      </c>
      <c r="G41" s="5" t="s">
        <v>28</v>
      </c>
      <c r="H41" s="5" t="s">
        <v>28</v>
      </c>
      <c r="I41" s="6" t="s">
        <v>263</v>
      </c>
      <c r="J41" s="5" t="s">
        <v>24</v>
      </c>
      <c r="K41" s="5" t="s">
        <v>264</v>
      </c>
      <c r="L41" s="5" t="s">
        <v>28</v>
      </c>
      <c r="M41" s="5" t="s">
        <v>69</v>
      </c>
      <c r="N41" s="5" t="s">
        <v>24</v>
      </c>
      <c r="O41" s="5" t="s">
        <v>495</v>
      </c>
      <c r="P41" s="5" t="s">
        <v>24</v>
      </c>
      <c r="Q41" s="5" t="s">
        <v>54</v>
      </c>
      <c r="R41" s="5" t="s">
        <v>260</v>
      </c>
      <c r="S41" s="6" t="s">
        <v>35</v>
      </c>
      <c r="T41" s="5" t="s">
        <v>261</v>
      </c>
      <c r="U41" s="9" t="s">
        <v>35</v>
      </c>
      <c r="V41" s="9"/>
      <c r="W41" s="9" t="s">
        <v>35</v>
      </c>
      <c r="Y41" s="9" t="s">
        <v>35</v>
      </c>
    </row>
    <row r="42" spans="1:25" ht="151.5">
      <c r="A42" s="5" t="s">
        <v>265</v>
      </c>
      <c r="B42" s="5" t="s">
        <v>23</v>
      </c>
      <c r="C42" s="5" t="s">
        <v>25</v>
      </c>
      <c r="D42" s="5" t="s">
        <v>236</v>
      </c>
      <c r="E42" s="5" t="s">
        <v>256</v>
      </c>
      <c r="F42" s="5" t="s">
        <v>257</v>
      </c>
      <c r="G42" s="5" t="s">
        <v>28</v>
      </c>
      <c r="H42" s="5" t="s">
        <v>28</v>
      </c>
      <c r="I42" s="6" t="s">
        <v>266</v>
      </c>
      <c r="J42" s="5" t="s">
        <v>24</v>
      </c>
      <c r="K42" s="5" t="s">
        <v>267</v>
      </c>
      <c r="L42" s="5" t="s">
        <v>28</v>
      </c>
      <c r="M42" s="5" t="s">
        <v>69</v>
      </c>
      <c r="N42" s="5" t="s">
        <v>24</v>
      </c>
      <c r="O42" s="5" t="s">
        <v>499</v>
      </c>
      <c r="P42" s="5" t="s">
        <v>24</v>
      </c>
      <c r="Q42" s="5" t="s">
        <v>63</v>
      </c>
      <c r="R42" s="5" t="s">
        <v>268</v>
      </c>
      <c r="S42" s="6" t="s">
        <v>35</v>
      </c>
      <c r="T42" s="5" t="s">
        <v>261</v>
      </c>
      <c r="U42" s="9" t="s">
        <v>65</v>
      </c>
      <c r="V42" s="9"/>
      <c r="W42" s="9"/>
      <c r="Y42" s="9"/>
    </row>
    <row r="43" spans="1:25" ht="113.25">
      <c r="A43" s="5" t="s">
        <v>269</v>
      </c>
      <c r="B43" s="5" t="s">
        <v>23</v>
      </c>
      <c r="C43" s="5" t="s">
        <v>25</v>
      </c>
      <c r="D43" s="5" t="s">
        <v>236</v>
      </c>
      <c r="E43" s="5" t="s">
        <v>256</v>
      </c>
      <c r="F43" s="5" t="s">
        <v>257</v>
      </c>
      <c r="G43" s="5" t="s">
        <v>28</v>
      </c>
      <c r="H43" s="5" t="s">
        <v>28</v>
      </c>
      <c r="I43" s="6" t="s">
        <v>270</v>
      </c>
      <c r="J43" s="5" t="s">
        <v>24</v>
      </c>
      <c r="K43" s="5" t="s">
        <v>271</v>
      </c>
      <c r="L43" s="5" t="s">
        <v>28</v>
      </c>
      <c r="M43" s="5" t="s">
        <v>69</v>
      </c>
      <c r="N43" s="5" t="s">
        <v>24</v>
      </c>
      <c r="O43" s="5" t="s">
        <v>495</v>
      </c>
      <c r="P43" s="5" t="s">
        <v>24</v>
      </c>
      <c r="Q43" s="5" t="s">
        <v>54</v>
      </c>
      <c r="R43" s="5" t="s">
        <v>260</v>
      </c>
      <c r="S43" s="6" t="s">
        <v>35</v>
      </c>
      <c r="T43" s="5" t="s">
        <v>261</v>
      </c>
      <c r="U43" s="9" t="s">
        <v>35</v>
      </c>
      <c r="V43" s="9"/>
      <c r="W43" s="9" t="s">
        <v>35</v>
      </c>
      <c r="Y43" s="9" t="s">
        <v>35</v>
      </c>
    </row>
    <row r="44" spans="1:25" ht="113.25">
      <c r="A44" s="5" t="s">
        <v>272</v>
      </c>
      <c r="B44" s="5" t="s">
        <v>23</v>
      </c>
      <c r="C44" s="5" t="s">
        <v>25</v>
      </c>
      <c r="D44" s="5" t="s">
        <v>236</v>
      </c>
      <c r="E44" s="5" t="s">
        <v>256</v>
      </c>
      <c r="F44" s="5" t="s">
        <v>257</v>
      </c>
      <c r="G44" s="5" t="s">
        <v>28</v>
      </c>
      <c r="H44" s="5" t="s">
        <v>28</v>
      </c>
      <c r="I44" s="6" t="s">
        <v>273</v>
      </c>
      <c r="J44" s="5" t="s">
        <v>24</v>
      </c>
      <c r="K44" s="5" t="s">
        <v>274</v>
      </c>
      <c r="L44" s="5" t="s">
        <v>28</v>
      </c>
      <c r="M44" s="5" t="s">
        <v>69</v>
      </c>
      <c r="N44" s="5" t="s">
        <v>24</v>
      </c>
      <c r="O44" s="5" t="s">
        <v>495</v>
      </c>
      <c r="P44" s="5" t="s">
        <v>24</v>
      </c>
      <c r="Q44" s="5" t="s">
        <v>54</v>
      </c>
      <c r="R44" s="5" t="s">
        <v>260</v>
      </c>
      <c r="S44" s="6" t="s">
        <v>35</v>
      </c>
      <c r="T44" s="5" t="s">
        <v>261</v>
      </c>
      <c r="U44" s="9" t="s">
        <v>35</v>
      </c>
      <c r="V44" s="9"/>
      <c r="W44" s="9" t="s">
        <v>35</v>
      </c>
      <c r="Y44" s="9" t="s">
        <v>35</v>
      </c>
    </row>
    <row r="45" spans="1:25" ht="113.25">
      <c r="A45" s="5" t="s">
        <v>275</v>
      </c>
      <c r="B45" s="5" t="s">
        <v>23</v>
      </c>
      <c r="C45" s="5" t="s">
        <v>25</v>
      </c>
      <c r="D45" s="5" t="s">
        <v>236</v>
      </c>
      <c r="E45" s="5" t="s">
        <v>256</v>
      </c>
      <c r="F45" s="5" t="s">
        <v>257</v>
      </c>
      <c r="G45" s="5" t="s">
        <v>28</v>
      </c>
      <c r="H45" s="5" t="s">
        <v>28</v>
      </c>
      <c r="I45" s="6" t="s">
        <v>276</v>
      </c>
      <c r="J45" s="5" t="s">
        <v>108</v>
      </c>
      <c r="K45" s="5" t="s">
        <v>277</v>
      </c>
      <c r="L45" s="5" t="s">
        <v>28</v>
      </c>
      <c r="M45" s="5" t="s">
        <v>69</v>
      </c>
      <c r="N45" s="5" t="s">
        <v>24</v>
      </c>
      <c r="O45" s="5" t="s">
        <v>495</v>
      </c>
      <c r="P45" s="5" t="s">
        <v>24</v>
      </c>
      <c r="Q45" s="5" t="s">
        <v>54</v>
      </c>
      <c r="R45" s="5" t="s">
        <v>260</v>
      </c>
      <c r="S45" s="6" t="s">
        <v>35</v>
      </c>
      <c r="T45" s="5" t="s">
        <v>261</v>
      </c>
      <c r="U45" s="9" t="s">
        <v>35</v>
      </c>
      <c r="V45" s="9"/>
      <c r="W45" s="9" t="s">
        <v>35</v>
      </c>
      <c r="Y45" s="9" t="s">
        <v>35</v>
      </c>
    </row>
    <row r="46" spans="1:25" ht="151.5">
      <c r="A46" s="5" t="s">
        <v>278</v>
      </c>
      <c r="B46" s="5" t="s">
        <v>23</v>
      </c>
      <c r="C46" s="5" t="s">
        <v>25</v>
      </c>
      <c r="D46" s="5" t="s">
        <v>236</v>
      </c>
      <c r="E46" s="5" t="s">
        <v>256</v>
      </c>
      <c r="F46" s="5" t="s">
        <v>257</v>
      </c>
      <c r="G46" s="5" t="s">
        <v>28</v>
      </c>
      <c r="H46" s="5" t="s">
        <v>28</v>
      </c>
      <c r="I46" s="6" t="s">
        <v>279</v>
      </c>
      <c r="J46" s="5" t="s">
        <v>108</v>
      </c>
      <c r="K46" s="5" t="s">
        <v>280</v>
      </c>
      <c r="L46" s="5" t="s">
        <v>28</v>
      </c>
      <c r="M46" s="5" t="s">
        <v>33</v>
      </c>
      <c r="N46" s="5" t="s">
        <v>24</v>
      </c>
      <c r="O46" s="5" t="s">
        <v>499</v>
      </c>
      <c r="P46" s="5" t="s">
        <v>24</v>
      </c>
      <c r="Q46" s="5" t="s">
        <v>25</v>
      </c>
      <c r="R46" s="5" t="s">
        <v>281</v>
      </c>
      <c r="S46" s="6" t="s">
        <v>35</v>
      </c>
      <c r="T46" s="5"/>
      <c r="U46" s="9" t="s">
        <v>35</v>
      </c>
      <c r="V46" s="9"/>
      <c r="W46" s="9" t="s">
        <v>65</v>
      </c>
      <c r="Y46" s="9"/>
    </row>
    <row r="47" spans="1:25" ht="94.5">
      <c r="A47" s="5" t="s">
        <v>282</v>
      </c>
      <c r="B47" s="5" t="s">
        <v>47</v>
      </c>
      <c r="C47" s="5" t="s">
        <v>25</v>
      </c>
      <c r="D47" s="5" t="s">
        <v>283</v>
      </c>
      <c r="E47" s="5" t="s">
        <v>284</v>
      </c>
      <c r="F47" s="5" t="s">
        <v>28</v>
      </c>
      <c r="G47" s="5" t="s">
        <v>28</v>
      </c>
      <c r="H47" s="5" t="s">
        <v>28</v>
      </c>
      <c r="I47" s="6" t="s">
        <v>285</v>
      </c>
      <c r="J47" s="5" t="s">
        <v>24</v>
      </c>
      <c r="K47" s="5" t="s">
        <v>286</v>
      </c>
      <c r="L47" s="5" t="s">
        <v>28</v>
      </c>
      <c r="M47" s="5" t="s">
        <v>69</v>
      </c>
      <c r="N47" s="5" t="s">
        <v>24</v>
      </c>
      <c r="O47" s="5" t="s">
        <v>495</v>
      </c>
      <c r="P47" s="5" t="s">
        <v>24</v>
      </c>
      <c r="Q47" s="5" t="s">
        <v>24</v>
      </c>
      <c r="R47" s="5" t="s">
        <v>24</v>
      </c>
      <c r="S47" s="6" t="s">
        <v>35</v>
      </c>
      <c r="T47" s="5" t="s">
        <v>287</v>
      </c>
      <c r="U47" s="9" t="s">
        <v>35</v>
      </c>
      <c r="V47" s="9"/>
      <c r="W47" s="9" t="s">
        <v>35</v>
      </c>
      <c r="Y47" s="9" t="s">
        <v>35</v>
      </c>
    </row>
    <row r="48" spans="1:25" s="17" customFormat="1" ht="94.5">
      <c r="A48" s="14" t="s">
        <v>288</v>
      </c>
      <c r="B48" s="14" t="s">
        <v>47</v>
      </c>
      <c r="C48" s="14" t="s">
        <v>25</v>
      </c>
      <c r="D48" s="14" t="s">
        <v>283</v>
      </c>
      <c r="E48" s="14" t="s">
        <v>284</v>
      </c>
      <c r="F48" s="14" t="s">
        <v>28</v>
      </c>
      <c r="G48" s="14" t="s">
        <v>28</v>
      </c>
      <c r="H48" s="14" t="s">
        <v>28</v>
      </c>
      <c r="I48" s="15" t="s">
        <v>289</v>
      </c>
      <c r="J48" s="14" t="s">
        <v>165</v>
      </c>
      <c r="K48" s="14" t="s">
        <v>290</v>
      </c>
      <c r="L48" s="14" t="s">
        <v>28</v>
      </c>
      <c r="M48" s="14" t="s">
        <v>69</v>
      </c>
      <c r="N48" s="14" t="s">
        <v>24</v>
      </c>
      <c r="O48" s="14" t="s">
        <v>495</v>
      </c>
      <c r="P48" s="14" t="s">
        <v>24</v>
      </c>
      <c r="Q48" s="14" t="s">
        <v>25</v>
      </c>
      <c r="R48" s="14" t="s">
        <v>291</v>
      </c>
      <c r="S48" s="15" t="s">
        <v>35</v>
      </c>
      <c r="T48" s="14" t="s">
        <v>287</v>
      </c>
      <c r="U48" s="16" t="s">
        <v>496</v>
      </c>
      <c r="V48" s="16"/>
      <c r="W48" s="16"/>
      <c r="Y48" s="16"/>
    </row>
    <row r="49" spans="1:25" ht="94.5">
      <c r="A49" s="5" t="s">
        <v>292</v>
      </c>
      <c r="B49" s="5" t="s">
        <v>47</v>
      </c>
      <c r="C49" s="5" t="s">
        <v>25</v>
      </c>
      <c r="D49" s="5" t="s">
        <v>283</v>
      </c>
      <c r="E49" s="5" t="s">
        <v>284</v>
      </c>
      <c r="F49" s="5" t="s">
        <v>28</v>
      </c>
      <c r="G49" s="5" t="s">
        <v>28</v>
      </c>
      <c r="H49" s="5" t="s">
        <v>28</v>
      </c>
      <c r="I49" s="6" t="s">
        <v>293</v>
      </c>
      <c r="J49" s="5" t="s">
        <v>24</v>
      </c>
      <c r="K49" s="5" t="s">
        <v>294</v>
      </c>
      <c r="L49" s="5" t="s">
        <v>28</v>
      </c>
      <c r="M49" s="5" t="s">
        <v>69</v>
      </c>
      <c r="N49" s="5" t="s">
        <v>24</v>
      </c>
      <c r="O49" s="5" t="s">
        <v>495</v>
      </c>
      <c r="P49" s="5" t="s">
        <v>24</v>
      </c>
      <c r="Q49" s="5" t="s">
        <v>54</v>
      </c>
      <c r="R49" s="5" t="s">
        <v>295</v>
      </c>
      <c r="S49" s="6" t="s">
        <v>35</v>
      </c>
      <c r="T49" s="5" t="s">
        <v>287</v>
      </c>
      <c r="U49" s="9" t="s">
        <v>65</v>
      </c>
      <c r="V49" s="9"/>
      <c r="W49" s="9"/>
      <c r="Y49" s="9"/>
    </row>
    <row r="50" spans="1:25" ht="113.25">
      <c r="A50" s="5" t="s">
        <v>296</v>
      </c>
      <c r="B50" s="5" t="s">
        <v>47</v>
      </c>
      <c r="C50" s="5" t="s">
        <v>25</v>
      </c>
      <c r="D50" s="5" t="s">
        <v>283</v>
      </c>
      <c r="E50" s="5" t="s">
        <v>284</v>
      </c>
      <c r="F50" s="5" t="s">
        <v>28</v>
      </c>
      <c r="G50" s="5" t="s">
        <v>28</v>
      </c>
      <c r="H50" s="5" t="s">
        <v>28</v>
      </c>
      <c r="I50" s="6" t="s">
        <v>297</v>
      </c>
      <c r="J50" s="5" t="s">
        <v>108</v>
      </c>
      <c r="K50" s="5" t="s">
        <v>298</v>
      </c>
      <c r="L50" s="5" t="s">
        <v>28</v>
      </c>
      <c r="M50" s="5" t="s">
        <v>69</v>
      </c>
      <c r="N50" s="5" t="s">
        <v>24</v>
      </c>
      <c r="O50" s="5" t="s">
        <v>499</v>
      </c>
      <c r="P50" s="5" t="s">
        <v>24</v>
      </c>
      <c r="Q50" s="5" t="s">
        <v>63</v>
      </c>
      <c r="R50" s="5" t="s">
        <v>299</v>
      </c>
      <c r="S50" s="6" t="s">
        <v>35</v>
      </c>
      <c r="T50" s="5" t="s">
        <v>287</v>
      </c>
      <c r="U50" s="9" t="s">
        <v>35</v>
      </c>
      <c r="V50" s="9"/>
      <c r="W50" s="9" t="s">
        <v>35</v>
      </c>
      <c r="Y50" s="9" t="s">
        <v>35</v>
      </c>
    </row>
    <row r="51" spans="1:25" ht="113.25">
      <c r="A51" s="5" t="s">
        <v>300</v>
      </c>
      <c r="B51" s="5" t="s">
        <v>47</v>
      </c>
      <c r="C51" s="5" t="s">
        <v>25</v>
      </c>
      <c r="D51" s="5" t="s">
        <v>283</v>
      </c>
      <c r="E51" s="5" t="s">
        <v>284</v>
      </c>
      <c r="F51" s="5" t="s">
        <v>28</v>
      </c>
      <c r="G51" s="5" t="s">
        <v>28</v>
      </c>
      <c r="H51" s="5" t="s">
        <v>28</v>
      </c>
      <c r="I51" s="6" t="s">
        <v>301</v>
      </c>
      <c r="J51" s="5" t="s">
        <v>108</v>
      </c>
      <c r="K51" s="5" t="s">
        <v>302</v>
      </c>
      <c r="L51" s="5" t="s">
        <v>28</v>
      </c>
      <c r="M51" s="5" t="s">
        <v>69</v>
      </c>
      <c r="N51" s="5" t="s">
        <v>24</v>
      </c>
      <c r="O51" s="5" t="s">
        <v>499</v>
      </c>
      <c r="P51" s="5" t="s">
        <v>24</v>
      </c>
      <c r="Q51" s="5" t="s">
        <v>63</v>
      </c>
      <c r="R51" s="5" t="s">
        <v>303</v>
      </c>
      <c r="S51" s="6" t="s">
        <v>35</v>
      </c>
      <c r="T51" s="5" t="s">
        <v>287</v>
      </c>
      <c r="U51" s="9" t="s">
        <v>35</v>
      </c>
      <c r="V51" s="9"/>
      <c r="W51" s="9" t="s">
        <v>35</v>
      </c>
      <c r="Y51" s="9" t="s">
        <v>35</v>
      </c>
    </row>
    <row r="52" spans="1:25" ht="94.5">
      <c r="A52" s="5" t="s">
        <v>304</v>
      </c>
      <c r="B52" s="5" t="s">
        <v>47</v>
      </c>
      <c r="C52" s="5" t="s">
        <v>25</v>
      </c>
      <c r="D52" s="5" t="s">
        <v>283</v>
      </c>
      <c r="E52" s="5" t="s">
        <v>284</v>
      </c>
      <c r="F52" s="5" t="s">
        <v>28</v>
      </c>
      <c r="G52" s="5" t="s">
        <v>28</v>
      </c>
      <c r="H52" s="5" t="s">
        <v>28</v>
      </c>
      <c r="I52" s="6" t="s">
        <v>305</v>
      </c>
      <c r="J52" s="5" t="s">
        <v>165</v>
      </c>
      <c r="K52" s="5" t="s">
        <v>306</v>
      </c>
      <c r="L52" s="5" t="s">
        <v>28</v>
      </c>
      <c r="M52" s="5" t="s">
        <v>69</v>
      </c>
      <c r="N52" s="5" t="s">
        <v>24</v>
      </c>
      <c r="O52" s="5" t="s">
        <v>495</v>
      </c>
      <c r="P52" s="5" t="s">
        <v>24</v>
      </c>
      <c r="Q52" s="5" t="s">
        <v>54</v>
      </c>
      <c r="R52" s="5" t="s">
        <v>307</v>
      </c>
      <c r="S52" s="6" t="s">
        <v>35</v>
      </c>
      <c r="T52" s="5" t="s">
        <v>287</v>
      </c>
      <c r="U52" s="9" t="s">
        <v>35</v>
      </c>
      <c r="V52" s="9"/>
      <c r="W52" s="9" t="s">
        <v>35</v>
      </c>
      <c r="Y52" s="9" t="s">
        <v>35</v>
      </c>
    </row>
    <row r="53" spans="1:25" s="17" customFormat="1" ht="99.95">
      <c r="A53" s="14" t="s">
        <v>308</v>
      </c>
      <c r="B53" s="14" t="s">
        <v>47</v>
      </c>
      <c r="C53" s="14" t="s">
        <v>25</v>
      </c>
      <c r="D53" s="14" t="s">
        <v>283</v>
      </c>
      <c r="E53" s="14" t="s">
        <v>284</v>
      </c>
      <c r="F53" s="14" t="s">
        <v>28</v>
      </c>
      <c r="G53" s="14" t="s">
        <v>28</v>
      </c>
      <c r="H53" s="14" t="s">
        <v>28</v>
      </c>
      <c r="I53" s="15" t="s">
        <v>309</v>
      </c>
      <c r="J53" s="14" t="s">
        <v>24</v>
      </c>
      <c r="K53" s="14" t="s">
        <v>310</v>
      </c>
      <c r="L53" s="14" t="s">
        <v>28</v>
      </c>
      <c r="M53" s="14" t="s">
        <v>69</v>
      </c>
      <c r="N53" s="14" t="s">
        <v>24</v>
      </c>
      <c r="O53" s="14" t="s">
        <v>63</v>
      </c>
      <c r="P53" s="14" t="s">
        <v>24</v>
      </c>
      <c r="Q53" s="14" t="s">
        <v>63</v>
      </c>
      <c r="R53" s="14" t="s">
        <v>311</v>
      </c>
      <c r="S53" s="15" t="s">
        <v>35</v>
      </c>
      <c r="T53" s="14" t="s">
        <v>287</v>
      </c>
      <c r="U53" s="16" t="s">
        <v>496</v>
      </c>
      <c r="V53" s="16"/>
      <c r="W53" s="16"/>
      <c r="Y53" s="16"/>
    </row>
    <row r="54" spans="1:25" ht="113.25">
      <c r="A54" s="5" t="s">
        <v>312</v>
      </c>
      <c r="B54" s="5" t="s">
        <v>47</v>
      </c>
      <c r="C54" s="5" t="s">
        <v>25</v>
      </c>
      <c r="D54" s="5" t="s">
        <v>283</v>
      </c>
      <c r="E54" s="5" t="s">
        <v>313</v>
      </c>
      <c r="F54" s="5" t="s">
        <v>28</v>
      </c>
      <c r="G54" s="5" t="s">
        <v>28</v>
      </c>
      <c r="H54" s="5" t="s">
        <v>28</v>
      </c>
      <c r="I54" s="6" t="s">
        <v>314</v>
      </c>
      <c r="J54" s="5" t="s">
        <v>42</v>
      </c>
      <c r="K54" s="5" t="s">
        <v>315</v>
      </c>
      <c r="L54" s="5" t="s">
        <v>28</v>
      </c>
      <c r="M54" s="5" t="s">
        <v>33</v>
      </c>
      <c r="N54" s="5" t="s">
        <v>24</v>
      </c>
      <c r="O54" s="5" t="s">
        <v>495</v>
      </c>
      <c r="P54" s="5" t="s">
        <v>24</v>
      </c>
      <c r="Q54" s="5" t="s">
        <v>25</v>
      </c>
      <c r="R54" s="5" t="s">
        <v>316</v>
      </c>
      <c r="S54" s="6" t="s">
        <v>35</v>
      </c>
      <c r="T54" s="5" t="s">
        <v>287</v>
      </c>
      <c r="U54" s="9" t="s">
        <v>35</v>
      </c>
      <c r="V54" s="9"/>
      <c r="W54" s="9" t="s">
        <v>35</v>
      </c>
      <c r="Y54" s="9" t="s">
        <v>35</v>
      </c>
    </row>
    <row r="55" spans="1:25" s="17" customFormat="1" ht="132">
      <c r="A55" s="14" t="s">
        <v>317</v>
      </c>
      <c r="B55" s="14" t="s">
        <v>47</v>
      </c>
      <c r="C55" s="14" t="s">
        <v>25</v>
      </c>
      <c r="D55" s="14" t="s">
        <v>283</v>
      </c>
      <c r="E55" s="14" t="s">
        <v>313</v>
      </c>
      <c r="F55" s="14" t="s">
        <v>28</v>
      </c>
      <c r="G55" s="14" t="s">
        <v>28</v>
      </c>
      <c r="H55" s="14" t="s">
        <v>28</v>
      </c>
      <c r="I55" s="15" t="s">
        <v>318</v>
      </c>
      <c r="J55" s="14" t="s">
        <v>42</v>
      </c>
      <c r="K55" s="14" t="s">
        <v>319</v>
      </c>
      <c r="L55" s="14" t="s">
        <v>28</v>
      </c>
      <c r="M55" s="14" t="s">
        <v>320</v>
      </c>
      <c r="N55" s="14" t="s">
        <v>24</v>
      </c>
      <c r="O55" s="14" t="s">
        <v>495</v>
      </c>
      <c r="P55" s="14" t="s">
        <v>24</v>
      </c>
      <c r="Q55" s="14" t="s">
        <v>63</v>
      </c>
      <c r="R55" s="14" t="s">
        <v>321</v>
      </c>
      <c r="S55" s="15" t="s">
        <v>35</v>
      </c>
      <c r="T55" s="14" t="s">
        <v>287</v>
      </c>
      <c r="U55" s="16" t="s">
        <v>496</v>
      </c>
      <c r="V55" s="16" t="s">
        <v>507</v>
      </c>
      <c r="W55" s="16"/>
      <c r="Y55" s="16"/>
    </row>
    <row r="56" spans="1:25" s="17" customFormat="1" ht="132">
      <c r="A56" s="14" t="s">
        <v>322</v>
      </c>
      <c r="B56" s="14" t="s">
        <v>47</v>
      </c>
      <c r="C56" s="14" t="s">
        <v>25</v>
      </c>
      <c r="D56" s="14" t="s">
        <v>283</v>
      </c>
      <c r="E56" s="14" t="s">
        <v>313</v>
      </c>
      <c r="F56" s="14" t="s">
        <v>28</v>
      </c>
      <c r="G56" s="14" t="s">
        <v>28</v>
      </c>
      <c r="H56" s="14" t="s">
        <v>28</v>
      </c>
      <c r="I56" s="15" t="s">
        <v>323</v>
      </c>
      <c r="J56" s="14" t="s">
        <v>24</v>
      </c>
      <c r="K56" s="14" t="s">
        <v>324</v>
      </c>
      <c r="L56" s="14" t="s">
        <v>28</v>
      </c>
      <c r="M56" s="14" t="s">
        <v>320</v>
      </c>
      <c r="N56" s="14" t="s">
        <v>24</v>
      </c>
      <c r="O56" s="14" t="s">
        <v>499</v>
      </c>
      <c r="P56" s="14" t="s">
        <v>24</v>
      </c>
      <c r="Q56" s="14" t="s">
        <v>63</v>
      </c>
      <c r="R56" s="14" t="s">
        <v>321</v>
      </c>
      <c r="S56" s="15" t="s">
        <v>35</v>
      </c>
      <c r="T56" s="14"/>
      <c r="U56" s="16" t="s">
        <v>496</v>
      </c>
      <c r="V56" s="16"/>
      <c r="W56" s="16"/>
      <c r="Y56" s="16"/>
    </row>
    <row r="57" spans="1:25" s="17" customFormat="1" ht="132">
      <c r="A57" s="14" t="s">
        <v>325</v>
      </c>
      <c r="B57" s="14" t="s">
        <v>47</v>
      </c>
      <c r="C57" s="14" t="s">
        <v>25</v>
      </c>
      <c r="D57" s="14" t="s">
        <v>283</v>
      </c>
      <c r="E57" s="14" t="s">
        <v>313</v>
      </c>
      <c r="F57" s="14" t="s">
        <v>28</v>
      </c>
      <c r="G57" s="14" t="s">
        <v>28</v>
      </c>
      <c r="H57" s="14" t="s">
        <v>28</v>
      </c>
      <c r="I57" s="15" t="s">
        <v>326</v>
      </c>
      <c r="J57" s="14" t="s">
        <v>24</v>
      </c>
      <c r="K57" s="14" t="s">
        <v>327</v>
      </c>
      <c r="L57" s="14" t="s">
        <v>28</v>
      </c>
      <c r="M57" s="14" t="s">
        <v>328</v>
      </c>
      <c r="N57" s="14" t="s">
        <v>24</v>
      </c>
      <c r="O57" s="14" t="s">
        <v>495</v>
      </c>
      <c r="P57" s="14" t="s">
        <v>24</v>
      </c>
      <c r="Q57" s="14" t="s">
        <v>63</v>
      </c>
      <c r="R57" s="14" t="s">
        <v>321</v>
      </c>
      <c r="S57" s="15" t="s">
        <v>35</v>
      </c>
      <c r="T57" s="14"/>
      <c r="U57" s="16" t="s">
        <v>496</v>
      </c>
      <c r="V57" s="16" t="s">
        <v>508</v>
      </c>
      <c r="W57" s="16"/>
      <c r="Y57" s="16"/>
    </row>
    <row r="58" spans="1:25" ht="185.1" customHeight="1">
      <c r="A58" s="5" t="s">
        <v>329</v>
      </c>
      <c r="B58" s="5" t="s">
        <v>47</v>
      </c>
      <c r="C58" s="5" t="s">
        <v>25</v>
      </c>
      <c r="D58" s="5" t="s">
        <v>330</v>
      </c>
      <c r="E58" s="5" t="s">
        <v>331</v>
      </c>
      <c r="F58" s="5" t="s">
        <v>28</v>
      </c>
      <c r="G58" s="5" t="s">
        <v>28</v>
      </c>
      <c r="H58" s="5" t="s">
        <v>28</v>
      </c>
      <c r="I58" s="6" t="s">
        <v>332</v>
      </c>
      <c r="J58" s="5" t="s">
        <v>24</v>
      </c>
      <c r="K58" s="5" t="s">
        <v>333</v>
      </c>
      <c r="L58" s="5" t="s">
        <v>28</v>
      </c>
      <c r="M58" s="5" t="s">
        <v>69</v>
      </c>
      <c r="N58" s="5" t="s">
        <v>24</v>
      </c>
      <c r="O58" s="5" t="s">
        <v>495</v>
      </c>
      <c r="P58" s="5" t="s">
        <v>24</v>
      </c>
      <c r="Q58" s="5" t="s">
        <v>54</v>
      </c>
      <c r="R58" s="5" t="s">
        <v>334</v>
      </c>
      <c r="S58" s="6" t="s">
        <v>35</v>
      </c>
      <c r="T58" s="5"/>
      <c r="U58" s="9" t="s">
        <v>35</v>
      </c>
      <c r="V58" s="9"/>
      <c r="W58" s="9" t="s">
        <v>35</v>
      </c>
      <c r="Y58" s="9" t="s">
        <v>35</v>
      </c>
    </row>
    <row r="59" spans="1:25" ht="132">
      <c r="A59" s="5" t="s">
        <v>335</v>
      </c>
      <c r="B59" s="5" t="s">
        <v>47</v>
      </c>
      <c r="C59" s="5" t="s">
        <v>25</v>
      </c>
      <c r="D59" s="5" t="s">
        <v>330</v>
      </c>
      <c r="E59" s="5" t="s">
        <v>331</v>
      </c>
      <c r="F59" s="5" t="s">
        <v>28</v>
      </c>
      <c r="G59" s="5" t="s">
        <v>28</v>
      </c>
      <c r="H59" s="5" t="s">
        <v>28</v>
      </c>
      <c r="I59" s="6" t="s">
        <v>336</v>
      </c>
      <c r="J59" s="5" t="s">
        <v>24</v>
      </c>
      <c r="K59" s="5" t="s">
        <v>337</v>
      </c>
      <c r="L59" s="5" t="s">
        <v>28</v>
      </c>
      <c r="M59" s="5" t="s">
        <v>69</v>
      </c>
      <c r="N59" s="5" t="s">
        <v>24</v>
      </c>
      <c r="O59" s="5" t="s">
        <v>499</v>
      </c>
      <c r="P59" s="5" t="s">
        <v>24</v>
      </c>
      <c r="Q59" s="5" t="s">
        <v>54</v>
      </c>
      <c r="R59" s="5" t="s">
        <v>334</v>
      </c>
      <c r="S59" s="6" t="s">
        <v>35</v>
      </c>
      <c r="T59" s="5" t="s">
        <v>338</v>
      </c>
      <c r="U59" s="9" t="s">
        <v>35</v>
      </c>
      <c r="V59" s="9"/>
      <c r="W59" s="9" t="s">
        <v>35</v>
      </c>
      <c r="Y59" s="9" t="s">
        <v>35</v>
      </c>
    </row>
    <row r="60" spans="1:25" ht="132">
      <c r="A60" s="5" t="s">
        <v>339</v>
      </c>
      <c r="B60" s="5" t="s">
        <v>47</v>
      </c>
      <c r="C60" s="5" t="s">
        <v>25</v>
      </c>
      <c r="D60" s="5" t="s">
        <v>330</v>
      </c>
      <c r="E60" s="5" t="s">
        <v>340</v>
      </c>
      <c r="F60" s="5" t="s">
        <v>28</v>
      </c>
      <c r="G60" s="5" t="s">
        <v>28</v>
      </c>
      <c r="H60" s="5" t="s">
        <v>28</v>
      </c>
      <c r="I60" s="6" t="s">
        <v>341</v>
      </c>
      <c r="J60" s="5" t="s">
        <v>342</v>
      </c>
      <c r="K60" s="5" t="s">
        <v>343</v>
      </c>
      <c r="L60" s="5" t="s">
        <v>28</v>
      </c>
      <c r="M60" s="5" t="s">
        <v>69</v>
      </c>
      <c r="N60" s="5" t="s">
        <v>344</v>
      </c>
      <c r="O60" s="5" t="s">
        <v>499</v>
      </c>
      <c r="P60" s="5" t="s">
        <v>24</v>
      </c>
      <c r="Q60" s="5" t="s">
        <v>54</v>
      </c>
      <c r="R60" s="5" t="s">
        <v>345</v>
      </c>
      <c r="S60" s="6" t="s">
        <v>35</v>
      </c>
      <c r="T60" s="5"/>
      <c r="U60" s="9" t="s">
        <v>35</v>
      </c>
      <c r="V60" s="9"/>
      <c r="W60" s="9" t="s">
        <v>35</v>
      </c>
      <c r="Y60" s="9" t="s">
        <v>35</v>
      </c>
    </row>
    <row r="61" spans="1:25" ht="132">
      <c r="A61" s="5" t="s">
        <v>346</v>
      </c>
      <c r="B61" s="5" t="s">
        <v>47</v>
      </c>
      <c r="C61" s="5" t="s">
        <v>25</v>
      </c>
      <c r="D61" s="5" t="s">
        <v>330</v>
      </c>
      <c r="E61" s="5" t="s">
        <v>340</v>
      </c>
      <c r="F61" s="5" t="s">
        <v>28</v>
      </c>
      <c r="G61" s="5" t="s">
        <v>28</v>
      </c>
      <c r="H61" s="5" t="s">
        <v>28</v>
      </c>
      <c r="I61" s="6" t="s">
        <v>347</v>
      </c>
      <c r="J61" s="5" t="s">
        <v>342</v>
      </c>
      <c r="K61" s="5" t="s">
        <v>348</v>
      </c>
      <c r="L61" s="5" t="s">
        <v>28</v>
      </c>
      <c r="M61" s="5" t="s">
        <v>69</v>
      </c>
      <c r="N61" s="5" t="s">
        <v>344</v>
      </c>
      <c r="O61" s="5" t="s">
        <v>499</v>
      </c>
      <c r="P61" s="5" t="s">
        <v>24</v>
      </c>
      <c r="Q61" s="5" t="s">
        <v>54</v>
      </c>
      <c r="R61" s="5" t="s">
        <v>345</v>
      </c>
      <c r="S61" s="6" t="s">
        <v>35</v>
      </c>
      <c r="T61" s="5"/>
      <c r="U61" s="9" t="s">
        <v>35</v>
      </c>
      <c r="V61" s="9"/>
      <c r="W61" s="9" t="s">
        <v>35</v>
      </c>
      <c r="Y61" s="9" t="s">
        <v>35</v>
      </c>
    </row>
    <row r="62" spans="1:25" ht="132">
      <c r="A62" s="5" t="s">
        <v>349</v>
      </c>
      <c r="B62" s="5" t="s">
        <v>47</v>
      </c>
      <c r="C62" s="5" t="s">
        <v>25</v>
      </c>
      <c r="D62" s="5" t="s">
        <v>330</v>
      </c>
      <c r="E62" s="5" t="s">
        <v>340</v>
      </c>
      <c r="F62" s="5" t="s">
        <v>28</v>
      </c>
      <c r="G62" s="5" t="s">
        <v>28</v>
      </c>
      <c r="H62" s="5" t="s">
        <v>28</v>
      </c>
      <c r="I62" s="6" t="s">
        <v>350</v>
      </c>
      <c r="J62" s="5" t="s">
        <v>342</v>
      </c>
      <c r="K62" s="5" t="s">
        <v>351</v>
      </c>
      <c r="L62" s="5" t="s">
        <v>28</v>
      </c>
      <c r="M62" s="5" t="s">
        <v>69</v>
      </c>
      <c r="N62" s="5" t="s">
        <v>344</v>
      </c>
      <c r="O62" s="5" t="s">
        <v>499</v>
      </c>
      <c r="P62" s="5" t="s">
        <v>24</v>
      </c>
      <c r="Q62" s="5" t="s">
        <v>54</v>
      </c>
      <c r="R62" s="5" t="s">
        <v>345</v>
      </c>
      <c r="S62" s="6" t="s">
        <v>35</v>
      </c>
      <c r="T62" s="5"/>
      <c r="U62" s="9" t="s">
        <v>35</v>
      </c>
      <c r="V62" s="9"/>
      <c r="W62" s="9" t="s">
        <v>35</v>
      </c>
      <c r="Y62" s="9" t="s">
        <v>35</v>
      </c>
    </row>
    <row r="63" spans="1:25" ht="132">
      <c r="A63" s="5" t="s">
        <v>352</v>
      </c>
      <c r="B63" s="5" t="s">
        <v>47</v>
      </c>
      <c r="C63" s="5" t="s">
        <v>25</v>
      </c>
      <c r="D63" s="5" t="s">
        <v>330</v>
      </c>
      <c r="E63" s="5" t="s">
        <v>340</v>
      </c>
      <c r="F63" s="5" t="s">
        <v>28</v>
      </c>
      <c r="G63" s="5" t="s">
        <v>28</v>
      </c>
      <c r="H63" s="5" t="s">
        <v>28</v>
      </c>
      <c r="I63" s="6" t="s">
        <v>353</v>
      </c>
      <c r="J63" s="5" t="s">
        <v>342</v>
      </c>
      <c r="K63" s="5" t="s">
        <v>354</v>
      </c>
      <c r="L63" s="5" t="s">
        <v>28</v>
      </c>
      <c r="M63" s="5" t="s">
        <v>69</v>
      </c>
      <c r="N63" s="5" t="s">
        <v>344</v>
      </c>
      <c r="O63" s="5" t="s">
        <v>499</v>
      </c>
      <c r="P63" s="5" t="s">
        <v>24</v>
      </c>
      <c r="Q63" s="5" t="s">
        <v>54</v>
      </c>
      <c r="R63" s="5" t="s">
        <v>345</v>
      </c>
      <c r="S63" s="6" t="s">
        <v>35</v>
      </c>
      <c r="T63" s="5"/>
      <c r="U63" s="9" t="s">
        <v>35</v>
      </c>
      <c r="V63" s="9"/>
      <c r="W63" s="9" t="s">
        <v>35</v>
      </c>
      <c r="Y63" s="9" t="s">
        <v>35</v>
      </c>
    </row>
    <row r="64" spans="1:25" ht="132">
      <c r="A64" s="5" t="s">
        <v>355</v>
      </c>
      <c r="B64" s="5" t="s">
        <v>47</v>
      </c>
      <c r="C64" s="5" t="s">
        <v>25</v>
      </c>
      <c r="D64" s="5" t="s">
        <v>330</v>
      </c>
      <c r="E64" s="5" t="s">
        <v>340</v>
      </c>
      <c r="F64" s="5" t="s">
        <v>28</v>
      </c>
      <c r="G64" s="5" t="s">
        <v>28</v>
      </c>
      <c r="H64" s="5" t="s">
        <v>28</v>
      </c>
      <c r="I64" s="6" t="s">
        <v>356</v>
      </c>
      <c r="J64" s="5" t="s">
        <v>342</v>
      </c>
      <c r="K64" s="5" t="s">
        <v>357</v>
      </c>
      <c r="L64" s="5" t="s">
        <v>28</v>
      </c>
      <c r="M64" s="5" t="s">
        <v>69</v>
      </c>
      <c r="N64" s="5" t="s">
        <v>344</v>
      </c>
      <c r="O64" s="5" t="s">
        <v>499</v>
      </c>
      <c r="P64" s="5" t="s">
        <v>24</v>
      </c>
      <c r="Q64" s="5" t="s">
        <v>54</v>
      </c>
      <c r="R64" s="5" t="s">
        <v>345</v>
      </c>
      <c r="S64" s="6" t="s">
        <v>35</v>
      </c>
      <c r="T64" s="5"/>
      <c r="U64" s="9" t="s">
        <v>35</v>
      </c>
      <c r="V64" s="9"/>
      <c r="W64" s="9" t="s">
        <v>35</v>
      </c>
      <c r="Y64" s="9" t="s">
        <v>35</v>
      </c>
    </row>
    <row r="65" spans="1:25" ht="132">
      <c r="A65" s="5" t="s">
        <v>358</v>
      </c>
      <c r="B65" s="5" t="s">
        <v>47</v>
      </c>
      <c r="C65" s="5" t="s">
        <v>25</v>
      </c>
      <c r="D65" s="5" t="s">
        <v>330</v>
      </c>
      <c r="E65" s="5" t="s">
        <v>340</v>
      </c>
      <c r="F65" s="5" t="s">
        <v>28</v>
      </c>
      <c r="G65" s="5" t="s">
        <v>28</v>
      </c>
      <c r="H65" s="5" t="s">
        <v>28</v>
      </c>
      <c r="I65" s="6" t="s">
        <v>359</v>
      </c>
      <c r="J65" s="5" t="s">
        <v>342</v>
      </c>
      <c r="K65" s="5" t="s">
        <v>360</v>
      </c>
      <c r="L65" s="5" t="s">
        <v>28</v>
      </c>
      <c r="M65" s="5" t="s">
        <v>69</v>
      </c>
      <c r="N65" s="5" t="s">
        <v>344</v>
      </c>
      <c r="O65" s="5" t="s">
        <v>499</v>
      </c>
      <c r="P65" s="5" t="s">
        <v>24</v>
      </c>
      <c r="Q65" s="5" t="s">
        <v>54</v>
      </c>
      <c r="R65" s="5" t="s">
        <v>345</v>
      </c>
      <c r="S65" s="6" t="s">
        <v>35</v>
      </c>
      <c r="T65" s="5"/>
      <c r="U65" s="9" t="s">
        <v>35</v>
      </c>
      <c r="V65" s="9"/>
      <c r="W65" s="9" t="s">
        <v>35</v>
      </c>
      <c r="Y65" s="9" t="s">
        <v>35</v>
      </c>
    </row>
    <row r="66" spans="1:25" ht="132">
      <c r="A66" s="5" t="s">
        <v>361</v>
      </c>
      <c r="B66" s="5" t="s">
        <v>47</v>
      </c>
      <c r="C66" s="5" t="s">
        <v>25</v>
      </c>
      <c r="D66" s="5" t="s">
        <v>330</v>
      </c>
      <c r="E66" s="5" t="s">
        <v>340</v>
      </c>
      <c r="F66" s="5" t="s">
        <v>28</v>
      </c>
      <c r="G66" s="5" t="s">
        <v>28</v>
      </c>
      <c r="H66" s="5" t="s">
        <v>28</v>
      </c>
      <c r="I66" s="6" t="s">
        <v>362</v>
      </c>
      <c r="J66" s="5" t="s">
        <v>342</v>
      </c>
      <c r="K66" s="5" t="s">
        <v>363</v>
      </c>
      <c r="L66" s="5" t="s">
        <v>28</v>
      </c>
      <c r="M66" s="5" t="s">
        <v>69</v>
      </c>
      <c r="N66" s="5" t="s">
        <v>344</v>
      </c>
      <c r="O66" s="5" t="s">
        <v>499</v>
      </c>
      <c r="P66" s="5" t="s">
        <v>24</v>
      </c>
      <c r="Q66" s="5" t="s">
        <v>54</v>
      </c>
      <c r="R66" s="5" t="s">
        <v>345</v>
      </c>
      <c r="S66" s="6" t="s">
        <v>35</v>
      </c>
      <c r="T66" s="5"/>
      <c r="U66" s="9" t="s">
        <v>35</v>
      </c>
      <c r="V66" s="9"/>
      <c r="W66" s="9" t="s">
        <v>35</v>
      </c>
      <c r="Y66" s="9" t="s">
        <v>35</v>
      </c>
    </row>
    <row r="67" spans="1:25" s="17" customFormat="1" ht="120">
      <c r="A67" s="14" t="s">
        <v>364</v>
      </c>
      <c r="B67" s="14" t="s">
        <v>47</v>
      </c>
      <c r="C67" s="14" t="s">
        <v>25</v>
      </c>
      <c r="D67" s="14" t="s">
        <v>330</v>
      </c>
      <c r="E67" s="14" t="s">
        <v>340</v>
      </c>
      <c r="F67" s="14" t="s">
        <v>28</v>
      </c>
      <c r="G67" s="14" t="s">
        <v>28</v>
      </c>
      <c r="H67" s="14" t="s">
        <v>28</v>
      </c>
      <c r="I67" s="15" t="s">
        <v>365</v>
      </c>
      <c r="J67" s="14" t="s">
        <v>24</v>
      </c>
      <c r="K67" s="14" t="s">
        <v>366</v>
      </c>
      <c r="L67" s="14" t="s">
        <v>28</v>
      </c>
      <c r="M67" s="14" t="s">
        <v>69</v>
      </c>
      <c r="N67" s="14" t="s">
        <v>24</v>
      </c>
      <c r="O67" s="14" t="s">
        <v>63</v>
      </c>
      <c r="P67" s="14" t="s">
        <v>24</v>
      </c>
      <c r="Q67" s="14" t="s">
        <v>54</v>
      </c>
      <c r="R67" s="14" t="s">
        <v>345</v>
      </c>
      <c r="S67" s="15" t="s">
        <v>35</v>
      </c>
      <c r="T67" s="14" t="s">
        <v>367</v>
      </c>
      <c r="U67" s="16" t="s">
        <v>496</v>
      </c>
      <c r="V67" s="16"/>
      <c r="W67" s="16"/>
      <c r="Y67" s="16"/>
    </row>
    <row r="68" spans="1:25" ht="94.5">
      <c r="A68" s="5" t="s">
        <v>368</v>
      </c>
      <c r="B68" s="5" t="s">
        <v>369</v>
      </c>
      <c r="C68" s="5" t="s">
        <v>25</v>
      </c>
      <c r="D68" s="5" t="s">
        <v>28</v>
      </c>
      <c r="E68" s="5" t="s">
        <v>28</v>
      </c>
      <c r="F68" s="5" t="s">
        <v>28</v>
      </c>
      <c r="G68" s="5" t="s">
        <v>28</v>
      </c>
      <c r="H68" s="5" t="s">
        <v>28</v>
      </c>
      <c r="I68" s="6" t="s">
        <v>370</v>
      </c>
      <c r="J68" s="5" t="s">
        <v>108</v>
      </c>
      <c r="K68" s="5" t="s">
        <v>371</v>
      </c>
      <c r="L68" s="5" t="s">
        <v>28</v>
      </c>
      <c r="M68" s="5" t="s">
        <v>69</v>
      </c>
      <c r="N68" s="5" t="s">
        <v>372</v>
      </c>
      <c r="O68" s="5" t="s">
        <v>499</v>
      </c>
      <c r="P68" s="5" t="s">
        <v>24</v>
      </c>
      <c r="Q68" s="5" t="s">
        <v>54</v>
      </c>
      <c r="R68" s="5" t="s">
        <v>24</v>
      </c>
      <c r="S68" s="6" t="s">
        <v>35</v>
      </c>
      <c r="T68" s="5" t="s">
        <v>373</v>
      </c>
      <c r="U68" s="9" t="s">
        <v>35</v>
      </c>
      <c r="V68" s="9"/>
      <c r="W68" s="9" t="s">
        <v>35</v>
      </c>
      <c r="Y68" s="9" t="s">
        <v>35</v>
      </c>
    </row>
    <row r="69" spans="1:25" ht="94.5">
      <c r="A69" s="5" t="s">
        <v>374</v>
      </c>
      <c r="B69" s="5" t="s">
        <v>369</v>
      </c>
      <c r="C69" s="5" t="s">
        <v>25</v>
      </c>
      <c r="D69" s="5" t="s">
        <v>28</v>
      </c>
      <c r="E69" s="5" t="s">
        <v>28</v>
      </c>
      <c r="F69" s="5" t="s">
        <v>28</v>
      </c>
      <c r="G69" s="5" t="s">
        <v>28</v>
      </c>
      <c r="H69" s="5" t="s">
        <v>28</v>
      </c>
      <c r="I69" s="6" t="s">
        <v>375</v>
      </c>
      <c r="J69" s="5" t="s">
        <v>24</v>
      </c>
      <c r="K69" s="5" t="s">
        <v>376</v>
      </c>
      <c r="L69" s="5" t="s">
        <v>28</v>
      </c>
      <c r="M69" s="5" t="s">
        <v>69</v>
      </c>
      <c r="N69" s="5" t="s">
        <v>377</v>
      </c>
      <c r="O69" s="5" t="s">
        <v>499</v>
      </c>
      <c r="P69" s="5" t="s">
        <v>24</v>
      </c>
      <c r="Q69" s="5" t="s">
        <v>54</v>
      </c>
      <c r="R69" s="5" t="s">
        <v>24</v>
      </c>
      <c r="S69" s="6" t="s">
        <v>35</v>
      </c>
      <c r="T69" s="5" t="s">
        <v>373</v>
      </c>
      <c r="U69" s="9" t="s">
        <v>35</v>
      </c>
      <c r="V69" s="9"/>
      <c r="W69" s="9" t="s">
        <v>35</v>
      </c>
      <c r="Y69" s="9" t="s">
        <v>35</v>
      </c>
    </row>
    <row r="70" spans="1:25" ht="113.25">
      <c r="A70" s="5" t="s">
        <v>378</v>
      </c>
      <c r="B70" s="5" t="s">
        <v>369</v>
      </c>
      <c r="C70" s="5" t="s">
        <v>25</v>
      </c>
      <c r="D70" s="5" t="s">
        <v>28</v>
      </c>
      <c r="E70" s="5" t="s">
        <v>28</v>
      </c>
      <c r="F70" s="5" t="s">
        <v>28</v>
      </c>
      <c r="G70" s="5" t="s">
        <v>28</v>
      </c>
      <c r="H70" s="5" t="s">
        <v>28</v>
      </c>
      <c r="I70" s="6" t="s">
        <v>379</v>
      </c>
      <c r="J70" s="5" t="s">
        <v>108</v>
      </c>
      <c r="K70" s="5" t="s">
        <v>380</v>
      </c>
      <c r="L70" s="5" t="s">
        <v>28</v>
      </c>
      <c r="M70" s="5" t="s">
        <v>69</v>
      </c>
      <c r="N70" s="5" t="s">
        <v>377</v>
      </c>
      <c r="O70" s="5" t="s">
        <v>495</v>
      </c>
      <c r="P70" s="5" t="s">
        <v>24</v>
      </c>
      <c r="Q70" s="5" t="s">
        <v>54</v>
      </c>
      <c r="R70" s="5" t="s">
        <v>24</v>
      </c>
      <c r="S70" s="6" t="s">
        <v>35</v>
      </c>
      <c r="T70" s="5" t="s">
        <v>373</v>
      </c>
      <c r="U70" s="9" t="s">
        <v>35</v>
      </c>
      <c r="V70" s="9"/>
      <c r="W70" s="9" t="s">
        <v>35</v>
      </c>
      <c r="Y70" s="9" t="s">
        <v>35</v>
      </c>
    </row>
    <row r="71" spans="1:25" ht="94.5">
      <c r="A71" s="5" t="s">
        <v>381</v>
      </c>
      <c r="B71" s="5" t="s">
        <v>369</v>
      </c>
      <c r="C71" s="5" t="s">
        <v>25</v>
      </c>
      <c r="D71" s="5" t="s">
        <v>28</v>
      </c>
      <c r="E71" s="5" t="s">
        <v>28</v>
      </c>
      <c r="F71" s="5" t="s">
        <v>28</v>
      </c>
      <c r="G71" s="5" t="s">
        <v>28</v>
      </c>
      <c r="H71" s="5" t="s">
        <v>28</v>
      </c>
      <c r="I71" s="6" t="s">
        <v>382</v>
      </c>
      <c r="J71" s="5" t="s">
        <v>24</v>
      </c>
      <c r="K71" s="5" t="s">
        <v>24</v>
      </c>
      <c r="L71" s="5" t="s">
        <v>24</v>
      </c>
      <c r="M71" s="5" t="s">
        <v>69</v>
      </c>
      <c r="N71" s="5" t="s">
        <v>372</v>
      </c>
      <c r="O71" s="5" t="s">
        <v>499</v>
      </c>
      <c r="P71" s="5" t="s">
        <v>24</v>
      </c>
      <c r="Q71" s="5" t="s">
        <v>54</v>
      </c>
      <c r="R71" s="5" t="s">
        <v>383</v>
      </c>
      <c r="S71" s="6" t="s">
        <v>35</v>
      </c>
      <c r="T71" s="5" t="s">
        <v>373</v>
      </c>
      <c r="U71" s="9" t="s">
        <v>65</v>
      </c>
      <c r="V71" s="9"/>
      <c r="W71" s="9"/>
      <c r="Y71" s="9"/>
    </row>
    <row r="72" spans="1:25" ht="57">
      <c r="A72" s="5" t="s">
        <v>384</v>
      </c>
      <c r="B72" s="5" t="s">
        <v>369</v>
      </c>
      <c r="C72" s="5" t="s">
        <v>25</v>
      </c>
      <c r="D72" s="5" t="s">
        <v>28</v>
      </c>
      <c r="E72" s="5" t="s">
        <v>28</v>
      </c>
      <c r="F72" s="5" t="s">
        <v>28</v>
      </c>
      <c r="G72" s="5" t="s">
        <v>28</v>
      </c>
      <c r="H72" s="5" t="s">
        <v>28</v>
      </c>
      <c r="I72" s="6" t="s">
        <v>385</v>
      </c>
      <c r="J72" s="5" t="s">
        <v>24</v>
      </c>
      <c r="K72" s="5" t="s">
        <v>24</v>
      </c>
      <c r="L72" s="5" t="s">
        <v>24</v>
      </c>
      <c r="M72" s="5" t="s">
        <v>69</v>
      </c>
      <c r="N72" s="5" t="s">
        <v>377</v>
      </c>
      <c r="O72" s="5" t="s">
        <v>499</v>
      </c>
      <c r="P72" s="5" t="s">
        <v>24</v>
      </c>
      <c r="Q72" s="5" t="s">
        <v>54</v>
      </c>
      <c r="R72" s="5" t="s">
        <v>24</v>
      </c>
      <c r="S72" s="6" t="s">
        <v>35</v>
      </c>
      <c r="T72" s="5" t="s">
        <v>373</v>
      </c>
      <c r="U72" s="9" t="s">
        <v>65</v>
      </c>
      <c r="V72" s="9"/>
      <c r="W72" s="9"/>
      <c r="Y72" s="9"/>
    </row>
    <row r="73" spans="1:25" ht="37.5">
      <c r="A73" s="5" t="s">
        <v>386</v>
      </c>
      <c r="B73" s="5" t="s">
        <v>369</v>
      </c>
      <c r="C73" s="5" t="s">
        <v>25</v>
      </c>
      <c r="D73" s="5" t="s">
        <v>28</v>
      </c>
      <c r="E73" s="5" t="s">
        <v>28</v>
      </c>
      <c r="F73" s="5" t="s">
        <v>28</v>
      </c>
      <c r="G73" s="5" t="s">
        <v>28</v>
      </c>
      <c r="H73" s="5" t="s">
        <v>28</v>
      </c>
      <c r="I73" s="6" t="s">
        <v>387</v>
      </c>
      <c r="J73" s="5" t="s">
        <v>24</v>
      </c>
      <c r="K73" s="5" t="s">
        <v>24</v>
      </c>
      <c r="L73" s="5" t="s">
        <v>24</v>
      </c>
      <c r="M73" s="5" t="s">
        <v>69</v>
      </c>
      <c r="N73" s="5" t="s">
        <v>372</v>
      </c>
      <c r="O73" s="5" t="s">
        <v>495</v>
      </c>
      <c r="P73" s="5" t="s">
        <v>24</v>
      </c>
      <c r="Q73" s="5" t="s">
        <v>54</v>
      </c>
      <c r="R73" s="5" t="s">
        <v>24</v>
      </c>
      <c r="S73" s="6" t="s">
        <v>35</v>
      </c>
      <c r="T73" s="5" t="s">
        <v>373</v>
      </c>
      <c r="U73" s="9" t="s">
        <v>65</v>
      </c>
      <c r="V73" s="9"/>
      <c r="W73" s="9"/>
      <c r="Y73" s="9"/>
    </row>
    <row r="74" spans="1:25" ht="96.75">
      <c r="A74" s="5" t="s">
        <v>388</v>
      </c>
      <c r="B74" s="5" t="s">
        <v>369</v>
      </c>
      <c r="C74" s="5" t="s">
        <v>25</v>
      </c>
      <c r="D74" s="5" t="s">
        <v>28</v>
      </c>
      <c r="E74" s="5" t="s">
        <v>28</v>
      </c>
      <c r="F74" s="5" t="s">
        <v>28</v>
      </c>
      <c r="G74" s="5" t="s">
        <v>28</v>
      </c>
      <c r="H74" s="5" t="s">
        <v>28</v>
      </c>
      <c r="I74" s="6" t="s">
        <v>389</v>
      </c>
      <c r="J74" s="5" t="s">
        <v>24</v>
      </c>
      <c r="K74" s="5" t="s">
        <v>24</v>
      </c>
      <c r="L74" s="5" t="s">
        <v>24</v>
      </c>
      <c r="M74" s="5" t="s">
        <v>69</v>
      </c>
      <c r="N74" s="5" t="s">
        <v>377</v>
      </c>
      <c r="O74" s="5" t="s">
        <v>495</v>
      </c>
      <c r="P74" s="5" t="s">
        <v>24</v>
      </c>
      <c r="Q74" s="5" t="s">
        <v>54</v>
      </c>
      <c r="R74" s="5" t="s">
        <v>390</v>
      </c>
      <c r="S74" s="6" t="s">
        <v>35</v>
      </c>
      <c r="T74" s="5"/>
      <c r="U74" s="9" t="s">
        <v>35</v>
      </c>
      <c r="V74" s="18" t="s">
        <v>509</v>
      </c>
      <c r="W74" s="9" t="s">
        <v>35</v>
      </c>
      <c r="Y74" s="9" t="s">
        <v>35</v>
      </c>
    </row>
    <row r="75" spans="1:25" ht="94.5">
      <c r="A75" s="5" t="s">
        <v>391</v>
      </c>
      <c r="B75" s="5" t="s">
        <v>369</v>
      </c>
      <c r="C75" s="5" t="s">
        <v>25</v>
      </c>
      <c r="D75" s="5" t="s">
        <v>28</v>
      </c>
      <c r="E75" s="5" t="s">
        <v>28</v>
      </c>
      <c r="F75" s="5" t="s">
        <v>28</v>
      </c>
      <c r="G75" s="5" t="s">
        <v>28</v>
      </c>
      <c r="H75" s="5" t="s">
        <v>28</v>
      </c>
      <c r="I75" s="6" t="s">
        <v>392</v>
      </c>
      <c r="J75" s="5" t="s">
        <v>393</v>
      </c>
      <c r="K75" s="5" t="s">
        <v>24</v>
      </c>
      <c r="L75" s="5" t="s">
        <v>24</v>
      </c>
      <c r="M75" s="5" t="s">
        <v>69</v>
      </c>
      <c r="N75" s="5" t="s">
        <v>377</v>
      </c>
      <c r="O75" s="5" t="s">
        <v>495</v>
      </c>
      <c r="P75" s="5" t="s">
        <v>24</v>
      </c>
      <c r="Q75" s="5" t="s">
        <v>63</v>
      </c>
      <c r="R75" s="5" t="s">
        <v>394</v>
      </c>
      <c r="S75" s="6" t="s">
        <v>35</v>
      </c>
      <c r="T75" s="5"/>
      <c r="U75" s="9" t="s">
        <v>65</v>
      </c>
      <c r="V75" s="9"/>
      <c r="W75" s="9"/>
      <c r="Y75" s="9"/>
    </row>
    <row r="76" spans="1:25" s="17" customFormat="1" ht="113.25">
      <c r="A76" s="14" t="s">
        <v>395</v>
      </c>
      <c r="B76" s="14" t="s">
        <v>396</v>
      </c>
      <c r="C76" s="14" t="s">
        <v>54</v>
      </c>
      <c r="D76" s="14" t="s">
        <v>28</v>
      </c>
      <c r="E76" s="14" t="s">
        <v>28</v>
      </c>
      <c r="F76" s="14" t="s">
        <v>28</v>
      </c>
      <c r="G76" s="14" t="s">
        <v>28</v>
      </c>
      <c r="H76" s="14" t="s">
        <v>28</v>
      </c>
      <c r="I76" s="15" t="s">
        <v>397</v>
      </c>
      <c r="J76" s="14" t="s">
        <v>398</v>
      </c>
      <c r="K76" s="14" t="s">
        <v>399</v>
      </c>
      <c r="L76" s="14" t="s">
        <v>28</v>
      </c>
      <c r="M76" s="14" t="s">
        <v>24</v>
      </c>
      <c r="N76" s="14" t="s">
        <v>24</v>
      </c>
      <c r="O76" s="14" t="s">
        <v>24</v>
      </c>
      <c r="P76" s="14" t="s">
        <v>24</v>
      </c>
      <c r="Q76" s="14" t="s">
        <v>24</v>
      </c>
      <c r="R76" s="14" t="s">
        <v>24</v>
      </c>
      <c r="S76" s="15" t="s">
        <v>35</v>
      </c>
      <c r="T76" s="14"/>
      <c r="U76" s="16" t="s">
        <v>35</v>
      </c>
      <c r="V76" s="16" t="s">
        <v>510</v>
      </c>
      <c r="W76" s="16" t="s">
        <v>35</v>
      </c>
      <c r="Y76" s="16" t="s">
        <v>65</v>
      </c>
    </row>
    <row r="77" spans="1:25" ht="80.099999999999994">
      <c r="A77" s="5" t="s">
        <v>400</v>
      </c>
      <c r="B77" s="5" t="s">
        <v>51</v>
      </c>
      <c r="C77" s="5" t="s">
        <v>25</v>
      </c>
      <c r="D77" s="5" t="s">
        <v>401</v>
      </c>
      <c r="E77" s="5" t="s">
        <v>28</v>
      </c>
      <c r="F77" s="5" t="s">
        <v>28</v>
      </c>
      <c r="G77" s="5" t="s">
        <v>28</v>
      </c>
      <c r="H77" s="5" t="s">
        <v>28</v>
      </c>
      <c r="I77" s="6" t="s">
        <v>402</v>
      </c>
      <c r="J77" s="5" t="s">
        <v>24</v>
      </c>
      <c r="K77" s="5" t="s">
        <v>403</v>
      </c>
      <c r="L77" s="5" t="s">
        <v>28</v>
      </c>
      <c r="M77" s="5" t="s">
        <v>24</v>
      </c>
      <c r="N77" s="5" t="s">
        <v>24</v>
      </c>
      <c r="O77" s="5" t="s">
        <v>24</v>
      </c>
      <c r="P77" s="5" t="s">
        <v>24</v>
      </c>
      <c r="Q77" s="5" t="s">
        <v>54</v>
      </c>
      <c r="R77" s="5" t="s">
        <v>24</v>
      </c>
      <c r="S77" s="6" t="s">
        <v>35</v>
      </c>
      <c r="T77" s="5"/>
      <c r="U77" s="9" t="s">
        <v>35</v>
      </c>
      <c r="V77" s="9"/>
      <c r="W77" s="9" t="s">
        <v>35</v>
      </c>
      <c r="Y77" s="9" t="s">
        <v>35</v>
      </c>
    </row>
    <row r="78" spans="1:25" ht="75.75">
      <c r="A78" s="5" t="s">
        <v>404</v>
      </c>
      <c r="B78" s="5" t="s">
        <v>51</v>
      </c>
      <c r="C78" s="5" t="s">
        <v>25</v>
      </c>
      <c r="D78" s="5" t="s">
        <v>405</v>
      </c>
      <c r="E78" s="5" t="s">
        <v>28</v>
      </c>
      <c r="F78" s="5" t="s">
        <v>28</v>
      </c>
      <c r="G78" s="5" t="s">
        <v>28</v>
      </c>
      <c r="H78" s="5" t="s">
        <v>28</v>
      </c>
      <c r="I78" s="6" t="s">
        <v>406</v>
      </c>
      <c r="J78" s="5" t="s">
        <v>407</v>
      </c>
      <c r="K78" s="5" t="s">
        <v>408</v>
      </c>
      <c r="L78" s="5" t="s">
        <v>28</v>
      </c>
      <c r="M78" s="5" t="s">
        <v>24</v>
      </c>
      <c r="N78" s="5" t="s">
        <v>24</v>
      </c>
      <c r="O78" s="5" t="s">
        <v>24</v>
      </c>
      <c r="P78" s="5" t="s">
        <v>24</v>
      </c>
      <c r="Q78" s="5" t="s">
        <v>24</v>
      </c>
      <c r="R78" s="5" t="s">
        <v>24</v>
      </c>
      <c r="S78" s="6" t="s">
        <v>35</v>
      </c>
      <c r="T78" s="5"/>
      <c r="U78" s="9" t="s">
        <v>35</v>
      </c>
      <c r="V78" s="9"/>
      <c r="W78" s="9" t="s">
        <v>35</v>
      </c>
      <c r="X78" s="20" t="s">
        <v>511</v>
      </c>
      <c r="Y78" s="9" t="s">
        <v>65</v>
      </c>
    </row>
    <row r="79" spans="1:25" ht="120">
      <c r="A79" s="5" t="s">
        <v>409</v>
      </c>
      <c r="B79" s="5" t="s">
        <v>51</v>
      </c>
      <c r="C79" s="5" t="s">
        <v>25</v>
      </c>
      <c r="D79" s="5" t="s">
        <v>410</v>
      </c>
      <c r="E79" s="5" t="s">
        <v>28</v>
      </c>
      <c r="F79" s="5" t="s">
        <v>28</v>
      </c>
      <c r="G79" s="5" t="s">
        <v>28</v>
      </c>
      <c r="H79" s="5" t="s">
        <v>28</v>
      </c>
      <c r="I79" s="6" t="s">
        <v>411</v>
      </c>
      <c r="J79" s="5" t="s">
        <v>412</v>
      </c>
      <c r="K79" s="5" t="s">
        <v>413</v>
      </c>
      <c r="L79" s="5" t="s">
        <v>28</v>
      </c>
      <c r="M79" s="5" t="s">
        <v>24</v>
      </c>
      <c r="N79" s="5" t="s">
        <v>24</v>
      </c>
      <c r="O79" s="5" t="s">
        <v>24</v>
      </c>
      <c r="P79" s="5" t="s">
        <v>24</v>
      </c>
      <c r="Q79" s="5" t="s">
        <v>24</v>
      </c>
      <c r="R79" s="5" t="s">
        <v>24</v>
      </c>
      <c r="S79" s="6" t="s">
        <v>65</v>
      </c>
      <c r="T79" s="5" t="s">
        <v>512</v>
      </c>
      <c r="U79" s="9"/>
      <c r="V79" s="9"/>
      <c r="W79" s="9"/>
      <c r="Y79" s="9"/>
    </row>
    <row r="80" spans="1:25" ht="39.950000000000003">
      <c r="A80" s="5" t="s">
        <v>414</v>
      </c>
      <c r="B80" s="5" t="s">
        <v>51</v>
      </c>
      <c r="C80" s="5" t="s">
        <v>25</v>
      </c>
      <c r="D80" s="5" t="s">
        <v>410</v>
      </c>
      <c r="E80" s="5" t="s">
        <v>28</v>
      </c>
      <c r="F80" s="5" t="s">
        <v>28</v>
      </c>
      <c r="G80" s="5" t="s">
        <v>28</v>
      </c>
      <c r="H80" s="5" t="s">
        <v>28</v>
      </c>
      <c r="I80" s="6" t="s">
        <v>415</v>
      </c>
      <c r="J80" s="5" t="s">
        <v>412</v>
      </c>
      <c r="K80" s="5" t="s">
        <v>416</v>
      </c>
      <c r="L80" s="5" t="s">
        <v>28</v>
      </c>
      <c r="M80" s="5" t="s">
        <v>24</v>
      </c>
      <c r="N80" s="5" t="s">
        <v>24</v>
      </c>
      <c r="O80" s="5" t="s">
        <v>24</v>
      </c>
      <c r="P80" s="5" t="s">
        <v>24</v>
      </c>
      <c r="Q80" s="5" t="s">
        <v>24</v>
      </c>
      <c r="R80" s="5" t="s">
        <v>24</v>
      </c>
      <c r="S80" s="6" t="s">
        <v>65</v>
      </c>
      <c r="T80" s="5" t="s">
        <v>512</v>
      </c>
      <c r="U80" s="9"/>
      <c r="V80" s="9"/>
      <c r="W80" s="9"/>
      <c r="Y80" s="9"/>
    </row>
    <row r="81" spans="1:25" ht="113.25">
      <c r="A81" s="5" t="s">
        <v>417</v>
      </c>
      <c r="B81" s="5" t="s">
        <v>51</v>
      </c>
      <c r="C81" s="5" t="s">
        <v>25</v>
      </c>
      <c r="D81" s="5" t="s">
        <v>410</v>
      </c>
      <c r="E81" s="5" t="s">
        <v>28</v>
      </c>
      <c r="F81" s="5" t="s">
        <v>28</v>
      </c>
      <c r="G81" s="5" t="s">
        <v>28</v>
      </c>
      <c r="H81" s="5" t="s">
        <v>28</v>
      </c>
      <c r="I81" s="6" t="s">
        <v>418</v>
      </c>
      <c r="J81" s="5" t="s">
        <v>90</v>
      </c>
      <c r="K81" s="5" t="s">
        <v>419</v>
      </c>
      <c r="L81" s="5" t="s">
        <v>28</v>
      </c>
      <c r="M81" s="5" t="s">
        <v>69</v>
      </c>
      <c r="N81" s="5" t="s">
        <v>420</v>
      </c>
      <c r="O81" s="5" t="s">
        <v>499</v>
      </c>
      <c r="P81" s="5" t="s">
        <v>24</v>
      </c>
      <c r="Q81" s="5" t="s">
        <v>54</v>
      </c>
      <c r="R81" s="5" t="s">
        <v>421</v>
      </c>
      <c r="S81" s="6" t="s">
        <v>35</v>
      </c>
      <c r="T81" s="18" t="s">
        <v>513</v>
      </c>
      <c r="U81" s="9" t="s">
        <v>65</v>
      </c>
      <c r="V81" s="9"/>
      <c r="W81" s="9"/>
      <c r="Y81" s="9"/>
    </row>
    <row r="82" spans="1:25" ht="246">
      <c r="A82" s="5" t="s">
        <v>422</v>
      </c>
      <c r="B82" s="5" t="s">
        <v>51</v>
      </c>
      <c r="C82" s="5" t="s">
        <v>25</v>
      </c>
      <c r="D82" s="5" t="s">
        <v>410</v>
      </c>
      <c r="E82" s="5" t="s">
        <v>28</v>
      </c>
      <c r="F82" s="5" t="s">
        <v>28</v>
      </c>
      <c r="G82" s="5" t="s">
        <v>28</v>
      </c>
      <c r="H82" s="5" t="s">
        <v>28</v>
      </c>
      <c r="I82" s="6" t="s">
        <v>423</v>
      </c>
      <c r="J82" s="5" t="s">
        <v>24</v>
      </c>
      <c r="K82" s="5" t="s">
        <v>424</v>
      </c>
      <c r="L82" s="5" t="s">
        <v>28</v>
      </c>
      <c r="M82" s="5" t="s">
        <v>69</v>
      </c>
      <c r="N82" s="5" t="s">
        <v>344</v>
      </c>
      <c r="O82" s="5" t="s">
        <v>495</v>
      </c>
      <c r="P82" s="5" t="s">
        <v>24</v>
      </c>
      <c r="Q82" s="5" t="s">
        <v>54</v>
      </c>
      <c r="R82" s="5" t="s">
        <v>421</v>
      </c>
      <c r="S82" s="6" t="s">
        <v>35</v>
      </c>
      <c r="T82" s="5" t="s">
        <v>79</v>
      </c>
      <c r="U82" s="9" t="s">
        <v>35</v>
      </c>
      <c r="V82" s="9"/>
      <c r="W82" s="9" t="s">
        <v>35</v>
      </c>
      <c r="Y82" s="9" t="s">
        <v>35</v>
      </c>
    </row>
    <row r="83" spans="1:25" ht="60">
      <c r="A83" s="5" t="s">
        <v>426</v>
      </c>
      <c r="B83" s="5" t="s">
        <v>51</v>
      </c>
      <c r="C83" s="5" t="s">
        <v>25</v>
      </c>
      <c r="D83" s="5" t="s">
        <v>410</v>
      </c>
      <c r="E83" s="5" t="s">
        <v>28</v>
      </c>
      <c r="F83" s="5" t="s">
        <v>28</v>
      </c>
      <c r="G83" s="5" t="s">
        <v>28</v>
      </c>
      <c r="H83" s="5" t="s">
        <v>28</v>
      </c>
      <c r="I83" s="6" t="s">
        <v>427</v>
      </c>
      <c r="J83" s="5" t="s">
        <v>428</v>
      </c>
      <c r="K83" s="5" t="s">
        <v>429</v>
      </c>
      <c r="L83" s="5" t="s">
        <v>28</v>
      </c>
      <c r="M83" s="5" t="s">
        <v>24</v>
      </c>
      <c r="N83" s="5" t="s">
        <v>24</v>
      </c>
      <c r="O83" s="5" t="s">
        <v>24</v>
      </c>
      <c r="P83" s="5" t="s">
        <v>24</v>
      </c>
      <c r="Q83" s="5" t="s">
        <v>24</v>
      </c>
      <c r="R83" s="5" t="s">
        <v>24</v>
      </c>
      <c r="S83" s="6" t="s">
        <v>65</v>
      </c>
      <c r="T83" s="5" t="s">
        <v>512</v>
      </c>
      <c r="U83" s="9"/>
      <c r="V83" s="9"/>
      <c r="W83" s="9"/>
      <c r="Y83" s="9"/>
    </row>
    <row r="84" spans="1:25" ht="132">
      <c r="A84" s="5" t="s">
        <v>430</v>
      </c>
      <c r="B84" s="5" t="s">
        <v>51</v>
      </c>
      <c r="C84" s="5" t="s">
        <v>25</v>
      </c>
      <c r="D84" s="5" t="s">
        <v>410</v>
      </c>
      <c r="E84" s="5" t="s">
        <v>28</v>
      </c>
      <c r="F84" s="5" t="s">
        <v>28</v>
      </c>
      <c r="G84" s="5" t="s">
        <v>28</v>
      </c>
      <c r="H84" s="5" t="s">
        <v>28</v>
      </c>
      <c r="I84" s="6" t="s">
        <v>431</v>
      </c>
      <c r="J84" s="5" t="s">
        <v>24</v>
      </c>
      <c r="K84" s="5" t="s">
        <v>432</v>
      </c>
      <c r="L84" s="5" t="s">
        <v>28</v>
      </c>
      <c r="M84" s="5" t="s">
        <v>33</v>
      </c>
      <c r="N84" s="5" t="s">
        <v>433</v>
      </c>
      <c r="O84" s="5" t="s">
        <v>499</v>
      </c>
      <c r="P84" s="5" t="s">
        <v>24</v>
      </c>
      <c r="Q84" s="5" t="s">
        <v>25</v>
      </c>
      <c r="R84" s="5" t="s">
        <v>434</v>
      </c>
      <c r="S84" s="6" t="s">
        <v>35</v>
      </c>
      <c r="T84" s="5"/>
      <c r="U84" s="9" t="s">
        <v>65</v>
      </c>
      <c r="V84" s="9"/>
      <c r="W84" s="9"/>
      <c r="Y84" s="9"/>
    </row>
    <row r="85" spans="1:25" ht="140.1">
      <c r="A85" s="5" t="s">
        <v>441</v>
      </c>
      <c r="B85" s="5" t="s">
        <v>51</v>
      </c>
      <c r="C85" s="5" t="s">
        <v>25</v>
      </c>
      <c r="D85" s="5" t="s">
        <v>410</v>
      </c>
      <c r="E85" s="5" t="s">
        <v>28</v>
      </c>
      <c r="F85" s="5" t="s">
        <v>28</v>
      </c>
      <c r="G85" s="5" t="s">
        <v>28</v>
      </c>
      <c r="H85" s="5" t="s">
        <v>28</v>
      </c>
      <c r="I85" s="6" t="s">
        <v>442</v>
      </c>
      <c r="J85" s="5" t="s">
        <v>165</v>
      </c>
      <c r="K85" s="5" t="s">
        <v>443</v>
      </c>
      <c r="L85" s="5" t="s">
        <v>28</v>
      </c>
      <c r="M85" s="5" t="s">
        <v>444</v>
      </c>
      <c r="N85" s="5" t="s">
        <v>28</v>
      </c>
      <c r="O85" s="5" t="s">
        <v>28</v>
      </c>
      <c r="P85" s="5" t="s">
        <v>24</v>
      </c>
      <c r="Q85" s="5" t="s">
        <v>54</v>
      </c>
      <c r="R85" s="5" t="s">
        <v>445</v>
      </c>
      <c r="S85" s="6" t="s">
        <v>35</v>
      </c>
      <c r="T85" s="5"/>
      <c r="U85" s="9" t="s">
        <v>65</v>
      </c>
      <c r="V85" s="9"/>
      <c r="W85" s="9"/>
      <c r="Y85" s="9"/>
    </row>
    <row r="86" spans="1:25" ht="140.1">
      <c r="A86" s="5" t="s">
        <v>446</v>
      </c>
      <c r="B86" s="5" t="s">
        <v>51</v>
      </c>
      <c r="C86" s="5" t="s">
        <v>25</v>
      </c>
      <c r="D86" s="5" t="s">
        <v>410</v>
      </c>
      <c r="E86" s="5" t="s">
        <v>28</v>
      </c>
      <c r="F86" s="5" t="s">
        <v>28</v>
      </c>
      <c r="G86" s="5" t="s">
        <v>28</v>
      </c>
      <c r="H86" s="5" t="s">
        <v>28</v>
      </c>
      <c r="I86" s="6" t="s">
        <v>447</v>
      </c>
      <c r="J86" s="5" t="s">
        <v>24</v>
      </c>
      <c r="K86" s="5" t="s">
        <v>448</v>
      </c>
      <c r="L86" s="5" t="s">
        <v>28</v>
      </c>
      <c r="M86" s="5" t="s">
        <v>444</v>
      </c>
      <c r="N86" s="5" t="s">
        <v>28</v>
      </c>
      <c r="O86" s="5" t="s">
        <v>28</v>
      </c>
      <c r="P86" s="5" t="s">
        <v>24</v>
      </c>
      <c r="Q86" s="5" t="s">
        <v>54</v>
      </c>
      <c r="R86" s="5" t="s">
        <v>445</v>
      </c>
      <c r="S86" s="6" t="s">
        <v>35</v>
      </c>
      <c r="T86" s="5"/>
      <c r="U86" s="9" t="s">
        <v>65</v>
      </c>
      <c r="V86" s="9"/>
      <c r="W86" s="9"/>
      <c r="Y86" s="9"/>
    </row>
    <row r="87" spans="1:25" s="17" customFormat="1" ht="409.6">
      <c r="A87" s="14" t="s">
        <v>449</v>
      </c>
      <c r="B87" s="14" t="s">
        <v>51</v>
      </c>
      <c r="C87" s="14" t="s">
        <v>25</v>
      </c>
      <c r="D87" s="14" t="s">
        <v>410</v>
      </c>
      <c r="E87" s="14" t="s">
        <v>28</v>
      </c>
      <c r="F87" s="14" t="s">
        <v>28</v>
      </c>
      <c r="G87" s="14" t="s">
        <v>28</v>
      </c>
      <c r="H87" s="14" t="s">
        <v>28</v>
      </c>
      <c r="I87" s="15" t="s">
        <v>450</v>
      </c>
      <c r="J87" s="14" t="s">
        <v>24</v>
      </c>
      <c r="K87" s="14" t="s">
        <v>451</v>
      </c>
      <c r="L87" s="14" t="s">
        <v>28</v>
      </c>
      <c r="M87" s="14" t="s">
        <v>452</v>
      </c>
      <c r="N87" s="14" t="s">
        <v>433</v>
      </c>
      <c r="O87" s="14" t="s">
        <v>499</v>
      </c>
      <c r="P87" s="14" t="s">
        <v>24</v>
      </c>
      <c r="Q87" s="14" t="s">
        <v>25</v>
      </c>
      <c r="R87" s="14" t="s">
        <v>453</v>
      </c>
      <c r="S87" s="15" t="s">
        <v>35</v>
      </c>
      <c r="T87" s="19" t="s">
        <v>514</v>
      </c>
      <c r="U87" s="16" t="s">
        <v>35</v>
      </c>
      <c r="V87" s="16"/>
      <c r="W87" s="16" t="s">
        <v>35</v>
      </c>
      <c r="Y87" s="16" t="s">
        <v>35</v>
      </c>
    </row>
    <row r="88" spans="1:25" ht="132">
      <c r="A88" s="5" t="s">
        <v>454</v>
      </c>
      <c r="B88" s="5" t="s">
        <v>51</v>
      </c>
      <c r="C88" s="5" t="s">
        <v>25</v>
      </c>
      <c r="D88" s="5" t="s">
        <v>410</v>
      </c>
      <c r="E88" s="5" t="s">
        <v>28</v>
      </c>
      <c r="F88" s="5" t="s">
        <v>28</v>
      </c>
      <c r="G88" s="5" t="s">
        <v>28</v>
      </c>
      <c r="H88" s="5" t="s">
        <v>28</v>
      </c>
      <c r="I88" s="6" t="s">
        <v>455</v>
      </c>
      <c r="J88" s="5" t="s">
        <v>24</v>
      </c>
      <c r="K88" s="5" t="s">
        <v>456</v>
      </c>
      <c r="L88" s="5" t="s">
        <v>28</v>
      </c>
      <c r="M88" s="5" t="s">
        <v>33</v>
      </c>
      <c r="N88" s="5" t="s">
        <v>420</v>
      </c>
      <c r="O88" s="5" t="s">
        <v>499</v>
      </c>
      <c r="P88" s="5" t="s">
        <v>24</v>
      </c>
      <c r="Q88" s="5" t="s">
        <v>63</v>
      </c>
      <c r="R88" s="5" t="s">
        <v>434</v>
      </c>
      <c r="S88" s="6" t="s">
        <v>35</v>
      </c>
      <c r="T88" s="5" t="s">
        <v>287</v>
      </c>
      <c r="U88" s="9" t="s">
        <v>65</v>
      </c>
      <c r="V88" s="9"/>
      <c r="W88" s="9"/>
      <c r="Y88" s="9"/>
    </row>
    <row r="89" spans="1:25" s="17" customFormat="1" ht="132">
      <c r="A89" s="14" t="s">
        <v>454</v>
      </c>
      <c r="B89" s="14" t="s">
        <v>51</v>
      </c>
      <c r="C89" s="14" t="s">
        <v>25</v>
      </c>
      <c r="D89" s="14" t="s">
        <v>410</v>
      </c>
      <c r="E89" s="14" t="s">
        <v>28</v>
      </c>
      <c r="F89" s="14" t="s">
        <v>28</v>
      </c>
      <c r="G89" s="14" t="s">
        <v>28</v>
      </c>
      <c r="H89" s="14" t="s">
        <v>28</v>
      </c>
      <c r="I89" s="15" t="s">
        <v>457</v>
      </c>
      <c r="J89" s="14" t="s">
        <v>24</v>
      </c>
      <c r="K89" s="14" t="s">
        <v>458</v>
      </c>
      <c r="L89" s="14" t="s">
        <v>28</v>
      </c>
      <c r="M89" s="14" t="s">
        <v>33</v>
      </c>
      <c r="N89" s="14" t="s">
        <v>433</v>
      </c>
      <c r="O89" s="14" t="s">
        <v>499</v>
      </c>
      <c r="P89" s="14" t="s">
        <v>24</v>
      </c>
      <c r="Q89" s="14" t="s">
        <v>63</v>
      </c>
      <c r="R89" s="14" t="s">
        <v>434</v>
      </c>
      <c r="S89" s="15" t="s">
        <v>35</v>
      </c>
      <c r="T89" s="14" t="s">
        <v>287</v>
      </c>
      <c r="U89" s="16" t="s">
        <v>496</v>
      </c>
      <c r="V89" s="16" t="s">
        <v>515</v>
      </c>
      <c r="W89" s="16"/>
      <c r="Y89" s="16"/>
    </row>
    <row r="90" spans="1:25" ht="140.1">
      <c r="A90" s="5" t="s">
        <v>470</v>
      </c>
      <c r="B90" s="5" t="s">
        <v>51</v>
      </c>
      <c r="C90" s="5" t="s">
        <v>25</v>
      </c>
      <c r="D90" s="5" t="s">
        <v>471</v>
      </c>
      <c r="E90" s="5" t="s">
        <v>28</v>
      </c>
      <c r="F90" s="5" t="s">
        <v>28</v>
      </c>
      <c r="G90" s="5" t="s">
        <v>28</v>
      </c>
      <c r="H90" s="5" t="s">
        <v>28</v>
      </c>
      <c r="I90" s="6" t="s">
        <v>472</v>
      </c>
      <c r="J90" s="5" t="s">
        <v>24</v>
      </c>
      <c r="K90" s="5" t="s">
        <v>473</v>
      </c>
      <c r="L90" s="5" t="s">
        <v>28</v>
      </c>
      <c r="M90" s="5" t="s">
        <v>444</v>
      </c>
      <c r="N90" s="5" t="s">
        <v>28</v>
      </c>
      <c r="O90" s="5" t="s">
        <v>28</v>
      </c>
      <c r="P90" s="5" t="s">
        <v>24</v>
      </c>
      <c r="Q90" s="5" t="s">
        <v>54</v>
      </c>
      <c r="R90" s="5" t="s">
        <v>445</v>
      </c>
      <c r="S90" s="6" t="s">
        <v>35</v>
      </c>
      <c r="T90" s="5" t="s">
        <v>261</v>
      </c>
      <c r="U90" s="9" t="s">
        <v>35</v>
      </c>
      <c r="V90" s="9"/>
      <c r="W90" s="9" t="s">
        <v>35</v>
      </c>
      <c r="Y90" s="9" t="s">
        <v>35</v>
      </c>
    </row>
    <row r="91" spans="1:25" ht="140.1">
      <c r="A91" s="5" t="s">
        <v>478</v>
      </c>
      <c r="B91" s="5" t="s">
        <v>51</v>
      </c>
      <c r="C91" s="5" t="s">
        <v>25</v>
      </c>
      <c r="D91" s="5" t="s">
        <v>479</v>
      </c>
      <c r="E91" s="5" t="s">
        <v>28</v>
      </c>
      <c r="F91" s="5" t="s">
        <v>28</v>
      </c>
      <c r="G91" s="5" t="s">
        <v>28</v>
      </c>
      <c r="H91" s="5" t="s">
        <v>28</v>
      </c>
      <c r="I91" s="6" t="s">
        <v>480</v>
      </c>
      <c r="J91" s="5" t="s">
        <v>24</v>
      </c>
      <c r="K91" s="5" t="s">
        <v>481</v>
      </c>
      <c r="L91" s="5" t="s">
        <v>28</v>
      </c>
      <c r="M91" s="5" t="s">
        <v>444</v>
      </c>
      <c r="N91" s="5" t="s">
        <v>28</v>
      </c>
      <c r="O91" s="5" t="s">
        <v>28</v>
      </c>
      <c r="P91" s="5" t="s">
        <v>24</v>
      </c>
      <c r="Q91" s="5" t="s">
        <v>54</v>
      </c>
      <c r="R91" s="5" t="s">
        <v>445</v>
      </c>
      <c r="S91" s="6" t="s">
        <v>35</v>
      </c>
      <c r="T91" s="18" t="s">
        <v>516</v>
      </c>
      <c r="U91" s="9" t="s">
        <v>35</v>
      </c>
      <c r="V91" s="9"/>
      <c r="W91" s="9" t="s">
        <v>35</v>
      </c>
      <c r="Y91" s="9" t="s">
        <v>35</v>
      </c>
    </row>
    <row r="92" spans="1:25" s="17" customFormat="1" ht="99.95">
      <c r="A92" s="14" t="s">
        <v>482</v>
      </c>
      <c r="B92" s="14" t="s">
        <v>51</v>
      </c>
      <c r="C92" s="14" t="s">
        <v>25</v>
      </c>
      <c r="D92" s="14" t="s">
        <v>479</v>
      </c>
      <c r="E92" s="14" t="s">
        <v>28</v>
      </c>
      <c r="F92" s="14" t="s">
        <v>28</v>
      </c>
      <c r="G92" s="14" t="s">
        <v>28</v>
      </c>
      <c r="H92" s="14" t="s">
        <v>28</v>
      </c>
      <c r="I92" s="15" t="s">
        <v>483</v>
      </c>
      <c r="J92" s="14" t="s">
        <v>24</v>
      </c>
      <c r="K92" s="14" t="s">
        <v>484</v>
      </c>
      <c r="L92" s="14" t="s">
        <v>28</v>
      </c>
      <c r="M92" s="14" t="s">
        <v>24</v>
      </c>
      <c r="N92" s="14" t="s">
        <v>24</v>
      </c>
      <c r="O92" s="14" t="s">
        <v>24</v>
      </c>
      <c r="P92" s="14" t="s">
        <v>24</v>
      </c>
      <c r="Q92" s="14" t="s">
        <v>54</v>
      </c>
      <c r="R92" s="14" t="s">
        <v>24</v>
      </c>
      <c r="S92" s="15" t="s">
        <v>35</v>
      </c>
      <c r="T92" s="14" t="s">
        <v>287</v>
      </c>
      <c r="U92" s="16" t="s">
        <v>496</v>
      </c>
      <c r="V92" s="16"/>
      <c r="W92" s="16"/>
      <c r="Y92" s="16"/>
    </row>
    <row r="93" spans="1:25" ht="99.95">
      <c r="A93" s="5" t="s">
        <v>485</v>
      </c>
      <c r="B93" s="5" t="s">
        <v>51</v>
      </c>
      <c r="C93" s="5" t="s">
        <v>25</v>
      </c>
      <c r="D93" s="5" t="s">
        <v>479</v>
      </c>
      <c r="E93" s="5" t="s">
        <v>28</v>
      </c>
      <c r="F93" s="5" t="s">
        <v>28</v>
      </c>
      <c r="G93" s="5" t="s">
        <v>28</v>
      </c>
      <c r="H93" s="5" t="s">
        <v>28</v>
      </c>
      <c r="I93" s="6" t="s">
        <v>486</v>
      </c>
      <c r="J93" s="5" t="s">
        <v>24</v>
      </c>
      <c r="K93" s="5" t="s">
        <v>487</v>
      </c>
      <c r="L93" s="5" t="s">
        <v>28</v>
      </c>
      <c r="M93" s="5" t="s">
        <v>24</v>
      </c>
      <c r="N93" s="5" t="s">
        <v>24</v>
      </c>
      <c r="O93" s="5" t="s">
        <v>24</v>
      </c>
      <c r="P93" s="5" t="s">
        <v>24</v>
      </c>
      <c r="Q93" s="5" t="s">
        <v>54</v>
      </c>
      <c r="R93" s="5" t="s">
        <v>24</v>
      </c>
      <c r="S93" s="6" t="s">
        <v>35</v>
      </c>
      <c r="T93" s="5" t="s">
        <v>287</v>
      </c>
      <c r="U93" s="9" t="s">
        <v>65</v>
      </c>
      <c r="V93" s="9"/>
      <c r="W93" s="9"/>
      <c r="Y93" s="9"/>
    </row>
    <row r="98" spans="11:23">
      <c r="K98" t="s">
        <v>517</v>
      </c>
      <c r="L98">
        <f>COUNTIF(O:O,"Dynamic")</f>
        <v>42</v>
      </c>
      <c r="M98">
        <f>COUNTIF(O:O,"Static")</f>
        <v>33</v>
      </c>
    </row>
    <row r="100" spans="11:23">
      <c r="V100">
        <v>92</v>
      </c>
    </row>
    <row r="101" spans="11:23">
      <c r="V101">
        <f>COUNTIF(U:U,"Yes")</f>
        <v>41</v>
      </c>
      <c r="W101">
        <f>V100-V101</f>
        <v>51</v>
      </c>
    </row>
    <row r="102" spans="11:23">
      <c r="V102">
        <f>COUNTIF(W:W,"Yes")</f>
        <v>38</v>
      </c>
      <c r="W102">
        <v>3</v>
      </c>
    </row>
    <row r="103" spans="11:23">
      <c r="V103">
        <f>COUNTIF(Y:Y,"Yes")</f>
        <v>36</v>
      </c>
      <c r="W103">
        <v>2</v>
      </c>
    </row>
  </sheetData>
  <autoFilter ref="A1:Z93" xr:uid="{4574E416-6ED5-8C4E-9455-6E1B7657ED26}"/>
  <conditionalFormatting sqref="S1:S93">
    <cfRule type="colorScale" priority="48">
      <colorScale>
        <cfvo type="min"/>
        <cfvo type="percentile" val="50"/>
        <cfvo type="max"/>
        <color rgb="FF63BE7B"/>
        <color rgb="FFFFEB84"/>
        <color rgb="FFF8696B"/>
      </colorScale>
    </cfRule>
  </conditionalFormatting>
  <conditionalFormatting sqref="U1">
    <cfRule type="colorScale" priority="44">
      <colorScale>
        <cfvo type="min"/>
        <cfvo type="percentile" val="50"/>
        <cfvo type="max"/>
        <color rgb="FF63BE7B"/>
        <color rgb="FFFFEB84"/>
        <color rgb="FFF8696B"/>
      </colorScale>
    </cfRule>
  </conditionalFormatting>
  <conditionalFormatting sqref="U2:U93">
    <cfRule type="colorScale" priority="32">
      <colorScale>
        <cfvo type="min"/>
        <cfvo type="percentile" val="50"/>
        <cfvo type="max"/>
        <color rgb="FF63BE7B"/>
        <color rgb="FFFFEB84"/>
        <color rgb="FFF8696B"/>
      </colorScale>
    </cfRule>
  </conditionalFormatting>
  <conditionalFormatting sqref="U1:V93">
    <cfRule type="cellIs" dxfId="74" priority="29" operator="equal">
      <formula>"?"</formula>
    </cfRule>
    <cfRule type="cellIs" dxfId="73" priority="30" operator="equal">
      <formula>"No"</formula>
    </cfRule>
    <cfRule type="cellIs" dxfId="72" priority="31" operator="equal">
      <formula>"Yes"</formula>
    </cfRule>
  </conditionalFormatting>
  <conditionalFormatting sqref="V1:V93">
    <cfRule type="colorScale" priority="40">
      <colorScale>
        <cfvo type="min"/>
        <cfvo type="percentile" val="50"/>
        <cfvo type="max"/>
        <color rgb="FF63BE7B"/>
        <color rgb="FFFFEB84"/>
        <color rgb="FFF8696B"/>
      </colorScale>
    </cfRule>
  </conditionalFormatting>
  <conditionalFormatting sqref="W1">
    <cfRule type="colorScale" priority="12">
      <colorScale>
        <cfvo type="min"/>
        <cfvo type="percentile" val="50"/>
        <cfvo type="max"/>
        <color rgb="FF63BE7B"/>
        <color rgb="FFFFEB84"/>
        <color rgb="FFF8696B"/>
      </colorScale>
    </cfRule>
  </conditionalFormatting>
  <conditionalFormatting sqref="W2:W67 W71:W93">
    <cfRule type="colorScale" priority="8">
      <colorScale>
        <cfvo type="min"/>
        <cfvo type="percentile" val="50"/>
        <cfvo type="max"/>
        <color rgb="FF63BE7B"/>
        <color rgb="FFFFEB84"/>
        <color rgb="FFF8696B"/>
      </colorScale>
    </cfRule>
  </conditionalFormatting>
  <conditionalFormatting sqref="W2:W93">
    <cfRule type="cellIs" dxfId="71" priority="1" operator="equal">
      <formula>"?"</formula>
    </cfRule>
    <cfRule type="cellIs" dxfId="70" priority="2" operator="equal">
      <formula>"No"</formula>
    </cfRule>
    <cfRule type="cellIs" dxfId="69" priority="3" operator="equal">
      <formula>"Yes"</formula>
    </cfRule>
  </conditionalFormatting>
  <conditionalFormatting sqref="W68:W70">
    <cfRule type="colorScale" priority="4">
      <colorScale>
        <cfvo type="min"/>
        <cfvo type="percentile" val="50"/>
        <cfvo type="max"/>
        <color rgb="FF63BE7B"/>
        <color rgb="FFFFEB84"/>
        <color rgb="FFF8696B"/>
      </colorScale>
    </cfRule>
  </conditionalFormatting>
  <conditionalFormatting sqref="W1:Z1">
    <cfRule type="cellIs" dxfId="68" priority="9" operator="equal">
      <formula>"?"</formula>
    </cfRule>
    <cfRule type="cellIs" dxfId="67" priority="10" operator="equal">
      <formula>"No"</formula>
    </cfRule>
    <cfRule type="cellIs" dxfId="66" priority="11" operator="equal">
      <formula>"Yes"</formula>
    </cfRule>
  </conditionalFormatting>
  <conditionalFormatting sqref="X1">
    <cfRule type="colorScale" priority="36">
      <colorScale>
        <cfvo type="min"/>
        <cfvo type="percentile" val="50"/>
        <cfvo type="max"/>
        <color rgb="FF63BE7B"/>
        <color rgb="FFFFEB84"/>
        <color rgb="FFF8696B"/>
      </colorScale>
    </cfRule>
  </conditionalFormatting>
  <conditionalFormatting sqref="Y1">
    <cfRule type="colorScale" priority="24">
      <colorScale>
        <cfvo type="min"/>
        <cfvo type="percentile" val="50"/>
        <cfvo type="max"/>
        <color rgb="FF63BE7B"/>
        <color rgb="FFFFEB84"/>
        <color rgb="FFF8696B"/>
      </colorScale>
    </cfRule>
  </conditionalFormatting>
  <conditionalFormatting sqref="Y2:Y93">
    <cfRule type="cellIs" dxfId="65" priority="17" operator="equal">
      <formula>"?"</formula>
    </cfRule>
    <cfRule type="cellIs" dxfId="64" priority="18" operator="equal">
      <formula>"No"</formula>
    </cfRule>
    <cfRule type="cellIs" dxfId="63" priority="19" operator="equal">
      <formula>"Yes"</formula>
    </cfRule>
    <cfRule type="colorScale" priority="20">
      <colorScale>
        <cfvo type="min"/>
        <cfvo type="percentile" val="50"/>
        <cfvo type="max"/>
        <color rgb="FF63BE7B"/>
        <color rgb="FFFFEB84"/>
        <color rgb="FFF8696B"/>
      </colorScale>
    </cfRule>
  </conditionalFormatting>
  <conditionalFormatting sqref="Z1">
    <cfRule type="colorScale" priority="16">
      <colorScale>
        <cfvo type="min"/>
        <cfvo type="percentile" val="50"/>
        <cfvo type="max"/>
        <color rgb="FF63BE7B"/>
        <color rgb="FFFFEB84"/>
        <color rgb="FFF8696B"/>
      </colorScale>
    </cfRule>
  </conditionalFormatting>
  <hyperlinks>
    <hyperlink ref="T13" r:id="rId1" xr:uid="{E9E15E38-0231-694E-8FA8-C7689D1B5814}"/>
    <hyperlink ref="V29" r:id="rId2" xr:uid="{103EFC5E-748C-7A44-A767-07FE0E2AF7E0}"/>
    <hyperlink ref="V74" r:id="rId3" xr:uid="{F9EB7169-D0A7-8745-A1F8-B2BE3B51B463}"/>
    <hyperlink ref="T87" r:id="rId4" xr:uid="{74D786AE-F0AE-EE47-8D5F-260CDC465D33}"/>
    <hyperlink ref="T91" r:id="rId5" xr:uid="{97A4A0F3-BC2F-6A4C-B413-B467CCF038D6}"/>
    <hyperlink ref="T81" r:id="rId6" xr:uid="{25ED13FE-5B6A-4A16-8EA5-4AA7945B58F7}"/>
    <hyperlink ref="T34" r:id="rId7" xr:uid="{F7CB4660-1919-420A-8513-7CBE6A241D3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16356-04E6-604E-A0B4-48E68FCEC404}">
  <dimension ref="A1:T20"/>
  <sheetViews>
    <sheetView topLeftCell="B11" workbookViewId="0">
      <selection activeCell="N19" sqref="N19"/>
    </sheetView>
  </sheetViews>
  <sheetFormatPr defaultColWidth="11" defaultRowHeight="21"/>
  <cols>
    <col min="1" max="1" width="3.875" customWidth="1"/>
    <col min="2" max="2" width="18.125" customWidth="1"/>
    <col min="3" max="5" width="31.625" customWidth="1"/>
    <col min="7" max="7" width="14.625" customWidth="1"/>
    <col min="10" max="10" width="10.125" customWidth="1"/>
    <col min="11" max="11" width="6.875" customWidth="1"/>
    <col min="14" max="14" width="10.875" style="31"/>
  </cols>
  <sheetData>
    <row r="1" spans="1:20" ht="66">
      <c r="A1" s="3" t="s">
        <v>0</v>
      </c>
      <c r="B1" s="3" t="s">
        <v>518</v>
      </c>
      <c r="C1" s="3" t="s">
        <v>519</v>
      </c>
      <c r="D1" s="3" t="s">
        <v>520</v>
      </c>
      <c r="E1" s="3" t="s">
        <v>521</v>
      </c>
      <c r="F1" s="3" t="s">
        <v>522</v>
      </c>
      <c r="G1" s="3" t="s">
        <v>523</v>
      </c>
      <c r="H1" s="3" t="s">
        <v>524</v>
      </c>
      <c r="I1" s="3" t="s">
        <v>525</v>
      </c>
      <c r="J1" s="3" t="s">
        <v>526</v>
      </c>
      <c r="K1" s="12" t="s">
        <v>527</v>
      </c>
      <c r="L1" s="4" t="s">
        <v>488</v>
      </c>
      <c r="M1" s="11" t="s">
        <v>489</v>
      </c>
      <c r="N1" s="11" t="s">
        <v>490</v>
      </c>
      <c r="O1" s="11" t="s">
        <v>491</v>
      </c>
      <c r="P1" s="11" t="s">
        <v>492</v>
      </c>
      <c r="Q1" s="11" t="s">
        <v>493</v>
      </c>
      <c r="R1" s="23" t="s">
        <v>494</v>
      </c>
      <c r="S1" s="11" t="s">
        <v>528</v>
      </c>
      <c r="T1" s="11" t="s">
        <v>529</v>
      </c>
    </row>
    <row r="2" spans="1:20" ht="140.1">
      <c r="A2" s="5">
        <v>1</v>
      </c>
      <c r="B2" s="6" t="s">
        <v>530</v>
      </c>
      <c r="C2" s="5" t="s">
        <v>531</v>
      </c>
      <c r="D2" s="5" t="s">
        <v>532</v>
      </c>
      <c r="E2" s="5" t="s">
        <v>533</v>
      </c>
      <c r="F2" s="5" t="s">
        <v>534</v>
      </c>
      <c r="G2" s="5" t="s">
        <v>535</v>
      </c>
      <c r="H2" s="5" t="s">
        <v>536</v>
      </c>
      <c r="I2" s="5" t="s">
        <v>499</v>
      </c>
      <c r="J2" s="5" t="s">
        <v>537</v>
      </c>
      <c r="K2" s="6" t="s">
        <v>35</v>
      </c>
      <c r="L2" s="5"/>
      <c r="M2" s="9" t="s">
        <v>35</v>
      </c>
      <c r="N2" s="10"/>
      <c r="O2" s="9" t="s">
        <v>35</v>
      </c>
      <c r="Q2" s="9" t="s">
        <v>35</v>
      </c>
      <c r="S2" s="22" t="s">
        <v>538</v>
      </c>
      <c r="T2" s="22" t="s">
        <v>539</v>
      </c>
    </row>
    <row r="3" spans="1:20" ht="120">
      <c r="A3" s="5">
        <v>2</v>
      </c>
      <c r="B3" s="6" t="s">
        <v>540</v>
      </c>
      <c r="C3" s="5" t="s">
        <v>541</v>
      </c>
      <c r="D3" s="5" t="s">
        <v>542</v>
      </c>
      <c r="E3" s="5" t="s">
        <v>543</v>
      </c>
      <c r="F3" s="5" t="s">
        <v>544</v>
      </c>
      <c r="G3" s="5" t="s">
        <v>535</v>
      </c>
      <c r="H3" s="5" t="s">
        <v>536</v>
      </c>
      <c r="I3" s="5" t="s">
        <v>499</v>
      </c>
      <c r="J3" s="5" t="s">
        <v>537</v>
      </c>
      <c r="K3" s="6" t="s">
        <v>35</v>
      </c>
      <c r="L3" s="5"/>
      <c r="M3" s="9" t="s">
        <v>35</v>
      </c>
      <c r="N3" s="10"/>
      <c r="O3" s="9" t="s">
        <v>35</v>
      </c>
      <c r="Q3" s="9" t="s">
        <v>35</v>
      </c>
      <c r="S3" s="22" t="s">
        <v>538</v>
      </c>
      <c r="T3" s="22" t="s">
        <v>539</v>
      </c>
    </row>
    <row r="4" spans="1:20" ht="120">
      <c r="A4" s="5">
        <v>3</v>
      </c>
      <c r="B4" s="6" t="s">
        <v>545</v>
      </c>
      <c r="C4" s="5" t="s">
        <v>546</v>
      </c>
      <c r="D4" s="5" t="s">
        <v>547</v>
      </c>
      <c r="E4" s="5" t="s">
        <v>548</v>
      </c>
      <c r="F4" s="5" t="s">
        <v>549</v>
      </c>
      <c r="G4" s="5" t="s">
        <v>535</v>
      </c>
      <c r="H4" s="5" t="s">
        <v>536</v>
      </c>
      <c r="I4" s="5" t="s">
        <v>499</v>
      </c>
      <c r="J4" s="5" t="s">
        <v>537</v>
      </c>
      <c r="K4" s="6" t="s">
        <v>35</v>
      </c>
      <c r="L4" s="5"/>
      <c r="M4" s="9" t="s">
        <v>35</v>
      </c>
      <c r="N4" s="10"/>
      <c r="O4" s="9" t="s">
        <v>35</v>
      </c>
      <c r="Q4" s="9" t="s">
        <v>35</v>
      </c>
      <c r="S4" s="22" t="s">
        <v>549</v>
      </c>
      <c r="T4" s="22" t="s">
        <v>539</v>
      </c>
    </row>
    <row r="5" spans="1:20" ht="60">
      <c r="A5" s="5">
        <v>4</v>
      </c>
      <c r="B5" s="6" t="s">
        <v>550</v>
      </c>
      <c r="C5" s="5" t="s">
        <v>551</v>
      </c>
      <c r="D5" s="5" t="s">
        <v>552</v>
      </c>
      <c r="E5" s="5" t="s">
        <v>553</v>
      </c>
      <c r="F5" s="5" t="s">
        <v>554</v>
      </c>
      <c r="G5" s="5" t="s">
        <v>535</v>
      </c>
      <c r="H5" s="5" t="s">
        <v>536</v>
      </c>
      <c r="I5" s="5" t="s">
        <v>499</v>
      </c>
      <c r="J5" s="5" t="s">
        <v>537</v>
      </c>
      <c r="K5" s="6" t="s">
        <v>35</v>
      </c>
      <c r="L5" s="5"/>
      <c r="M5" s="9" t="s">
        <v>35</v>
      </c>
      <c r="N5" s="10"/>
      <c r="O5" s="9" t="s">
        <v>35</v>
      </c>
      <c r="Q5" s="9" t="s">
        <v>35</v>
      </c>
      <c r="S5" s="22" t="s">
        <v>538</v>
      </c>
      <c r="T5" s="22" t="s">
        <v>539</v>
      </c>
    </row>
    <row r="6" spans="1:20" ht="60">
      <c r="A6" s="5">
        <v>5</v>
      </c>
      <c r="B6" s="6" t="s">
        <v>555</v>
      </c>
      <c r="C6" s="5" t="s">
        <v>556</v>
      </c>
      <c r="D6" s="5" t="s">
        <v>557</v>
      </c>
      <c r="E6" s="5"/>
      <c r="F6" s="5" t="s">
        <v>549</v>
      </c>
      <c r="G6" s="5" t="s">
        <v>535</v>
      </c>
      <c r="H6" s="5" t="s">
        <v>536</v>
      </c>
      <c r="I6" s="5" t="s">
        <v>499</v>
      </c>
      <c r="J6" s="5" t="s">
        <v>537</v>
      </c>
      <c r="K6" s="6" t="s">
        <v>35</v>
      </c>
      <c r="L6" s="5"/>
      <c r="M6" s="9" t="s">
        <v>35</v>
      </c>
      <c r="N6" s="10"/>
      <c r="O6" s="9" t="s">
        <v>35</v>
      </c>
      <c r="Q6" s="9" t="s">
        <v>35</v>
      </c>
      <c r="S6" s="22" t="s">
        <v>538</v>
      </c>
      <c r="T6" s="22" t="s">
        <v>539</v>
      </c>
    </row>
    <row r="7" spans="1:20" ht="80.099999999999994">
      <c r="A7" s="5">
        <v>6</v>
      </c>
      <c r="B7" s="6" t="s">
        <v>558</v>
      </c>
      <c r="C7" s="5" t="s">
        <v>559</v>
      </c>
      <c r="D7" s="5" t="s">
        <v>560</v>
      </c>
      <c r="E7" s="5"/>
      <c r="F7" s="5" t="s">
        <v>534</v>
      </c>
      <c r="G7" s="5" t="s">
        <v>535</v>
      </c>
      <c r="H7" s="5" t="s">
        <v>536</v>
      </c>
      <c r="I7" s="5" t="s">
        <v>495</v>
      </c>
      <c r="J7" s="5" t="s">
        <v>537</v>
      </c>
      <c r="K7" s="6" t="s">
        <v>35</v>
      </c>
      <c r="L7" s="5"/>
      <c r="M7" s="9" t="s">
        <v>35</v>
      </c>
      <c r="N7" s="10"/>
      <c r="O7" s="9" t="s">
        <v>35</v>
      </c>
      <c r="Q7" s="9" t="s">
        <v>35</v>
      </c>
      <c r="S7" s="22" t="s">
        <v>561</v>
      </c>
      <c r="T7" s="22" t="s">
        <v>539</v>
      </c>
    </row>
    <row r="8" spans="1:20" ht="80.099999999999994">
      <c r="A8" s="5">
        <v>7</v>
      </c>
      <c r="B8" s="6" t="s">
        <v>562</v>
      </c>
      <c r="C8" s="5" t="s">
        <v>563</v>
      </c>
      <c r="D8" s="5" t="s">
        <v>564</v>
      </c>
      <c r="E8" s="5" t="s">
        <v>565</v>
      </c>
      <c r="F8" s="5" t="s">
        <v>554</v>
      </c>
      <c r="G8" s="5" t="s">
        <v>535</v>
      </c>
      <c r="H8" s="5" t="s">
        <v>536</v>
      </c>
      <c r="I8" s="5" t="s">
        <v>499</v>
      </c>
      <c r="J8" s="5" t="s">
        <v>566</v>
      </c>
      <c r="K8" s="6" t="s">
        <v>35</v>
      </c>
      <c r="L8" s="5"/>
      <c r="M8" s="9" t="s">
        <v>35</v>
      </c>
      <c r="N8" s="10"/>
      <c r="O8" s="9" t="s">
        <v>35</v>
      </c>
      <c r="Q8" s="9" t="s">
        <v>35</v>
      </c>
      <c r="S8" s="22" t="s">
        <v>538</v>
      </c>
      <c r="T8" s="22" t="s">
        <v>539</v>
      </c>
    </row>
    <row r="9" spans="1:20" ht="120">
      <c r="A9" s="37">
        <v>8</v>
      </c>
      <c r="B9" s="6" t="s">
        <v>567</v>
      </c>
      <c r="C9" s="5" t="s">
        <v>568</v>
      </c>
      <c r="D9" s="5" t="s">
        <v>569</v>
      </c>
      <c r="E9" s="5" t="s">
        <v>570</v>
      </c>
      <c r="F9" s="5" t="s">
        <v>554</v>
      </c>
      <c r="G9" s="5" t="s">
        <v>535</v>
      </c>
      <c r="H9" s="5" t="s">
        <v>536</v>
      </c>
      <c r="I9" s="5" t="s">
        <v>495</v>
      </c>
      <c r="J9" s="5" t="s">
        <v>566</v>
      </c>
      <c r="K9" s="6" t="s">
        <v>35</v>
      </c>
      <c r="L9" s="5"/>
      <c r="M9" s="9" t="s">
        <v>35</v>
      </c>
      <c r="N9" s="10"/>
      <c r="O9" s="9" t="s">
        <v>35</v>
      </c>
      <c r="Q9" s="9" t="s">
        <v>35</v>
      </c>
      <c r="S9" s="22" t="s">
        <v>571</v>
      </c>
      <c r="T9" s="22" t="s">
        <v>539</v>
      </c>
    </row>
    <row r="10" spans="1:20" s="40" customFormat="1" ht="159.94999999999999">
      <c r="A10" s="25">
        <v>9</v>
      </c>
      <c r="B10" s="38" t="s">
        <v>572</v>
      </c>
      <c r="C10" s="37" t="s">
        <v>573</v>
      </c>
      <c r="D10" s="37" t="s">
        <v>574</v>
      </c>
      <c r="E10" s="37" t="s">
        <v>575</v>
      </c>
      <c r="F10" s="37" t="s">
        <v>534</v>
      </c>
      <c r="G10" s="37" t="s">
        <v>535</v>
      </c>
      <c r="H10" s="37" t="s">
        <v>536</v>
      </c>
      <c r="I10" s="37" t="s">
        <v>499</v>
      </c>
      <c r="J10" s="37" t="s">
        <v>566</v>
      </c>
      <c r="K10" s="38" t="s">
        <v>35</v>
      </c>
      <c r="L10" s="37"/>
      <c r="M10" s="39" t="s">
        <v>35</v>
      </c>
      <c r="N10" s="46"/>
      <c r="O10" s="39" t="s">
        <v>35</v>
      </c>
      <c r="Q10" s="39" t="s">
        <v>35</v>
      </c>
      <c r="S10" s="41" t="s">
        <v>571</v>
      </c>
      <c r="T10" s="41" t="s">
        <v>539</v>
      </c>
    </row>
    <row r="11" spans="1:20" ht="99.95">
      <c r="A11" s="5">
        <v>10</v>
      </c>
      <c r="B11" s="6" t="s">
        <v>576</v>
      </c>
      <c r="C11" s="5" t="s">
        <v>577</v>
      </c>
      <c r="D11" s="5" t="s">
        <v>578</v>
      </c>
      <c r="E11" s="5" t="s">
        <v>579</v>
      </c>
      <c r="F11" s="5" t="s">
        <v>534</v>
      </c>
      <c r="G11" s="5" t="s">
        <v>535</v>
      </c>
      <c r="H11" s="5" t="s">
        <v>580</v>
      </c>
      <c r="I11" s="5" t="s">
        <v>499</v>
      </c>
      <c r="J11" s="5" t="s">
        <v>566</v>
      </c>
      <c r="K11" s="6" t="s">
        <v>35</v>
      </c>
      <c r="L11" s="5"/>
      <c r="M11" s="9" t="s">
        <v>65</v>
      </c>
      <c r="N11" s="10" t="s">
        <v>581</v>
      </c>
      <c r="O11" s="9"/>
      <c r="Q11" s="9"/>
      <c r="S11" s="22" t="s">
        <v>538</v>
      </c>
      <c r="T11" s="22" t="s">
        <v>539</v>
      </c>
    </row>
    <row r="12" spans="1:20" s="40" customFormat="1" ht="120">
      <c r="A12" s="5">
        <v>11</v>
      </c>
      <c r="B12" s="38" t="s">
        <v>582</v>
      </c>
      <c r="C12" s="37" t="s">
        <v>583</v>
      </c>
      <c r="D12" s="37" t="s">
        <v>584</v>
      </c>
      <c r="E12" s="37" t="s">
        <v>585</v>
      </c>
      <c r="F12" s="37" t="s">
        <v>534</v>
      </c>
      <c r="G12" s="37" t="s">
        <v>586</v>
      </c>
      <c r="H12" s="37" t="s">
        <v>580</v>
      </c>
      <c r="I12" s="37" t="s">
        <v>495</v>
      </c>
      <c r="J12" s="37" t="s">
        <v>566</v>
      </c>
      <c r="K12" s="38" t="s">
        <v>35</v>
      </c>
      <c r="L12" s="37"/>
      <c r="M12" s="39" t="s">
        <v>35</v>
      </c>
      <c r="N12" s="46"/>
      <c r="O12" s="39" t="s">
        <v>35</v>
      </c>
      <c r="Q12" s="39" t="s">
        <v>35</v>
      </c>
      <c r="S12" s="41" t="s">
        <v>561</v>
      </c>
      <c r="T12" s="41" t="s">
        <v>539</v>
      </c>
    </row>
    <row r="13" spans="1:20" ht="180">
      <c r="A13" s="37">
        <v>12</v>
      </c>
      <c r="B13" s="6" t="s">
        <v>587</v>
      </c>
      <c r="C13" s="5" t="s">
        <v>588</v>
      </c>
      <c r="D13" s="5" t="s">
        <v>589</v>
      </c>
      <c r="E13" s="5" t="s">
        <v>590</v>
      </c>
      <c r="F13" s="5" t="s">
        <v>534</v>
      </c>
      <c r="G13" s="5" t="s">
        <v>535</v>
      </c>
      <c r="H13" s="5" t="s">
        <v>580</v>
      </c>
      <c r="I13" s="5" t="s">
        <v>495</v>
      </c>
      <c r="J13" s="5" t="s">
        <v>566</v>
      </c>
      <c r="K13" s="6" t="s">
        <v>35</v>
      </c>
      <c r="L13" s="5"/>
      <c r="M13" s="9" t="s">
        <v>35</v>
      </c>
      <c r="N13" s="10"/>
      <c r="O13" s="9" t="s">
        <v>35</v>
      </c>
      <c r="Q13" s="9" t="s">
        <v>35</v>
      </c>
      <c r="S13" s="22" t="s">
        <v>561</v>
      </c>
      <c r="T13" s="22" t="s">
        <v>539</v>
      </c>
    </row>
    <row r="14" spans="1:20" ht="39.950000000000003">
      <c r="A14" s="5">
        <v>13</v>
      </c>
      <c r="B14" s="26" t="s">
        <v>29</v>
      </c>
      <c r="C14" s="25"/>
      <c r="D14" s="25"/>
      <c r="E14" s="25" t="s">
        <v>591</v>
      </c>
      <c r="F14" s="25"/>
      <c r="G14" s="25"/>
      <c r="H14" s="25"/>
      <c r="I14" s="25"/>
      <c r="J14" s="25"/>
      <c r="K14" s="26" t="s">
        <v>65</v>
      </c>
      <c r="L14" s="25"/>
      <c r="M14" s="27"/>
      <c r="N14" s="30"/>
      <c r="O14" s="27"/>
      <c r="P14" s="28"/>
      <c r="Q14" s="27"/>
      <c r="R14" s="28"/>
      <c r="S14" s="29" t="s">
        <v>538</v>
      </c>
      <c r="T14" s="29" t="s">
        <v>539</v>
      </c>
    </row>
    <row r="15" spans="1:20" s="28" customFormat="1" ht="24">
      <c r="A15" s="25">
        <v>14</v>
      </c>
      <c r="B15" s="26" t="s">
        <v>592</v>
      </c>
      <c r="C15" s="25" t="s">
        <v>593</v>
      </c>
      <c r="D15" s="25"/>
      <c r="E15" s="25" t="s">
        <v>594</v>
      </c>
      <c r="F15" s="25"/>
      <c r="G15" s="25"/>
      <c r="H15" s="25"/>
      <c r="I15" s="25"/>
      <c r="J15" s="25"/>
      <c r="K15" s="26" t="s">
        <v>65</v>
      </c>
      <c r="L15" s="25"/>
      <c r="M15" s="27"/>
      <c r="N15" s="30"/>
      <c r="O15" s="27"/>
      <c r="Q15" s="27"/>
      <c r="S15" s="29" t="s">
        <v>571</v>
      </c>
      <c r="T15" s="29" t="s">
        <v>595</v>
      </c>
    </row>
    <row r="16" spans="1:20" ht="24">
      <c r="A16" s="5"/>
      <c r="B16" s="6"/>
      <c r="C16" s="5"/>
      <c r="D16" s="5"/>
      <c r="E16" s="5"/>
      <c r="F16" s="5"/>
      <c r="G16" s="5"/>
      <c r="H16" s="5"/>
      <c r="I16" s="5"/>
      <c r="J16" s="5"/>
      <c r="K16" s="6"/>
      <c r="L16" s="5"/>
      <c r="M16" s="9"/>
      <c r="N16" s="10"/>
      <c r="O16" s="9"/>
      <c r="Q16" s="9"/>
      <c r="S16" s="22"/>
      <c r="T16" s="22"/>
    </row>
    <row r="17" spans="1:20" ht="24">
      <c r="A17" s="5"/>
      <c r="B17" s="6"/>
      <c r="C17" s="5"/>
      <c r="D17" s="5"/>
      <c r="E17" s="5"/>
      <c r="F17" s="5"/>
      <c r="G17" s="5"/>
      <c r="H17" s="5"/>
      <c r="I17" s="5"/>
      <c r="J17" s="5"/>
      <c r="K17" s="6"/>
      <c r="L17" s="5"/>
      <c r="M17" s="9"/>
      <c r="N17" s="10"/>
      <c r="O17" s="9"/>
      <c r="Q17" s="9"/>
      <c r="S17" s="22"/>
      <c r="T17" s="22"/>
    </row>
    <row r="18" spans="1:20" ht="24">
      <c r="A18" s="5"/>
      <c r="B18" s="6"/>
      <c r="C18" s="5"/>
      <c r="D18" s="5"/>
      <c r="E18" s="5"/>
      <c r="F18" s="5"/>
      <c r="G18" s="5"/>
      <c r="H18" s="5"/>
      <c r="I18" s="5"/>
      <c r="J18" s="5"/>
      <c r="K18" s="6"/>
      <c r="L18" s="5"/>
      <c r="M18" s="9"/>
      <c r="N18" s="10"/>
      <c r="O18" s="9"/>
      <c r="Q18" s="9"/>
      <c r="S18" s="22"/>
      <c r="T18" s="22"/>
    </row>
    <row r="19" spans="1:20" ht="24">
      <c r="A19" s="5"/>
      <c r="B19" s="6"/>
      <c r="C19" s="5"/>
      <c r="D19" s="5"/>
      <c r="E19" s="5"/>
      <c r="F19" s="5"/>
      <c r="G19" s="5"/>
      <c r="H19" s="5"/>
      <c r="I19" s="5"/>
      <c r="J19" s="5"/>
      <c r="K19" s="6"/>
      <c r="L19" s="5"/>
      <c r="M19" s="9"/>
      <c r="N19" s="10"/>
      <c r="O19" s="9"/>
      <c r="Q19" s="9"/>
      <c r="S19" s="22"/>
      <c r="T19" s="22"/>
    </row>
    <row r="20" spans="1:20" ht="24">
      <c r="A20" s="5"/>
      <c r="B20" s="6"/>
      <c r="C20" s="5"/>
      <c r="D20" s="5"/>
      <c r="E20" s="5"/>
      <c r="F20" s="5"/>
      <c r="G20" s="5"/>
      <c r="H20" s="5"/>
      <c r="I20" s="5"/>
      <c r="J20" s="5"/>
      <c r="K20" s="6"/>
      <c r="L20" s="5"/>
      <c r="M20" s="9"/>
      <c r="N20" s="10"/>
      <c r="O20" s="9"/>
      <c r="Q20" s="9"/>
      <c r="S20" s="22"/>
      <c r="T20" s="22"/>
    </row>
  </sheetData>
  <sortState xmlns:xlrd2="http://schemas.microsoft.com/office/spreadsheetml/2017/richdata2" ref="A2:A1048576">
    <sortCondition ref="A2:A1048576"/>
  </sortState>
  <conditionalFormatting sqref="K1">
    <cfRule type="colorScale" priority="58">
      <colorScale>
        <cfvo type="min"/>
        <cfvo type="percentile" val="50"/>
        <cfvo type="max"/>
        <color rgb="FF63BE7B"/>
        <color rgb="FFFFEB84"/>
        <color rgb="FFF8696B"/>
      </colorScale>
    </cfRule>
  </conditionalFormatting>
  <conditionalFormatting sqref="K2:K20">
    <cfRule type="colorScale" priority="33">
      <colorScale>
        <cfvo type="min"/>
        <cfvo type="percentile" val="50"/>
        <cfvo type="max"/>
        <color rgb="FF63BE7B"/>
        <color rgb="FFFFEB84"/>
        <color rgb="FFF8696B"/>
      </colorScale>
    </cfRule>
  </conditionalFormatting>
  <conditionalFormatting sqref="M1">
    <cfRule type="colorScale" priority="57">
      <colorScale>
        <cfvo type="min"/>
        <cfvo type="percentile" val="50"/>
        <cfvo type="max"/>
        <color rgb="FF63BE7B"/>
        <color rgb="FFFFEB84"/>
        <color rgb="FFF8696B"/>
      </colorScale>
    </cfRule>
  </conditionalFormatting>
  <conditionalFormatting sqref="M2:M12 M14:M20">
    <cfRule type="colorScale" priority="28">
      <colorScale>
        <cfvo type="min"/>
        <cfvo type="percentile" val="50"/>
        <cfvo type="max"/>
        <color rgb="FF63BE7B"/>
        <color rgb="FFFFEB84"/>
        <color rgb="FFF8696B"/>
      </colorScale>
    </cfRule>
  </conditionalFormatting>
  <conditionalFormatting sqref="M13">
    <cfRule type="colorScale" priority="12">
      <colorScale>
        <cfvo type="min"/>
        <cfvo type="percentile" val="50"/>
        <cfvo type="max"/>
        <color rgb="FF63BE7B"/>
        <color rgb="FFFFEB84"/>
        <color rgb="FFF8696B"/>
      </colorScale>
    </cfRule>
  </conditionalFormatting>
  <conditionalFormatting sqref="M2:O20">
    <cfRule type="cellIs" dxfId="62" priority="1" operator="equal">
      <formula>"?"</formula>
    </cfRule>
    <cfRule type="cellIs" dxfId="61" priority="2" operator="equal">
      <formula>"No"</formula>
    </cfRule>
    <cfRule type="cellIs" dxfId="60" priority="3" operator="equal">
      <formula>"Yes"</formula>
    </cfRule>
  </conditionalFormatting>
  <conditionalFormatting sqref="M1:T1">
    <cfRule type="cellIs" dxfId="59" priority="34" operator="equal">
      <formula>"?"</formula>
    </cfRule>
    <cfRule type="cellIs" dxfId="58" priority="35" operator="equal">
      <formula>"No"</formula>
    </cfRule>
    <cfRule type="cellIs" dxfId="57" priority="36" operator="equal">
      <formula>"Yes"</formula>
    </cfRule>
  </conditionalFormatting>
  <conditionalFormatting sqref="N2:N12 N14:N20">
    <cfRule type="colorScale" priority="32">
      <colorScale>
        <cfvo type="min"/>
        <cfvo type="percentile" val="50"/>
        <cfvo type="max"/>
        <color rgb="FF63BE7B"/>
        <color rgb="FFFFEB84"/>
        <color rgb="FFF8696B"/>
      </colorScale>
    </cfRule>
  </conditionalFormatting>
  <conditionalFormatting sqref="N13">
    <cfRule type="colorScale" priority="16">
      <colorScale>
        <cfvo type="min"/>
        <cfvo type="percentile" val="50"/>
        <cfvo type="max"/>
        <color rgb="FF63BE7B"/>
        <color rgb="FFFFEB84"/>
        <color rgb="FFF8696B"/>
      </colorScale>
    </cfRule>
  </conditionalFormatting>
  <conditionalFormatting sqref="N1:O1">
    <cfRule type="colorScale" priority="37">
      <colorScale>
        <cfvo type="min"/>
        <cfvo type="percentile" val="50"/>
        <cfvo type="max"/>
        <color rgb="FF63BE7B"/>
        <color rgb="FFFFEB84"/>
        <color rgb="FFF8696B"/>
      </colorScale>
    </cfRule>
  </conditionalFormatting>
  <conditionalFormatting sqref="O2:O12 O14:O20">
    <cfRule type="colorScale" priority="20">
      <colorScale>
        <cfvo type="min"/>
        <cfvo type="percentile" val="50"/>
        <cfvo type="max"/>
        <color rgb="FF63BE7B"/>
        <color rgb="FFFFEB84"/>
        <color rgb="FFF8696B"/>
      </colorScale>
    </cfRule>
  </conditionalFormatting>
  <conditionalFormatting sqref="O13">
    <cfRule type="colorScale" priority="4">
      <colorScale>
        <cfvo type="min"/>
        <cfvo type="percentile" val="50"/>
        <cfvo type="max"/>
        <color rgb="FF63BE7B"/>
        <color rgb="FFFFEB84"/>
        <color rgb="FFF8696B"/>
      </colorScale>
    </cfRule>
  </conditionalFormatting>
  <conditionalFormatting sqref="P1">
    <cfRule type="colorScale" priority="49">
      <colorScale>
        <cfvo type="min"/>
        <cfvo type="percentile" val="50"/>
        <cfvo type="max"/>
        <color rgb="FF63BE7B"/>
        <color rgb="FFFFEB84"/>
        <color rgb="FFF8696B"/>
      </colorScale>
    </cfRule>
  </conditionalFormatting>
  <conditionalFormatting sqref="Q1">
    <cfRule type="colorScale" priority="45">
      <colorScale>
        <cfvo type="min"/>
        <cfvo type="percentile" val="50"/>
        <cfvo type="max"/>
        <color rgb="FF63BE7B"/>
        <color rgb="FFFFEB84"/>
        <color rgb="FFF8696B"/>
      </colorScale>
    </cfRule>
  </conditionalFormatting>
  <conditionalFormatting sqref="Q2:Q12 Q14:Q20">
    <cfRule type="colorScale" priority="24">
      <colorScale>
        <cfvo type="min"/>
        <cfvo type="percentile" val="50"/>
        <cfvo type="max"/>
        <color rgb="FF63BE7B"/>
        <color rgb="FFFFEB84"/>
        <color rgb="FFF8696B"/>
      </colorScale>
    </cfRule>
  </conditionalFormatting>
  <conditionalFormatting sqref="Q2:Q20">
    <cfRule type="cellIs" dxfId="56" priority="5" operator="equal">
      <formula>"?"</formula>
    </cfRule>
    <cfRule type="cellIs" dxfId="55" priority="6" operator="equal">
      <formula>"No"</formula>
    </cfRule>
    <cfRule type="cellIs" dxfId="54" priority="7" operator="equal">
      <formula>"Yes"</formula>
    </cfRule>
  </conditionalFormatting>
  <conditionalFormatting sqref="Q13">
    <cfRule type="colorScale" priority="8">
      <colorScale>
        <cfvo type="min"/>
        <cfvo type="percentile" val="50"/>
        <cfvo type="max"/>
        <color rgb="FF63BE7B"/>
        <color rgb="FFFFEB84"/>
        <color rgb="FFF8696B"/>
      </colorScale>
    </cfRule>
  </conditionalFormatting>
  <conditionalFormatting sqref="R1:T1">
    <cfRule type="colorScale" priority="41">
      <colorScale>
        <cfvo type="min"/>
        <cfvo type="percentile" val="50"/>
        <cfvo type="max"/>
        <color rgb="FF63BE7B"/>
        <color rgb="FFFFEB84"/>
        <color rgb="FFF8696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23AA3-2C70-984C-B1A0-19D0EBDB88CF}">
  <dimension ref="A1:CR62"/>
  <sheetViews>
    <sheetView topLeftCell="B49" workbookViewId="0">
      <selection activeCell="C59" sqref="C59:E62"/>
    </sheetView>
  </sheetViews>
  <sheetFormatPr defaultColWidth="11" defaultRowHeight="18.75" customHeight="1"/>
  <cols>
    <col min="2" max="2" width="19.625" customWidth="1"/>
    <col min="3" max="3" width="36.875" customWidth="1"/>
    <col min="4" max="4" width="30.125" customWidth="1"/>
    <col min="5" max="5" width="29.125" customWidth="1"/>
    <col min="14" max="14" width="18.125" customWidth="1"/>
    <col min="19" max="19" width="20" style="22" customWidth="1"/>
    <col min="20" max="20" width="10.875" style="5"/>
  </cols>
  <sheetData>
    <row r="1" spans="1:96" ht="66">
      <c r="A1" s="3" t="s">
        <v>0</v>
      </c>
      <c r="B1" s="3" t="s">
        <v>518</v>
      </c>
      <c r="C1" s="3" t="s">
        <v>519</v>
      </c>
      <c r="D1" s="3" t="s">
        <v>520</v>
      </c>
      <c r="E1" s="3" t="s">
        <v>521</v>
      </c>
      <c r="F1" s="3" t="s">
        <v>522</v>
      </c>
      <c r="G1" s="3" t="s">
        <v>523</v>
      </c>
      <c r="H1" s="3" t="s">
        <v>524</v>
      </c>
      <c r="I1" s="3" t="s">
        <v>525</v>
      </c>
      <c r="J1" s="3" t="s">
        <v>526</v>
      </c>
      <c r="K1" s="12" t="s">
        <v>527</v>
      </c>
      <c r="L1" s="4" t="s">
        <v>596</v>
      </c>
      <c r="M1" s="11" t="s">
        <v>489</v>
      </c>
      <c r="N1" s="11" t="s">
        <v>490</v>
      </c>
      <c r="O1" s="11" t="s">
        <v>491</v>
      </c>
      <c r="P1" s="11" t="s">
        <v>492</v>
      </c>
      <c r="Q1" s="11" t="s">
        <v>493</v>
      </c>
      <c r="R1" s="23" t="s">
        <v>494</v>
      </c>
      <c r="S1" s="11" t="s">
        <v>528</v>
      </c>
      <c r="T1" s="11" t="s">
        <v>529</v>
      </c>
    </row>
    <row r="2" spans="1:96" ht="80.099999999999994">
      <c r="A2" s="5" t="s">
        <v>404</v>
      </c>
      <c r="B2" s="6" t="s">
        <v>406</v>
      </c>
      <c r="C2" s="5" t="s">
        <v>408</v>
      </c>
      <c r="D2" s="5" t="s">
        <v>597</v>
      </c>
      <c r="E2" s="5" t="s">
        <v>598</v>
      </c>
      <c r="F2" s="5" t="s">
        <v>534</v>
      </c>
      <c r="G2" s="5" t="s">
        <v>535</v>
      </c>
      <c r="H2" s="5" t="s">
        <v>536</v>
      </c>
      <c r="I2" s="5" t="s">
        <v>499</v>
      </c>
      <c r="J2" s="5" t="s">
        <v>537</v>
      </c>
      <c r="K2" s="6" t="s">
        <v>35</v>
      </c>
      <c r="L2" s="5"/>
      <c r="M2" s="9" t="s">
        <v>35</v>
      </c>
      <c r="N2" s="9"/>
      <c r="O2" s="9" t="s">
        <v>35</v>
      </c>
      <c r="P2" s="45" t="s">
        <v>511</v>
      </c>
      <c r="Q2" s="9" t="s">
        <v>35</v>
      </c>
      <c r="S2" s="22" t="s">
        <v>561</v>
      </c>
    </row>
    <row r="3" spans="1:96" ht="99.95">
      <c r="A3" s="5" t="s">
        <v>282</v>
      </c>
      <c r="B3" s="6" t="s">
        <v>285</v>
      </c>
      <c r="C3" s="5" t="s">
        <v>286</v>
      </c>
      <c r="D3" s="5"/>
      <c r="E3" s="5"/>
      <c r="F3" s="5" t="s">
        <v>554</v>
      </c>
      <c r="G3" s="5" t="s">
        <v>586</v>
      </c>
      <c r="H3" s="5" t="s">
        <v>511</v>
      </c>
      <c r="I3" s="5" t="s">
        <v>495</v>
      </c>
      <c r="J3" s="5" t="s">
        <v>566</v>
      </c>
      <c r="K3" s="6" t="s">
        <v>35</v>
      </c>
      <c r="L3" s="5" t="s">
        <v>287</v>
      </c>
      <c r="M3" s="9" t="s">
        <v>35</v>
      </c>
      <c r="N3" s="9"/>
      <c r="O3" s="9" t="s">
        <v>35</v>
      </c>
      <c r="Q3" s="9" t="s">
        <v>35</v>
      </c>
      <c r="S3" s="22" t="s">
        <v>571</v>
      </c>
      <c r="T3" s="18" t="s">
        <v>599</v>
      </c>
    </row>
    <row r="4" spans="1:96" s="40" customFormat="1" ht="99.95">
      <c r="A4" s="32" t="s">
        <v>339</v>
      </c>
      <c r="B4" s="33" t="s">
        <v>600</v>
      </c>
      <c r="C4" s="32" t="s">
        <v>343</v>
      </c>
      <c r="D4" s="32"/>
      <c r="E4" s="32" t="s">
        <v>601</v>
      </c>
      <c r="F4" s="32" t="s">
        <v>554</v>
      </c>
      <c r="G4" s="32" t="s">
        <v>535</v>
      </c>
      <c r="H4" s="32" t="s">
        <v>536</v>
      </c>
      <c r="I4" s="32" t="s">
        <v>495</v>
      </c>
      <c r="J4" s="32" t="s">
        <v>566</v>
      </c>
      <c r="K4" s="33" t="s">
        <v>35</v>
      </c>
      <c r="L4" s="32"/>
      <c r="M4" s="34" t="s">
        <v>35</v>
      </c>
      <c r="N4" s="34"/>
      <c r="O4" s="34" t="s">
        <v>35</v>
      </c>
      <c r="P4" s="35"/>
      <c r="Q4" s="34" t="s">
        <v>35</v>
      </c>
      <c r="R4" s="35"/>
      <c r="S4" s="36" t="s">
        <v>561</v>
      </c>
      <c r="T4" s="44" t="s">
        <v>602</v>
      </c>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row>
    <row r="5" spans="1:96" s="35" customFormat="1" ht="119.1">
      <c r="A5" s="5" t="s">
        <v>22</v>
      </c>
      <c r="B5" s="6" t="s">
        <v>29</v>
      </c>
      <c r="C5" s="5" t="s">
        <v>603</v>
      </c>
      <c r="D5" s="5"/>
      <c r="E5" s="5" t="s">
        <v>604</v>
      </c>
      <c r="F5" s="5" t="s">
        <v>554</v>
      </c>
      <c r="G5" s="5" t="s">
        <v>535</v>
      </c>
      <c r="H5" s="5" t="s">
        <v>536</v>
      </c>
      <c r="I5" s="5" t="s">
        <v>495</v>
      </c>
      <c r="J5" s="5" t="s">
        <v>566</v>
      </c>
      <c r="K5" s="6" t="s">
        <v>35</v>
      </c>
      <c r="L5" s="5"/>
      <c r="M5" s="9" t="s">
        <v>35</v>
      </c>
      <c r="N5" s="9"/>
      <c r="O5" s="9" t="s">
        <v>35</v>
      </c>
      <c r="P5"/>
      <c r="Q5" s="9" t="s">
        <v>35</v>
      </c>
      <c r="R5"/>
      <c r="S5" s="22" t="s">
        <v>571</v>
      </c>
      <c r="T5" s="18" t="s">
        <v>605</v>
      </c>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row>
    <row r="6" spans="1:96" ht="120">
      <c r="A6" s="37" t="s">
        <v>269</v>
      </c>
      <c r="B6" s="38" t="s">
        <v>606</v>
      </c>
      <c r="C6" s="37" t="s">
        <v>271</v>
      </c>
      <c r="D6" s="37"/>
      <c r="E6" s="37" t="s">
        <v>607</v>
      </c>
      <c r="F6" s="37" t="s">
        <v>554</v>
      </c>
      <c r="G6" s="37" t="s">
        <v>586</v>
      </c>
      <c r="H6" s="37" t="s">
        <v>536</v>
      </c>
      <c r="I6" s="37" t="s">
        <v>495</v>
      </c>
      <c r="J6" s="37" t="s">
        <v>537</v>
      </c>
      <c r="K6" s="38" t="s">
        <v>35</v>
      </c>
      <c r="L6" s="37" t="s">
        <v>261</v>
      </c>
      <c r="M6" s="39" t="s">
        <v>35</v>
      </c>
      <c r="N6" s="39"/>
      <c r="O6" s="39" t="s">
        <v>35</v>
      </c>
      <c r="P6" s="40"/>
      <c r="Q6" s="39" t="s">
        <v>35</v>
      </c>
      <c r="R6" s="40"/>
      <c r="S6" s="41" t="s">
        <v>538</v>
      </c>
      <c r="T6" s="44" t="s">
        <v>608</v>
      </c>
    </row>
    <row r="7" spans="1:96" ht="120">
      <c r="A7" s="37" t="s">
        <v>272</v>
      </c>
      <c r="B7" s="38" t="s">
        <v>273</v>
      </c>
      <c r="C7" s="37" t="s">
        <v>274</v>
      </c>
      <c r="D7" s="37"/>
      <c r="E7" s="37" t="s">
        <v>607</v>
      </c>
      <c r="F7" s="37" t="s">
        <v>554</v>
      </c>
      <c r="G7" s="37" t="s">
        <v>535</v>
      </c>
      <c r="H7" s="37" t="s">
        <v>536</v>
      </c>
      <c r="I7" s="37" t="s">
        <v>495</v>
      </c>
      <c r="J7" s="37" t="s">
        <v>537</v>
      </c>
      <c r="K7" s="38" t="s">
        <v>35</v>
      </c>
      <c r="L7" s="37" t="s">
        <v>261</v>
      </c>
      <c r="M7" s="39" t="s">
        <v>35</v>
      </c>
      <c r="N7" s="39"/>
      <c r="O7" s="39" t="s">
        <v>35</v>
      </c>
      <c r="P7" s="40"/>
      <c r="Q7" s="39" t="s">
        <v>35</v>
      </c>
      <c r="R7" s="40"/>
      <c r="S7" s="41" t="s">
        <v>538</v>
      </c>
      <c r="T7" s="44" t="s">
        <v>608</v>
      </c>
    </row>
    <row r="8" spans="1:96" s="40" customFormat="1" ht="170.1">
      <c r="A8" s="37" t="s">
        <v>312</v>
      </c>
      <c r="B8" s="38" t="s">
        <v>314</v>
      </c>
      <c r="C8" s="37" t="s">
        <v>315</v>
      </c>
      <c r="D8" s="37"/>
      <c r="E8" s="37" t="s">
        <v>609</v>
      </c>
      <c r="F8" s="37" t="s">
        <v>544</v>
      </c>
      <c r="G8" s="37" t="s">
        <v>535</v>
      </c>
      <c r="H8" s="37" t="s">
        <v>536</v>
      </c>
      <c r="I8" s="37" t="s">
        <v>495</v>
      </c>
      <c r="J8" s="37" t="s">
        <v>537</v>
      </c>
      <c r="K8" s="38" t="s">
        <v>35</v>
      </c>
      <c r="L8" s="37" t="s">
        <v>287</v>
      </c>
      <c r="M8" s="39" t="s">
        <v>35</v>
      </c>
      <c r="N8" s="39"/>
      <c r="O8" s="39" t="s">
        <v>35</v>
      </c>
      <c r="Q8" s="39" t="s">
        <v>35</v>
      </c>
      <c r="S8" s="41" t="s">
        <v>571</v>
      </c>
      <c r="T8" s="44" t="s">
        <v>610</v>
      </c>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row>
    <row r="9" spans="1:96" s="40" customFormat="1" ht="120">
      <c r="A9" s="5" t="s">
        <v>163</v>
      </c>
      <c r="B9" s="6" t="s">
        <v>164</v>
      </c>
      <c r="C9" s="5" t="s">
        <v>166</v>
      </c>
      <c r="D9" s="5" t="s">
        <v>611</v>
      </c>
      <c r="E9" s="5" t="s">
        <v>612</v>
      </c>
      <c r="F9" s="5" t="s">
        <v>554</v>
      </c>
      <c r="G9" s="5" t="s">
        <v>535</v>
      </c>
      <c r="H9" s="5" t="s">
        <v>536</v>
      </c>
      <c r="I9" s="5" t="s">
        <v>499</v>
      </c>
      <c r="J9" s="5" t="s">
        <v>537</v>
      </c>
      <c r="K9" s="6" t="s">
        <v>35</v>
      </c>
      <c r="L9" s="5"/>
      <c r="M9" s="9" t="s">
        <v>35</v>
      </c>
      <c r="N9" s="9"/>
      <c r="O9" s="9" t="s">
        <v>35</v>
      </c>
      <c r="P9"/>
      <c r="Q9" s="9" t="s">
        <v>35</v>
      </c>
      <c r="R9"/>
      <c r="S9" s="22" t="s">
        <v>561</v>
      </c>
      <c r="T9" s="18" t="s">
        <v>608</v>
      </c>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row>
    <row r="10" spans="1:96" s="40" customFormat="1" ht="99.95">
      <c r="A10" s="37" t="s">
        <v>72</v>
      </c>
      <c r="B10" s="38" t="s">
        <v>76</v>
      </c>
      <c r="C10" s="37" t="s">
        <v>77</v>
      </c>
      <c r="D10" s="37"/>
      <c r="E10" s="37" t="s">
        <v>613</v>
      </c>
      <c r="F10" s="37" t="s">
        <v>554</v>
      </c>
      <c r="G10" s="37" t="s">
        <v>535</v>
      </c>
      <c r="H10" s="37" t="s">
        <v>536</v>
      </c>
      <c r="I10" s="37" t="s">
        <v>495</v>
      </c>
      <c r="J10" s="37" t="s">
        <v>566</v>
      </c>
      <c r="K10" s="38" t="s">
        <v>35</v>
      </c>
      <c r="L10" s="37" t="s">
        <v>79</v>
      </c>
      <c r="M10" s="39" t="s">
        <v>35</v>
      </c>
      <c r="N10" s="39"/>
      <c r="O10" s="39" t="s">
        <v>35</v>
      </c>
      <c r="Q10" s="39" t="s">
        <v>35</v>
      </c>
      <c r="S10" s="41" t="s">
        <v>571</v>
      </c>
      <c r="T10" s="44" t="s">
        <v>608</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row>
    <row r="11" spans="1:96" ht="84.95">
      <c r="A11" s="32" t="s">
        <v>80</v>
      </c>
      <c r="B11" s="33" t="s">
        <v>81</v>
      </c>
      <c r="C11" s="32" t="s">
        <v>82</v>
      </c>
      <c r="D11" s="32"/>
      <c r="E11" s="32" t="s">
        <v>614</v>
      </c>
      <c r="F11" s="32" t="s">
        <v>554</v>
      </c>
      <c r="G11" s="32" t="s">
        <v>535</v>
      </c>
      <c r="H11" s="32" t="s">
        <v>536</v>
      </c>
      <c r="I11" s="32" t="s">
        <v>495</v>
      </c>
      <c r="J11" s="32" t="s">
        <v>566</v>
      </c>
      <c r="K11" s="33" t="s">
        <v>35</v>
      </c>
      <c r="L11" s="32" t="s">
        <v>79</v>
      </c>
      <c r="M11" s="34" t="s">
        <v>35</v>
      </c>
      <c r="N11" s="34"/>
      <c r="O11" s="34" t="s">
        <v>35</v>
      </c>
      <c r="P11" s="35"/>
      <c r="Q11" s="34" t="s">
        <v>35</v>
      </c>
      <c r="R11" s="35"/>
      <c r="S11" s="36" t="s">
        <v>571</v>
      </c>
      <c r="T11" s="42" t="s">
        <v>608</v>
      </c>
    </row>
    <row r="12" spans="1:96" ht="140.1">
      <c r="A12" s="5" t="s">
        <v>47</v>
      </c>
      <c r="B12" s="6" t="s">
        <v>48</v>
      </c>
      <c r="C12" s="5" t="s">
        <v>49</v>
      </c>
      <c r="D12" s="5" t="s">
        <v>615</v>
      </c>
      <c r="E12" s="5" t="s">
        <v>616</v>
      </c>
      <c r="F12" s="5" t="s">
        <v>544</v>
      </c>
      <c r="G12" s="5" t="s">
        <v>535</v>
      </c>
      <c r="H12" s="5" t="s">
        <v>536</v>
      </c>
      <c r="I12" s="5" t="s">
        <v>495</v>
      </c>
      <c r="J12" s="5" t="s">
        <v>537</v>
      </c>
      <c r="K12" s="6" t="s">
        <v>35</v>
      </c>
      <c r="L12" s="5"/>
      <c r="M12" s="9" t="s">
        <v>35</v>
      </c>
      <c r="N12" s="9"/>
      <c r="O12" s="9" t="s">
        <v>35</v>
      </c>
      <c r="Q12" s="9" t="s">
        <v>35</v>
      </c>
      <c r="S12" s="22" t="s">
        <v>571</v>
      </c>
      <c r="T12" s="18" t="s">
        <v>608</v>
      </c>
    </row>
    <row r="13" spans="1:96" s="35" customFormat="1" ht="120">
      <c r="A13" s="5" t="s">
        <v>262</v>
      </c>
      <c r="B13" s="6" t="s">
        <v>263</v>
      </c>
      <c r="C13" s="5" t="s">
        <v>264</v>
      </c>
      <c r="D13" s="5"/>
      <c r="E13" s="5"/>
      <c r="F13" s="5" t="s">
        <v>554</v>
      </c>
      <c r="G13" s="5" t="s">
        <v>535</v>
      </c>
      <c r="H13" s="5" t="s">
        <v>536</v>
      </c>
      <c r="I13" s="5" t="s">
        <v>495</v>
      </c>
      <c r="J13" s="5" t="s">
        <v>537</v>
      </c>
      <c r="K13" s="6" t="s">
        <v>35</v>
      </c>
      <c r="L13" s="5" t="s">
        <v>261</v>
      </c>
      <c r="M13" s="9" t="s">
        <v>35</v>
      </c>
      <c r="N13" s="9"/>
      <c r="O13" s="9" t="s">
        <v>35</v>
      </c>
      <c r="P13"/>
      <c r="Q13" s="9" t="s">
        <v>35</v>
      </c>
      <c r="R13"/>
      <c r="S13" s="22" t="s">
        <v>538</v>
      </c>
      <c r="T13" s="18" t="s">
        <v>608</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row>
    <row r="14" spans="1:96" ht="260.10000000000002">
      <c r="A14" s="5" t="s">
        <v>154</v>
      </c>
      <c r="B14" s="6" t="s">
        <v>155</v>
      </c>
      <c r="C14" s="5" t="s">
        <v>156</v>
      </c>
      <c r="D14" s="5" t="s">
        <v>617</v>
      </c>
      <c r="E14" s="5" t="s">
        <v>612</v>
      </c>
      <c r="F14" s="5" t="s">
        <v>554</v>
      </c>
      <c r="G14" s="5" t="s">
        <v>535</v>
      </c>
      <c r="H14" s="5" t="s">
        <v>536</v>
      </c>
      <c r="I14" s="5" t="s">
        <v>499</v>
      </c>
      <c r="J14" s="5" t="s">
        <v>537</v>
      </c>
      <c r="K14" s="6" t="s">
        <v>35</v>
      </c>
      <c r="L14" s="5"/>
      <c r="M14" s="9" t="s">
        <v>35</v>
      </c>
      <c r="N14" s="9"/>
      <c r="O14" s="9" t="s">
        <v>35</v>
      </c>
      <c r="Q14" s="9" t="s">
        <v>35</v>
      </c>
      <c r="S14" s="22" t="s">
        <v>561</v>
      </c>
      <c r="T14" s="18" t="s">
        <v>608</v>
      </c>
    </row>
    <row r="15" spans="1:96" ht="102">
      <c r="A15" s="5" t="s">
        <v>99</v>
      </c>
      <c r="B15" s="6" t="s">
        <v>100</v>
      </c>
      <c r="C15" s="5" t="s">
        <v>101</v>
      </c>
      <c r="D15" s="5" t="s">
        <v>618</v>
      </c>
      <c r="E15" s="5" t="s">
        <v>619</v>
      </c>
      <c r="F15" s="5" t="s">
        <v>534</v>
      </c>
      <c r="G15" s="5" t="s">
        <v>535</v>
      </c>
      <c r="H15" s="5" t="s">
        <v>536</v>
      </c>
      <c r="I15" s="5" t="s">
        <v>495</v>
      </c>
      <c r="J15" s="5" t="s">
        <v>566</v>
      </c>
      <c r="K15" s="6" t="s">
        <v>35</v>
      </c>
      <c r="L15" s="21"/>
      <c r="M15" s="9" t="s">
        <v>35</v>
      </c>
      <c r="N15" s="9"/>
      <c r="O15" s="9" t="s">
        <v>35</v>
      </c>
      <c r="Q15" s="9" t="s">
        <v>35</v>
      </c>
      <c r="S15" s="22" t="s">
        <v>571</v>
      </c>
      <c r="T15" s="18" t="s">
        <v>500</v>
      </c>
    </row>
    <row r="16" spans="1:96" ht="102">
      <c r="A16" s="32" t="s">
        <v>478</v>
      </c>
      <c r="B16" s="33" t="s">
        <v>480</v>
      </c>
      <c r="C16" s="32" t="s">
        <v>481</v>
      </c>
      <c r="D16" s="32"/>
      <c r="E16" s="32" t="s">
        <v>620</v>
      </c>
      <c r="F16" s="32" t="s">
        <v>534</v>
      </c>
      <c r="G16" s="32" t="s">
        <v>535</v>
      </c>
      <c r="H16" s="32" t="s">
        <v>536</v>
      </c>
      <c r="I16" s="32" t="s">
        <v>495</v>
      </c>
      <c r="J16" s="32" t="s">
        <v>566</v>
      </c>
      <c r="K16" s="33" t="s">
        <v>35</v>
      </c>
      <c r="L16" s="42"/>
      <c r="M16" s="34" t="s">
        <v>65</v>
      </c>
      <c r="N16" s="34"/>
      <c r="O16" s="34"/>
      <c r="P16" s="35"/>
      <c r="Q16" s="34"/>
      <c r="R16" s="35"/>
      <c r="S16" s="36" t="s">
        <v>538</v>
      </c>
      <c r="T16" s="42" t="s">
        <v>621</v>
      </c>
    </row>
    <row r="17" spans="1:96" ht="84.95">
      <c r="A17" s="5" t="s">
        <v>374</v>
      </c>
      <c r="B17" s="6" t="s">
        <v>375</v>
      </c>
      <c r="C17" s="5" t="s">
        <v>376</v>
      </c>
      <c r="D17" s="5"/>
      <c r="E17" s="5"/>
      <c r="F17" s="5" t="s">
        <v>544</v>
      </c>
      <c r="G17" s="5" t="s">
        <v>535</v>
      </c>
      <c r="H17" s="5" t="s">
        <v>580</v>
      </c>
      <c r="I17" s="5" t="s">
        <v>499</v>
      </c>
      <c r="J17" s="5" t="s">
        <v>566</v>
      </c>
      <c r="K17" s="6" t="s">
        <v>35</v>
      </c>
      <c r="L17" s="5" t="s">
        <v>373</v>
      </c>
      <c r="M17" s="9" t="s">
        <v>35</v>
      </c>
      <c r="N17" s="9"/>
      <c r="O17" s="9" t="s">
        <v>35</v>
      </c>
      <c r="Q17" s="9" t="s">
        <v>35</v>
      </c>
      <c r="S17" s="22" t="s">
        <v>538</v>
      </c>
      <c r="T17" s="18" t="s">
        <v>602</v>
      </c>
    </row>
    <row r="18" spans="1:96" ht="84.95">
      <c r="A18" s="5" t="s">
        <v>349</v>
      </c>
      <c r="B18" s="6" t="s">
        <v>622</v>
      </c>
      <c r="C18" s="5" t="s">
        <v>351</v>
      </c>
      <c r="D18" s="5"/>
      <c r="E18" s="5"/>
      <c r="F18" s="5" t="s">
        <v>554</v>
      </c>
      <c r="G18" s="5" t="s">
        <v>535</v>
      </c>
      <c r="H18" s="5" t="s">
        <v>536</v>
      </c>
      <c r="I18" s="5" t="s">
        <v>495</v>
      </c>
      <c r="J18" s="5" t="s">
        <v>566</v>
      </c>
      <c r="K18" s="6" t="s">
        <v>35</v>
      </c>
      <c r="L18" s="5"/>
      <c r="M18" s="9" t="s">
        <v>35</v>
      </c>
      <c r="N18" s="9"/>
      <c r="O18" s="9" t="s">
        <v>35</v>
      </c>
      <c r="Q18" s="9" t="s">
        <v>35</v>
      </c>
      <c r="S18" s="22" t="s">
        <v>561</v>
      </c>
      <c r="T18" s="18" t="s">
        <v>602</v>
      </c>
    </row>
    <row r="19" spans="1:96" ht="84.95">
      <c r="A19" s="32" t="s">
        <v>368</v>
      </c>
      <c r="B19" s="33" t="s">
        <v>370</v>
      </c>
      <c r="C19" s="32" t="s">
        <v>371</v>
      </c>
      <c r="D19" s="32"/>
      <c r="E19" s="32" t="s">
        <v>623</v>
      </c>
      <c r="F19" s="32" t="s">
        <v>544</v>
      </c>
      <c r="G19" s="32" t="s">
        <v>535</v>
      </c>
      <c r="H19" s="32" t="s">
        <v>536</v>
      </c>
      <c r="I19" s="32" t="s">
        <v>499</v>
      </c>
      <c r="J19" s="32" t="s">
        <v>566</v>
      </c>
      <c r="K19" s="33" t="s">
        <v>35</v>
      </c>
      <c r="L19" s="32" t="s">
        <v>373</v>
      </c>
      <c r="M19" s="34" t="s">
        <v>35</v>
      </c>
      <c r="N19" s="34"/>
      <c r="O19" s="34" t="s">
        <v>35</v>
      </c>
      <c r="P19" s="35"/>
      <c r="Q19" s="34" t="s">
        <v>35</v>
      </c>
      <c r="R19" s="35"/>
      <c r="S19" s="36" t="s">
        <v>538</v>
      </c>
      <c r="T19" s="42" t="s">
        <v>602</v>
      </c>
    </row>
    <row r="20" spans="1:96" s="35" customFormat="1" ht="84.95">
      <c r="A20" s="32" t="s">
        <v>378</v>
      </c>
      <c r="B20" s="33" t="s">
        <v>379</v>
      </c>
      <c r="C20" s="32" t="s">
        <v>380</v>
      </c>
      <c r="D20" s="32"/>
      <c r="E20" s="32" t="s">
        <v>623</v>
      </c>
      <c r="F20" s="32" t="s">
        <v>544</v>
      </c>
      <c r="G20" s="32" t="s">
        <v>535</v>
      </c>
      <c r="H20" s="32" t="s">
        <v>580</v>
      </c>
      <c r="I20" s="32" t="s">
        <v>499</v>
      </c>
      <c r="J20" s="32" t="s">
        <v>566</v>
      </c>
      <c r="K20" s="33" t="s">
        <v>35</v>
      </c>
      <c r="L20" s="32" t="s">
        <v>373</v>
      </c>
      <c r="M20" s="34" t="s">
        <v>35</v>
      </c>
      <c r="N20" s="34"/>
      <c r="O20" s="34" t="s">
        <v>35</v>
      </c>
      <c r="Q20" s="34" t="s">
        <v>35</v>
      </c>
      <c r="S20" s="36" t="s">
        <v>538</v>
      </c>
      <c r="T20" s="42" t="s">
        <v>602</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row>
    <row r="21" spans="1:96" ht="99.95">
      <c r="A21" s="5" t="s">
        <v>296</v>
      </c>
      <c r="B21" s="6" t="s">
        <v>297</v>
      </c>
      <c r="C21" s="5" t="s">
        <v>298</v>
      </c>
      <c r="D21" s="5"/>
      <c r="E21" s="5"/>
      <c r="F21" s="5" t="s">
        <v>554</v>
      </c>
      <c r="G21" s="5" t="s">
        <v>535</v>
      </c>
      <c r="H21" s="5" t="s">
        <v>580</v>
      </c>
      <c r="I21" s="5" t="s">
        <v>499</v>
      </c>
      <c r="J21" s="5" t="s">
        <v>566</v>
      </c>
      <c r="K21" s="6" t="s">
        <v>35</v>
      </c>
      <c r="L21" s="5" t="s">
        <v>287</v>
      </c>
      <c r="M21" s="9" t="s">
        <v>35</v>
      </c>
      <c r="N21" s="9"/>
      <c r="O21" s="9" t="s">
        <v>35</v>
      </c>
      <c r="Q21" s="9" t="s">
        <v>35</v>
      </c>
      <c r="S21" s="22" t="s">
        <v>571</v>
      </c>
      <c r="T21" s="18" t="s">
        <v>602</v>
      </c>
    </row>
    <row r="22" spans="1:96" s="40" customFormat="1" ht="99.95">
      <c r="A22" s="32" t="s">
        <v>300</v>
      </c>
      <c r="B22" s="33" t="s">
        <v>301</v>
      </c>
      <c r="C22" s="32" t="s">
        <v>302</v>
      </c>
      <c r="D22" s="32"/>
      <c r="E22" s="32" t="s">
        <v>624</v>
      </c>
      <c r="F22" s="32" t="s">
        <v>534</v>
      </c>
      <c r="G22" s="32" t="s">
        <v>535</v>
      </c>
      <c r="H22" s="32" t="s">
        <v>580</v>
      </c>
      <c r="I22" s="32" t="s">
        <v>499</v>
      </c>
      <c r="J22" s="32" t="s">
        <v>566</v>
      </c>
      <c r="K22" s="33" t="s">
        <v>35</v>
      </c>
      <c r="L22" s="32" t="s">
        <v>287</v>
      </c>
      <c r="M22" s="34" t="s">
        <v>35</v>
      </c>
      <c r="N22" s="34"/>
      <c r="O22" s="34" t="s">
        <v>35</v>
      </c>
      <c r="P22" s="35"/>
      <c r="Q22" s="34" t="s">
        <v>35</v>
      </c>
      <c r="R22" s="35"/>
      <c r="S22" s="36" t="s">
        <v>561</v>
      </c>
      <c r="T22" s="42" t="s">
        <v>625</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row>
    <row r="23" spans="1:96" ht="120">
      <c r="A23" s="5" t="s">
        <v>361</v>
      </c>
      <c r="B23" s="6" t="s">
        <v>626</v>
      </c>
      <c r="C23" s="5" t="s">
        <v>363</v>
      </c>
      <c r="D23" s="5"/>
      <c r="E23" s="5"/>
      <c r="F23" s="5" t="s">
        <v>554</v>
      </c>
      <c r="G23" s="5" t="s">
        <v>535</v>
      </c>
      <c r="H23" s="5" t="s">
        <v>536</v>
      </c>
      <c r="I23" s="5" t="s">
        <v>495</v>
      </c>
      <c r="J23" s="5" t="s">
        <v>566</v>
      </c>
      <c r="K23" s="6" t="s">
        <v>35</v>
      </c>
      <c r="L23" s="5"/>
      <c r="M23" s="9" t="s">
        <v>35</v>
      </c>
      <c r="N23" s="9"/>
      <c r="O23" s="9" t="s">
        <v>35</v>
      </c>
      <c r="Q23" s="9" t="s">
        <v>35</v>
      </c>
      <c r="S23" s="22" t="s">
        <v>561</v>
      </c>
      <c r="T23" s="18" t="s">
        <v>602</v>
      </c>
    </row>
    <row r="24" spans="1:96" ht="84.95">
      <c r="A24" s="5" t="s">
        <v>358</v>
      </c>
      <c r="B24" s="6" t="s">
        <v>627</v>
      </c>
      <c r="C24" s="5" t="s">
        <v>360</v>
      </c>
      <c r="D24" s="5"/>
      <c r="E24" s="5"/>
      <c r="F24" s="5" t="s">
        <v>554</v>
      </c>
      <c r="G24" s="5" t="s">
        <v>535</v>
      </c>
      <c r="H24" s="5" t="s">
        <v>536</v>
      </c>
      <c r="I24" s="5" t="s">
        <v>495</v>
      </c>
      <c r="J24" s="5" t="s">
        <v>566</v>
      </c>
      <c r="K24" s="6" t="s">
        <v>35</v>
      </c>
      <c r="L24" s="5"/>
      <c r="M24" s="9" t="s">
        <v>35</v>
      </c>
      <c r="N24" s="9"/>
      <c r="O24" s="9" t="s">
        <v>35</v>
      </c>
      <c r="Q24" s="9" t="s">
        <v>35</v>
      </c>
      <c r="S24" s="22" t="s">
        <v>561</v>
      </c>
      <c r="T24" s="18" t="s">
        <v>602</v>
      </c>
    </row>
    <row r="25" spans="1:96" ht="120">
      <c r="A25" s="5" t="s">
        <v>178</v>
      </c>
      <c r="B25" s="6" t="s">
        <v>628</v>
      </c>
      <c r="C25" s="5" t="s">
        <v>181</v>
      </c>
      <c r="D25" s="5" t="s">
        <v>629</v>
      </c>
      <c r="E25" s="5" t="s">
        <v>630</v>
      </c>
      <c r="F25" s="5" t="s">
        <v>554</v>
      </c>
      <c r="G25" s="5" t="s">
        <v>586</v>
      </c>
      <c r="H25" s="5" t="s">
        <v>580</v>
      </c>
      <c r="I25" s="5" t="s">
        <v>499</v>
      </c>
      <c r="J25" s="5" t="s">
        <v>566</v>
      </c>
      <c r="K25" s="6" t="s">
        <v>35</v>
      </c>
      <c r="L25" s="5" t="s">
        <v>183</v>
      </c>
      <c r="M25" s="9" t="s">
        <v>35</v>
      </c>
      <c r="N25" s="21"/>
      <c r="O25" s="9" t="s">
        <v>35</v>
      </c>
      <c r="Q25" s="9" t="s">
        <v>35</v>
      </c>
      <c r="S25" s="22" t="s">
        <v>561</v>
      </c>
      <c r="T25" s="18" t="s">
        <v>504</v>
      </c>
    </row>
    <row r="26" spans="1:96" s="35" customFormat="1" ht="84.95">
      <c r="A26" s="5" t="s">
        <v>329</v>
      </c>
      <c r="B26" s="6" t="s">
        <v>332</v>
      </c>
      <c r="C26" s="5" t="s">
        <v>333</v>
      </c>
      <c r="D26" s="5"/>
      <c r="E26" s="5"/>
      <c r="F26" s="5" t="s">
        <v>554</v>
      </c>
      <c r="G26" s="5" t="s">
        <v>535</v>
      </c>
      <c r="H26" s="5" t="s">
        <v>536</v>
      </c>
      <c r="I26" s="5" t="s">
        <v>499</v>
      </c>
      <c r="J26" s="5" t="s">
        <v>566</v>
      </c>
      <c r="K26" s="6" t="s">
        <v>35</v>
      </c>
      <c r="L26" s="5"/>
      <c r="M26" s="9" t="s">
        <v>35</v>
      </c>
      <c r="N26" s="9"/>
      <c r="O26" s="9" t="s">
        <v>35</v>
      </c>
      <c r="P26"/>
      <c r="Q26" s="9" t="s">
        <v>35</v>
      </c>
      <c r="R26"/>
      <c r="S26" s="22" t="s">
        <v>571</v>
      </c>
      <c r="T26" s="18" t="s">
        <v>602</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row>
    <row r="27" spans="1:96" ht="84.95">
      <c r="A27" s="32" t="s">
        <v>235</v>
      </c>
      <c r="B27" s="33" t="s">
        <v>239</v>
      </c>
      <c r="C27" s="32" t="s">
        <v>240</v>
      </c>
      <c r="D27" s="32"/>
      <c r="E27" s="32" t="s">
        <v>631</v>
      </c>
      <c r="F27" s="32" t="s">
        <v>554</v>
      </c>
      <c r="G27" s="32" t="s">
        <v>535</v>
      </c>
      <c r="H27" s="32" t="s">
        <v>536</v>
      </c>
      <c r="I27" s="32" t="s">
        <v>499</v>
      </c>
      <c r="J27" s="32" t="s">
        <v>537</v>
      </c>
      <c r="K27" s="33" t="s">
        <v>35</v>
      </c>
      <c r="L27" s="32"/>
      <c r="M27" s="34" t="s">
        <v>35</v>
      </c>
      <c r="N27" s="34"/>
      <c r="O27" s="34" t="s">
        <v>65</v>
      </c>
      <c r="P27" s="35"/>
      <c r="Q27" s="35"/>
      <c r="R27" s="35"/>
      <c r="S27" s="36" t="s">
        <v>538</v>
      </c>
      <c r="T27" s="42" t="s">
        <v>608</v>
      </c>
    </row>
    <row r="28" spans="1:96" ht="84.95">
      <c r="A28" s="37" t="s">
        <v>352</v>
      </c>
      <c r="B28" s="38" t="s">
        <v>632</v>
      </c>
      <c r="C28" s="37" t="s">
        <v>354</v>
      </c>
      <c r="D28" s="37"/>
      <c r="E28" s="37" t="s">
        <v>633</v>
      </c>
      <c r="F28" s="37" t="s">
        <v>554</v>
      </c>
      <c r="G28" s="37" t="s">
        <v>535</v>
      </c>
      <c r="H28" s="37" t="s">
        <v>536</v>
      </c>
      <c r="I28" s="37" t="s">
        <v>495</v>
      </c>
      <c r="J28" s="37" t="s">
        <v>566</v>
      </c>
      <c r="K28" s="38" t="s">
        <v>35</v>
      </c>
      <c r="L28" s="37"/>
      <c r="M28" s="39" t="s">
        <v>35</v>
      </c>
      <c r="N28" s="39"/>
      <c r="O28" s="39" t="s">
        <v>35</v>
      </c>
      <c r="P28" s="40"/>
      <c r="Q28" s="39" t="s">
        <v>35</v>
      </c>
      <c r="R28" s="40"/>
      <c r="S28" s="41" t="s">
        <v>561</v>
      </c>
      <c r="T28" s="42" t="s">
        <v>602</v>
      </c>
    </row>
    <row r="29" spans="1:96" s="40" customFormat="1" ht="84.95">
      <c r="A29" s="5" t="s">
        <v>346</v>
      </c>
      <c r="B29" s="6" t="s">
        <v>634</v>
      </c>
      <c r="C29" s="5" t="s">
        <v>348</v>
      </c>
      <c r="D29" s="5"/>
      <c r="E29" s="5"/>
      <c r="F29" s="5" t="s">
        <v>554</v>
      </c>
      <c r="G29" s="5" t="s">
        <v>535</v>
      </c>
      <c r="H29" s="5" t="s">
        <v>536</v>
      </c>
      <c r="I29" s="5" t="s">
        <v>495</v>
      </c>
      <c r="J29" s="5" t="s">
        <v>566</v>
      </c>
      <c r="K29" s="6" t="s">
        <v>35</v>
      </c>
      <c r="L29" s="5"/>
      <c r="M29" s="9" t="s">
        <v>35</v>
      </c>
      <c r="N29" s="9"/>
      <c r="O29" s="9" t="s">
        <v>35</v>
      </c>
      <c r="P29"/>
      <c r="Q29" s="9" t="s">
        <v>35</v>
      </c>
      <c r="R29"/>
      <c r="S29" s="22" t="s">
        <v>561</v>
      </c>
      <c r="T29" s="18" t="s">
        <v>602</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row>
    <row r="30" spans="1:96" ht="180">
      <c r="A30" s="32" t="s">
        <v>470</v>
      </c>
      <c r="B30" s="33" t="s">
        <v>472</v>
      </c>
      <c r="C30" s="32" t="s">
        <v>473</v>
      </c>
      <c r="D30" s="32" t="s">
        <v>635</v>
      </c>
      <c r="E30" s="32"/>
      <c r="F30" s="32" t="s">
        <v>534</v>
      </c>
      <c r="G30" s="32" t="s">
        <v>535</v>
      </c>
      <c r="H30" s="32" t="s">
        <v>536</v>
      </c>
      <c r="I30" s="32" t="s">
        <v>636</v>
      </c>
      <c r="J30" s="32" t="s">
        <v>566</v>
      </c>
      <c r="K30" s="33" t="s">
        <v>35</v>
      </c>
      <c r="L30" s="32"/>
      <c r="M30" s="34" t="s">
        <v>35</v>
      </c>
      <c r="N30" s="34"/>
      <c r="O30" s="34" t="s">
        <v>35</v>
      </c>
      <c r="P30" s="35"/>
      <c r="Q30" s="34" t="s">
        <v>35</v>
      </c>
      <c r="R30" s="35"/>
      <c r="S30" s="36" t="s">
        <v>561</v>
      </c>
      <c r="T30" s="42" t="s">
        <v>621</v>
      </c>
    </row>
    <row r="31" spans="1:96" ht="84.95">
      <c r="A31" s="5" t="s">
        <v>184</v>
      </c>
      <c r="B31" s="6" t="s">
        <v>186</v>
      </c>
      <c r="C31" s="5" t="s">
        <v>187</v>
      </c>
      <c r="D31" s="5" t="s">
        <v>637</v>
      </c>
      <c r="E31" s="5" t="s">
        <v>638</v>
      </c>
      <c r="F31" s="5" t="s">
        <v>534</v>
      </c>
      <c r="G31" s="5" t="s">
        <v>586</v>
      </c>
      <c r="H31" s="5" t="s">
        <v>580</v>
      </c>
      <c r="I31" s="5" t="s">
        <v>499</v>
      </c>
      <c r="J31" s="5" t="s">
        <v>566</v>
      </c>
      <c r="K31" s="6" t="s">
        <v>35</v>
      </c>
      <c r="L31" s="5" t="s">
        <v>190</v>
      </c>
      <c r="M31" s="9" t="s">
        <v>35</v>
      </c>
      <c r="N31" s="9"/>
      <c r="O31" s="9" t="s">
        <v>35</v>
      </c>
      <c r="Q31" s="9" t="s">
        <v>35</v>
      </c>
      <c r="S31" s="22" t="s">
        <v>561</v>
      </c>
      <c r="T31" s="18" t="s">
        <v>608</v>
      </c>
    </row>
    <row r="32" spans="1:96" s="35" customFormat="1" ht="102">
      <c r="A32" s="5" t="s">
        <v>388</v>
      </c>
      <c r="B32" s="6" t="s">
        <v>389</v>
      </c>
      <c r="C32" s="5" t="s">
        <v>639</v>
      </c>
      <c r="D32" s="5" t="s">
        <v>640</v>
      </c>
      <c r="E32" s="5" t="s">
        <v>619</v>
      </c>
      <c r="F32" s="5" t="s">
        <v>554</v>
      </c>
      <c r="G32" s="5" t="s">
        <v>535</v>
      </c>
      <c r="H32" s="5" t="s">
        <v>536</v>
      </c>
      <c r="I32" s="5" t="s">
        <v>495</v>
      </c>
      <c r="J32" s="5" t="s">
        <v>566</v>
      </c>
      <c r="K32" s="6" t="s">
        <v>35</v>
      </c>
      <c r="L32" s="5"/>
      <c r="M32" s="9" t="s">
        <v>35</v>
      </c>
      <c r="N32" s="18"/>
      <c r="O32" s="9" t="s">
        <v>35</v>
      </c>
      <c r="P32"/>
      <c r="Q32" s="9" t="s">
        <v>35</v>
      </c>
      <c r="R32"/>
      <c r="S32" s="22" t="s">
        <v>561</v>
      </c>
      <c r="T32" s="18" t="s">
        <v>641</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row>
    <row r="33" spans="1:96" ht="84.95">
      <c r="A33" s="5" t="s">
        <v>103</v>
      </c>
      <c r="B33" s="6" t="s">
        <v>107</v>
      </c>
      <c r="C33" s="5" t="s">
        <v>109</v>
      </c>
      <c r="D33" s="5" t="s">
        <v>642</v>
      </c>
      <c r="E33" s="5" t="s">
        <v>643</v>
      </c>
      <c r="F33" s="5" t="s">
        <v>554</v>
      </c>
      <c r="G33" s="5" t="s">
        <v>535</v>
      </c>
      <c r="H33" s="5" t="s">
        <v>536</v>
      </c>
      <c r="I33" s="5" t="s">
        <v>499</v>
      </c>
      <c r="J33" s="5" t="s">
        <v>537</v>
      </c>
      <c r="K33" s="6" t="s">
        <v>35</v>
      </c>
      <c r="L33" s="5" t="s">
        <v>112</v>
      </c>
      <c r="M33" s="9" t="s">
        <v>35</v>
      </c>
      <c r="N33" s="9"/>
      <c r="O33" s="9" t="s">
        <v>35</v>
      </c>
      <c r="Q33" s="9" t="s">
        <v>35</v>
      </c>
      <c r="S33" s="22" t="s">
        <v>561</v>
      </c>
      <c r="T33" s="63" t="s">
        <v>608</v>
      </c>
      <c r="U33" s="64"/>
    </row>
    <row r="34" spans="1:96" ht="140.1">
      <c r="A34" s="5" t="s">
        <v>168</v>
      </c>
      <c r="B34" s="6" t="s">
        <v>170</v>
      </c>
      <c r="C34" s="5" t="s">
        <v>644</v>
      </c>
      <c r="D34" s="5" t="s">
        <v>645</v>
      </c>
      <c r="E34" s="5" t="s">
        <v>646</v>
      </c>
      <c r="F34" s="5" t="s">
        <v>554</v>
      </c>
      <c r="G34" s="5" t="s">
        <v>586</v>
      </c>
      <c r="H34" s="5" t="s">
        <v>580</v>
      </c>
      <c r="I34" s="5" t="s">
        <v>499</v>
      </c>
      <c r="J34" s="5" t="s">
        <v>566</v>
      </c>
      <c r="K34" s="6" t="s">
        <v>35</v>
      </c>
      <c r="L34" s="5" t="s">
        <v>173</v>
      </c>
      <c r="M34" s="9" t="s">
        <v>35</v>
      </c>
      <c r="N34" s="9" t="s">
        <v>503</v>
      </c>
      <c r="O34" s="9" t="s">
        <v>35</v>
      </c>
      <c r="Q34" s="9" t="s">
        <v>35</v>
      </c>
      <c r="S34" s="66" t="s">
        <v>561</v>
      </c>
      <c r="T34" s="62" t="s">
        <v>647</v>
      </c>
      <c r="U34" s="65"/>
    </row>
    <row r="35" spans="1:96" s="35" customFormat="1" ht="177.95" customHeight="1">
      <c r="A35" s="47" t="s">
        <v>400</v>
      </c>
      <c r="B35" s="48" t="s">
        <v>402</v>
      </c>
      <c r="C35" s="47" t="s">
        <v>403</v>
      </c>
      <c r="D35" s="47"/>
      <c r="E35" s="47" t="s">
        <v>648</v>
      </c>
      <c r="F35" s="47" t="s">
        <v>511</v>
      </c>
      <c r="G35" s="47" t="s">
        <v>586</v>
      </c>
      <c r="H35" s="47" t="s">
        <v>580</v>
      </c>
      <c r="I35" s="47" t="s">
        <v>499</v>
      </c>
      <c r="J35" s="47" t="s">
        <v>566</v>
      </c>
      <c r="K35" s="48" t="s">
        <v>35</v>
      </c>
      <c r="L35" s="47"/>
      <c r="M35" s="49" t="s">
        <v>35</v>
      </c>
      <c r="N35" s="49"/>
      <c r="O35" s="49" t="s">
        <v>35</v>
      </c>
      <c r="P35" s="50"/>
      <c r="Q35" s="49" t="s">
        <v>35</v>
      </c>
      <c r="R35" s="50"/>
      <c r="S35" s="51" t="s">
        <v>538</v>
      </c>
      <c r="T35" s="47"/>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row>
    <row r="36" spans="1:96" s="43" customFormat="1" ht="99.95">
      <c r="A36" s="5" t="s">
        <v>304</v>
      </c>
      <c r="B36" s="6" t="s">
        <v>305</v>
      </c>
      <c r="C36" s="5" t="s">
        <v>306</v>
      </c>
      <c r="D36" s="5"/>
      <c r="E36" s="5"/>
      <c r="F36" s="5" t="s">
        <v>534</v>
      </c>
      <c r="G36" s="5" t="s">
        <v>535</v>
      </c>
      <c r="H36" s="5" t="s">
        <v>580</v>
      </c>
      <c r="I36" s="5" t="s">
        <v>495</v>
      </c>
      <c r="J36" s="5" t="s">
        <v>566</v>
      </c>
      <c r="K36" s="6" t="s">
        <v>35</v>
      </c>
      <c r="L36" s="5" t="s">
        <v>287</v>
      </c>
      <c r="M36" s="9" t="s">
        <v>35</v>
      </c>
      <c r="N36" s="9"/>
      <c r="O36" s="9" t="s">
        <v>35</v>
      </c>
      <c r="P36"/>
      <c r="Q36" s="9" t="s">
        <v>35</v>
      </c>
      <c r="R36"/>
      <c r="S36" s="22" t="s">
        <v>538</v>
      </c>
      <c r="T36" s="18" t="s">
        <v>608</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row>
    <row r="37" spans="1:96" s="50" customFormat="1" ht="409.6">
      <c r="A37" s="5" t="s">
        <v>449</v>
      </c>
      <c r="B37" s="6" t="s">
        <v>450</v>
      </c>
      <c r="C37" s="5" t="s">
        <v>451</v>
      </c>
      <c r="D37" s="5"/>
      <c r="E37" s="5"/>
      <c r="F37" s="5" t="s">
        <v>544</v>
      </c>
      <c r="G37" s="5" t="s">
        <v>535</v>
      </c>
      <c r="H37" s="5" t="s">
        <v>580</v>
      </c>
      <c r="I37" s="5" t="s">
        <v>499</v>
      </c>
      <c r="J37" s="5" t="s">
        <v>566</v>
      </c>
      <c r="K37" s="6" t="s">
        <v>35</v>
      </c>
      <c r="L37" s="21" t="s">
        <v>514</v>
      </c>
      <c r="M37" s="9" t="s">
        <v>35</v>
      </c>
      <c r="N37" s="9" t="s">
        <v>649</v>
      </c>
      <c r="O37" s="9" t="s">
        <v>35</v>
      </c>
      <c r="P37" s="52"/>
      <c r="Q37" s="9" t="s">
        <v>35</v>
      </c>
      <c r="R37" s="24" t="s">
        <v>650</v>
      </c>
      <c r="S37" s="22" t="s">
        <v>571</v>
      </c>
      <c r="T37" s="18" t="s">
        <v>514</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row>
    <row r="38" spans="1:96" ht="84.95">
      <c r="A38" s="5" t="s">
        <v>355</v>
      </c>
      <c r="B38" s="6" t="s">
        <v>651</v>
      </c>
      <c r="C38" s="5" t="s">
        <v>357</v>
      </c>
      <c r="D38" s="5"/>
      <c r="E38" s="60"/>
      <c r="F38" s="5" t="s">
        <v>554</v>
      </c>
      <c r="G38" s="5" t="s">
        <v>535</v>
      </c>
      <c r="H38" s="5" t="s">
        <v>536</v>
      </c>
      <c r="I38" s="5" t="s">
        <v>495</v>
      </c>
      <c r="J38" s="5" t="s">
        <v>566</v>
      </c>
      <c r="K38" s="6" t="s">
        <v>35</v>
      </c>
      <c r="L38" s="5"/>
      <c r="M38" s="9" t="s">
        <v>35</v>
      </c>
      <c r="N38" s="9"/>
      <c r="O38" s="9" t="s">
        <v>35</v>
      </c>
      <c r="Q38" s="9" t="s">
        <v>35</v>
      </c>
      <c r="S38" s="22" t="s">
        <v>561</v>
      </c>
      <c r="T38" s="18" t="s">
        <v>602</v>
      </c>
    </row>
    <row r="39" spans="1:96" ht="120">
      <c r="A39" s="37" t="s">
        <v>275</v>
      </c>
      <c r="B39" s="38" t="s">
        <v>276</v>
      </c>
      <c r="C39" s="37" t="s">
        <v>277</v>
      </c>
      <c r="D39" s="37"/>
      <c r="E39" s="37" t="s">
        <v>607</v>
      </c>
      <c r="F39" s="37" t="s">
        <v>554</v>
      </c>
      <c r="G39" s="37" t="s">
        <v>535</v>
      </c>
      <c r="H39" s="37" t="s">
        <v>536</v>
      </c>
      <c r="I39" s="37" t="s">
        <v>495</v>
      </c>
      <c r="J39" s="37" t="s">
        <v>537</v>
      </c>
      <c r="K39" s="38" t="s">
        <v>35</v>
      </c>
      <c r="L39" s="37" t="s">
        <v>261</v>
      </c>
      <c r="M39" s="39" t="s">
        <v>35</v>
      </c>
      <c r="N39" s="39"/>
      <c r="O39" s="39" t="s">
        <v>35</v>
      </c>
      <c r="P39" s="40"/>
      <c r="Q39" s="39" t="s">
        <v>35</v>
      </c>
      <c r="R39" s="40"/>
      <c r="S39" s="41" t="s">
        <v>538</v>
      </c>
      <c r="T39" s="61" t="s">
        <v>608</v>
      </c>
    </row>
    <row r="40" spans="1:96" s="35" customFormat="1" ht="180">
      <c r="A40" s="5" t="s">
        <v>422</v>
      </c>
      <c r="B40" s="6" t="s">
        <v>652</v>
      </c>
      <c r="C40" s="5" t="s">
        <v>653</v>
      </c>
      <c r="D40" s="5" t="s">
        <v>654</v>
      </c>
      <c r="E40" s="5" t="s">
        <v>655</v>
      </c>
      <c r="F40" s="5" t="s">
        <v>554</v>
      </c>
      <c r="G40" s="5" t="s">
        <v>535</v>
      </c>
      <c r="H40" s="5" t="s">
        <v>536</v>
      </c>
      <c r="I40" s="5" t="s">
        <v>495</v>
      </c>
      <c r="J40" s="5" t="s">
        <v>566</v>
      </c>
      <c r="K40" s="6" t="s">
        <v>35</v>
      </c>
      <c r="L40" s="5"/>
      <c r="M40" s="9" t="s">
        <v>35</v>
      </c>
      <c r="N40" s="9"/>
      <c r="O40" s="9" t="s">
        <v>35</v>
      </c>
      <c r="P40"/>
      <c r="Q40" s="54" t="s">
        <v>35</v>
      </c>
      <c r="R40" s="55"/>
      <c r="S40" s="56" t="s">
        <v>561</v>
      </c>
      <c r="T40" s="57" t="s">
        <v>656</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row>
    <row r="41" spans="1:96" s="35" customFormat="1" ht="102">
      <c r="A41" s="5" t="s">
        <v>335</v>
      </c>
      <c r="B41" s="6" t="s">
        <v>336</v>
      </c>
      <c r="C41" s="5" t="s">
        <v>337</v>
      </c>
      <c r="D41" s="5"/>
      <c r="E41" s="5"/>
      <c r="F41" s="5" t="s">
        <v>534</v>
      </c>
      <c r="G41" s="5" t="s">
        <v>535</v>
      </c>
      <c r="H41" s="5" t="s">
        <v>536</v>
      </c>
      <c r="I41" s="5" t="s">
        <v>499</v>
      </c>
      <c r="J41" s="5" t="s">
        <v>566</v>
      </c>
      <c r="K41" s="6" t="s">
        <v>35</v>
      </c>
      <c r="L41" s="5" t="s">
        <v>338</v>
      </c>
      <c r="M41" s="9" t="s">
        <v>35</v>
      </c>
      <c r="N41" s="9"/>
      <c r="O41" s="9" t="s">
        <v>35</v>
      </c>
      <c r="P41"/>
      <c r="Q41" s="9" t="s">
        <v>35</v>
      </c>
      <c r="R41" s="53"/>
      <c r="S41" s="59" t="s">
        <v>571</v>
      </c>
      <c r="T41" s="58" t="s">
        <v>657</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row>
    <row r="42" spans="1:96" ht="140.1">
      <c r="A42" s="5">
        <v>1</v>
      </c>
      <c r="B42" s="6" t="s">
        <v>530</v>
      </c>
      <c r="C42" s="5" t="s">
        <v>531</v>
      </c>
      <c r="D42" s="5" t="s">
        <v>532</v>
      </c>
      <c r="E42" s="5" t="s">
        <v>533</v>
      </c>
      <c r="F42" s="5" t="s">
        <v>534</v>
      </c>
      <c r="G42" s="5" t="s">
        <v>535</v>
      </c>
      <c r="H42" s="5" t="s">
        <v>536</v>
      </c>
      <c r="I42" s="5" t="s">
        <v>499</v>
      </c>
      <c r="J42" s="5" t="s">
        <v>537</v>
      </c>
      <c r="K42" s="6" t="s">
        <v>35</v>
      </c>
      <c r="L42" s="5"/>
      <c r="M42" s="9" t="s">
        <v>35</v>
      </c>
      <c r="N42" s="10"/>
      <c r="O42" s="9" t="s">
        <v>35</v>
      </c>
      <c r="Q42" s="9" t="s">
        <v>35</v>
      </c>
      <c r="S42" s="22" t="s">
        <v>538</v>
      </c>
      <c r="T42" s="22" t="s">
        <v>539</v>
      </c>
    </row>
    <row r="43" spans="1:96" ht="120">
      <c r="A43" s="5">
        <v>2</v>
      </c>
      <c r="B43" s="6" t="s">
        <v>540</v>
      </c>
      <c r="C43" s="5" t="s">
        <v>541</v>
      </c>
      <c r="D43" s="5" t="s">
        <v>542</v>
      </c>
      <c r="E43" s="5" t="s">
        <v>543</v>
      </c>
      <c r="F43" s="5" t="s">
        <v>544</v>
      </c>
      <c r="G43" s="5" t="s">
        <v>535</v>
      </c>
      <c r="H43" s="5" t="s">
        <v>536</v>
      </c>
      <c r="I43" s="5" t="s">
        <v>499</v>
      </c>
      <c r="J43" s="5" t="s">
        <v>537</v>
      </c>
      <c r="K43" s="6" t="s">
        <v>35</v>
      </c>
      <c r="L43" s="5"/>
      <c r="M43" s="9" t="s">
        <v>35</v>
      </c>
      <c r="N43" s="10"/>
      <c r="O43" s="9" t="s">
        <v>35</v>
      </c>
      <c r="Q43" s="9" t="s">
        <v>35</v>
      </c>
      <c r="S43" s="22" t="s">
        <v>538</v>
      </c>
      <c r="T43" s="22" t="s">
        <v>539</v>
      </c>
    </row>
    <row r="44" spans="1:96" ht="120">
      <c r="A44" s="5">
        <v>3</v>
      </c>
      <c r="B44" s="6" t="s">
        <v>545</v>
      </c>
      <c r="C44" s="5" t="s">
        <v>546</v>
      </c>
      <c r="D44" s="5" t="s">
        <v>547</v>
      </c>
      <c r="E44" s="5" t="s">
        <v>548</v>
      </c>
      <c r="F44" s="5" t="s">
        <v>549</v>
      </c>
      <c r="G44" s="5" t="s">
        <v>535</v>
      </c>
      <c r="H44" s="5" t="s">
        <v>536</v>
      </c>
      <c r="I44" s="5" t="s">
        <v>499</v>
      </c>
      <c r="J44" s="5" t="s">
        <v>537</v>
      </c>
      <c r="K44" s="6" t="s">
        <v>35</v>
      </c>
      <c r="L44" s="5"/>
      <c r="M44" s="9" t="s">
        <v>35</v>
      </c>
      <c r="N44" s="10"/>
      <c r="O44" s="9" t="s">
        <v>35</v>
      </c>
      <c r="Q44" s="9" t="s">
        <v>35</v>
      </c>
      <c r="S44" s="22" t="s">
        <v>549</v>
      </c>
      <c r="T44" s="22" t="s">
        <v>539</v>
      </c>
    </row>
    <row r="45" spans="1:96" ht="80.099999999999994">
      <c r="A45" s="5">
        <v>4</v>
      </c>
      <c r="B45" s="6" t="s">
        <v>550</v>
      </c>
      <c r="C45" s="5" t="s">
        <v>551</v>
      </c>
      <c r="D45" s="5" t="s">
        <v>552</v>
      </c>
      <c r="E45" s="5" t="s">
        <v>553</v>
      </c>
      <c r="F45" s="5" t="s">
        <v>554</v>
      </c>
      <c r="G45" s="5" t="s">
        <v>535</v>
      </c>
      <c r="H45" s="5" t="s">
        <v>536</v>
      </c>
      <c r="I45" s="5" t="s">
        <v>499</v>
      </c>
      <c r="J45" s="5" t="s">
        <v>537</v>
      </c>
      <c r="K45" s="6" t="s">
        <v>35</v>
      </c>
      <c r="L45" s="5"/>
      <c r="M45" s="9" t="s">
        <v>35</v>
      </c>
      <c r="N45" s="10"/>
      <c r="O45" s="9" t="s">
        <v>35</v>
      </c>
      <c r="Q45" s="9" t="s">
        <v>35</v>
      </c>
      <c r="S45" s="22" t="s">
        <v>538</v>
      </c>
      <c r="T45" s="22" t="s">
        <v>539</v>
      </c>
    </row>
    <row r="46" spans="1:96" ht="39.950000000000003">
      <c r="A46" s="5">
        <v>6</v>
      </c>
      <c r="B46" s="6" t="s">
        <v>555</v>
      </c>
      <c r="C46" s="5" t="s">
        <v>556</v>
      </c>
      <c r="D46" s="5" t="s">
        <v>557</v>
      </c>
      <c r="E46" s="5"/>
      <c r="F46" s="5" t="s">
        <v>549</v>
      </c>
      <c r="G46" s="5" t="s">
        <v>535</v>
      </c>
      <c r="H46" s="5" t="s">
        <v>536</v>
      </c>
      <c r="I46" s="5" t="s">
        <v>499</v>
      </c>
      <c r="J46" s="5" t="s">
        <v>537</v>
      </c>
      <c r="K46" s="6" t="s">
        <v>35</v>
      </c>
      <c r="L46" s="5"/>
      <c r="M46" s="9" t="s">
        <v>35</v>
      </c>
      <c r="N46" s="10"/>
      <c r="O46" s="9" t="s">
        <v>35</v>
      </c>
      <c r="Q46" s="9" t="s">
        <v>35</v>
      </c>
      <c r="S46" s="22" t="s">
        <v>538</v>
      </c>
      <c r="T46" s="22" t="s">
        <v>539</v>
      </c>
    </row>
    <row r="47" spans="1:96" ht="80.099999999999994">
      <c r="A47" s="5">
        <v>11</v>
      </c>
      <c r="B47" s="6" t="s">
        <v>558</v>
      </c>
      <c r="C47" s="5" t="s">
        <v>559</v>
      </c>
      <c r="D47" s="5" t="s">
        <v>560</v>
      </c>
      <c r="E47" s="5"/>
      <c r="F47" s="5" t="s">
        <v>534</v>
      </c>
      <c r="G47" s="5" t="s">
        <v>535</v>
      </c>
      <c r="H47" s="5" t="s">
        <v>536</v>
      </c>
      <c r="I47" s="5" t="s">
        <v>495</v>
      </c>
      <c r="J47" s="5" t="s">
        <v>537</v>
      </c>
      <c r="K47" s="6" t="s">
        <v>35</v>
      </c>
      <c r="L47" s="5"/>
      <c r="M47" s="9" t="s">
        <v>35</v>
      </c>
      <c r="N47" s="10"/>
      <c r="O47" s="9" t="s">
        <v>35</v>
      </c>
      <c r="Q47" s="9" t="s">
        <v>35</v>
      </c>
      <c r="S47" s="22" t="s">
        <v>561</v>
      </c>
      <c r="T47" s="22" t="s">
        <v>539</v>
      </c>
    </row>
    <row r="48" spans="1:96" ht="80.099999999999994">
      <c r="A48" s="5">
        <v>5</v>
      </c>
      <c r="B48" s="6" t="s">
        <v>562</v>
      </c>
      <c r="C48" s="5" t="s">
        <v>563</v>
      </c>
      <c r="D48" s="5" t="s">
        <v>564</v>
      </c>
      <c r="E48" s="5" t="s">
        <v>565</v>
      </c>
      <c r="F48" s="5" t="s">
        <v>554</v>
      </c>
      <c r="G48" s="5" t="s">
        <v>535</v>
      </c>
      <c r="H48" s="5" t="s">
        <v>536</v>
      </c>
      <c r="I48" s="5" t="s">
        <v>499</v>
      </c>
      <c r="J48" s="5" t="s">
        <v>566</v>
      </c>
      <c r="K48" s="6" t="s">
        <v>35</v>
      </c>
      <c r="L48" s="5"/>
      <c r="M48" s="9" t="s">
        <v>35</v>
      </c>
      <c r="N48" s="10"/>
      <c r="O48" s="9" t="s">
        <v>35</v>
      </c>
      <c r="Q48" s="9" t="s">
        <v>35</v>
      </c>
      <c r="S48" s="22" t="s">
        <v>538</v>
      </c>
      <c r="T48" s="22" t="s">
        <v>539</v>
      </c>
    </row>
    <row r="49" spans="1:20" ht="120">
      <c r="A49" s="5">
        <v>7</v>
      </c>
      <c r="B49" s="6" t="s">
        <v>567</v>
      </c>
      <c r="C49" s="5" t="s">
        <v>568</v>
      </c>
      <c r="D49" s="5" t="s">
        <v>569</v>
      </c>
      <c r="E49" s="5" t="s">
        <v>570</v>
      </c>
      <c r="F49" s="5" t="s">
        <v>554</v>
      </c>
      <c r="G49" s="5" t="s">
        <v>535</v>
      </c>
      <c r="H49" s="5" t="s">
        <v>536</v>
      </c>
      <c r="I49" s="5" t="s">
        <v>495</v>
      </c>
      <c r="J49" s="5" t="s">
        <v>566</v>
      </c>
      <c r="K49" s="6" t="s">
        <v>35</v>
      </c>
      <c r="L49" s="5"/>
      <c r="M49" s="9" t="s">
        <v>35</v>
      </c>
      <c r="N49" s="10"/>
      <c r="O49" s="9" t="s">
        <v>35</v>
      </c>
      <c r="Q49" s="9" t="s">
        <v>35</v>
      </c>
      <c r="S49" s="22" t="s">
        <v>571</v>
      </c>
      <c r="T49" s="22" t="s">
        <v>539</v>
      </c>
    </row>
    <row r="50" spans="1:20" ht="159.94999999999999">
      <c r="A50" s="37">
        <v>8</v>
      </c>
      <c r="B50" s="38" t="s">
        <v>572</v>
      </c>
      <c r="C50" s="37" t="s">
        <v>573</v>
      </c>
      <c r="D50" s="37" t="s">
        <v>574</v>
      </c>
      <c r="E50" s="37" t="s">
        <v>575</v>
      </c>
      <c r="F50" s="37" t="s">
        <v>534</v>
      </c>
      <c r="G50" s="37" t="s">
        <v>535</v>
      </c>
      <c r="H50" s="37" t="s">
        <v>536</v>
      </c>
      <c r="I50" s="37" t="s">
        <v>499</v>
      </c>
      <c r="J50" s="37" t="s">
        <v>566</v>
      </c>
      <c r="K50" s="38" t="s">
        <v>35</v>
      </c>
      <c r="L50" s="37"/>
      <c r="M50" s="39" t="s">
        <v>35</v>
      </c>
      <c r="N50" s="46"/>
      <c r="O50" s="39" t="s">
        <v>35</v>
      </c>
      <c r="P50" s="40"/>
      <c r="Q50" s="39" t="s">
        <v>35</v>
      </c>
      <c r="R50" s="40"/>
      <c r="S50" s="41" t="s">
        <v>571</v>
      </c>
      <c r="T50" s="41" t="s">
        <v>539</v>
      </c>
    </row>
    <row r="51" spans="1:20" ht="80.099999999999994">
      <c r="A51" s="5">
        <v>10</v>
      </c>
      <c r="B51" s="6" t="s">
        <v>576</v>
      </c>
      <c r="C51" s="5" t="s">
        <v>577</v>
      </c>
      <c r="D51" s="5" t="s">
        <v>578</v>
      </c>
      <c r="E51" s="5" t="s">
        <v>579</v>
      </c>
      <c r="F51" s="5" t="s">
        <v>534</v>
      </c>
      <c r="G51" s="5" t="s">
        <v>535</v>
      </c>
      <c r="H51" s="5" t="s">
        <v>580</v>
      </c>
      <c r="I51" s="5" t="s">
        <v>499</v>
      </c>
      <c r="J51" s="5" t="s">
        <v>566</v>
      </c>
      <c r="K51" s="6" t="s">
        <v>35</v>
      </c>
      <c r="L51" s="5"/>
      <c r="M51" s="9" t="s">
        <v>35</v>
      </c>
      <c r="N51" s="10"/>
      <c r="O51" s="39" t="s">
        <v>35</v>
      </c>
      <c r="Q51" s="9" t="s">
        <v>65</v>
      </c>
      <c r="R51" s="71" t="s">
        <v>658</v>
      </c>
      <c r="S51" s="22" t="s">
        <v>538</v>
      </c>
      <c r="T51" s="22" t="s">
        <v>539</v>
      </c>
    </row>
    <row r="52" spans="1:20" ht="18.75" customHeight="1">
      <c r="A52" s="37">
        <v>12</v>
      </c>
      <c r="B52" s="38" t="s">
        <v>582</v>
      </c>
      <c r="C52" s="37" t="s">
        <v>583</v>
      </c>
      <c r="D52" s="37" t="s">
        <v>584</v>
      </c>
      <c r="E52" s="37" t="s">
        <v>585</v>
      </c>
      <c r="F52" s="37" t="s">
        <v>534</v>
      </c>
      <c r="G52" s="37" t="s">
        <v>586</v>
      </c>
      <c r="H52" s="37" t="s">
        <v>580</v>
      </c>
      <c r="I52" s="37" t="s">
        <v>495</v>
      </c>
      <c r="J52" s="37" t="s">
        <v>566</v>
      </c>
      <c r="K52" s="38" t="s">
        <v>35</v>
      </c>
      <c r="L52" s="37"/>
      <c r="M52" s="39" t="s">
        <v>35</v>
      </c>
      <c r="N52" s="46"/>
      <c r="O52" s="39" t="s">
        <v>35</v>
      </c>
      <c r="P52" s="40"/>
      <c r="Q52" s="39" t="s">
        <v>35</v>
      </c>
      <c r="R52" s="40"/>
      <c r="S52" s="41" t="s">
        <v>561</v>
      </c>
      <c r="T52" s="41" t="s">
        <v>539</v>
      </c>
    </row>
    <row r="53" spans="1:20" ht="18.75" customHeight="1">
      <c r="A53" s="5">
        <v>13</v>
      </c>
      <c r="B53" s="6" t="s">
        <v>587</v>
      </c>
      <c r="C53" s="5" t="s">
        <v>588</v>
      </c>
      <c r="D53" s="5" t="s">
        <v>589</v>
      </c>
      <c r="E53" s="5" t="s">
        <v>590</v>
      </c>
      <c r="F53" s="5" t="s">
        <v>534</v>
      </c>
      <c r="G53" s="5" t="s">
        <v>535</v>
      </c>
      <c r="H53" s="5" t="s">
        <v>580</v>
      </c>
      <c r="I53" s="5" t="s">
        <v>495</v>
      </c>
      <c r="J53" s="5" t="s">
        <v>566</v>
      </c>
      <c r="K53" s="6" t="s">
        <v>35</v>
      </c>
      <c r="L53" s="5"/>
      <c r="M53" s="9" t="s">
        <v>35</v>
      </c>
      <c r="N53" s="10"/>
      <c r="O53" s="9" t="s">
        <v>35</v>
      </c>
      <c r="Q53" s="9" t="s">
        <v>35</v>
      </c>
      <c r="S53" s="22" t="s">
        <v>561</v>
      </c>
      <c r="T53" s="22" t="s">
        <v>539</v>
      </c>
    </row>
    <row r="54" spans="1:20" ht="18.75" customHeight="1">
      <c r="A54" s="25">
        <v>9</v>
      </c>
      <c r="B54" s="26" t="s">
        <v>29</v>
      </c>
      <c r="C54" s="25"/>
      <c r="D54" s="25"/>
      <c r="E54" s="25" t="s">
        <v>591</v>
      </c>
      <c r="F54" s="25"/>
      <c r="G54" s="25"/>
      <c r="H54" s="25"/>
      <c r="I54" s="25"/>
      <c r="J54" s="25"/>
      <c r="K54" s="26" t="s">
        <v>65</v>
      </c>
      <c r="L54" s="25" t="s">
        <v>659</v>
      </c>
      <c r="M54" s="27"/>
      <c r="N54" s="30"/>
      <c r="O54" s="27"/>
      <c r="P54" s="28"/>
      <c r="Q54" s="27"/>
      <c r="R54" s="28"/>
      <c r="S54" s="29" t="s">
        <v>538</v>
      </c>
      <c r="T54" s="29" t="s">
        <v>539</v>
      </c>
    </row>
    <row r="55" spans="1:20" ht="18.75" customHeight="1">
      <c r="A55" s="25">
        <v>14</v>
      </c>
      <c r="B55" s="26" t="s">
        <v>592</v>
      </c>
      <c r="C55" s="25" t="s">
        <v>593</v>
      </c>
      <c r="D55" s="25"/>
      <c r="E55" s="25" t="s">
        <v>594</v>
      </c>
      <c r="F55" s="25"/>
      <c r="G55" s="25"/>
      <c r="H55" s="25"/>
      <c r="I55" s="25"/>
      <c r="J55" s="25"/>
      <c r="K55" s="26"/>
      <c r="L55" s="25" t="s">
        <v>659</v>
      </c>
      <c r="M55" s="27"/>
      <c r="N55" s="30"/>
      <c r="O55" s="27"/>
      <c r="P55" s="28"/>
      <c r="Q55" s="27"/>
      <c r="R55" s="28"/>
      <c r="S55" s="29" t="s">
        <v>571</v>
      </c>
      <c r="T55" s="29" t="s">
        <v>595</v>
      </c>
    </row>
    <row r="59" spans="1:20" ht="18.75" customHeight="1">
      <c r="C59" t="str" cm="1">
        <f t="array" ref="C59:C62">_xlfn.UNIQUE(S2:S55)</f>
        <v>Defense</v>
      </c>
      <c r="D59">
        <f>COUNTIF(S2:S55, C59)</f>
        <v>21</v>
      </c>
      <c r="E59" s="90">
        <f>(D59/54)</f>
        <v>0.3888888888888889</v>
      </c>
    </row>
    <row r="60" spans="1:20" ht="18.75" customHeight="1">
      <c r="C60" t="str">
        <v>Vulnerability</v>
      </c>
      <c r="D60">
        <f t="shared" ref="D60:D62" si="0">COUNTIF(S3:S56, C60)</f>
        <v>14</v>
      </c>
      <c r="E60" s="90">
        <f t="shared" ref="E60:E62" si="1">(D60/54)</f>
        <v>0.25925925925925924</v>
      </c>
    </row>
    <row r="61" spans="1:20" ht="18.75" customHeight="1">
      <c r="C61" t="str">
        <v>Situation</v>
      </c>
      <c r="D61">
        <f t="shared" si="0"/>
        <v>18</v>
      </c>
      <c r="E61" s="90">
        <f t="shared" si="1"/>
        <v>0.33333333333333331</v>
      </c>
    </row>
    <row r="62" spans="1:20" ht="18.75" customHeight="1">
      <c r="C62" t="str">
        <v>User</v>
      </c>
      <c r="D62">
        <f t="shared" si="0"/>
        <v>1</v>
      </c>
      <c r="E62" s="90">
        <f t="shared" si="1"/>
        <v>1.8518518518518517E-2</v>
      </c>
    </row>
  </sheetData>
  <autoFilter ref="A1:T41" xr:uid="{23023AA3-2C70-984C-B1A0-19D0EBDB88CF}">
    <sortState xmlns:xlrd2="http://schemas.microsoft.com/office/spreadsheetml/2017/richdata2" ref="A2:T41">
      <sortCondition ref="B1:B41"/>
    </sortState>
  </autoFilter>
  <conditionalFormatting sqref="K1:K41">
    <cfRule type="colorScale" priority="324">
      <colorScale>
        <cfvo type="min"/>
        <cfvo type="percentile" val="50"/>
        <cfvo type="max"/>
        <color rgb="FF63BE7B"/>
        <color rgb="FFFFEB84"/>
        <color rgb="FFF8696B"/>
      </colorScale>
    </cfRule>
  </conditionalFormatting>
  <conditionalFormatting sqref="K42:K55">
    <cfRule type="colorScale" priority="35">
      <colorScale>
        <cfvo type="min"/>
        <cfvo type="percentile" val="50"/>
        <cfvo type="max"/>
        <color rgb="FF63BE7B"/>
        <color rgb="FFFFEB84"/>
        <color rgb="FFF8696B"/>
      </colorScale>
    </cfRule>
  </conditionalFormatting>
  <conditionalFormatting sqref="M1">
    <cfRule type="colorScale" priority="99">
      <colorScale>
        <cfvo type="min"/>
        <cfvo type="percentile" val="50"/>
        <cfvo type="max"/>
        <color rgb="FF63BE7B"/>
        <color rgb="FFFFEB84"/>
        <color rgb="FFF8696B"/>
      </colorScale>
    </cfRule>
  </conditionalFormatting>
  <conditionalFormatting sqref="M2:M41">
    <cfRule type="colorScale" priority="326">
      <colorScale>
        <cfvo type="min"/>
        <cfvo type="percentile" val="50"/>
        <cfvo type="max"/>
        <color rgb="FF63BE7B"/>
        <color rgb="FFFFEB84"/>
        <color rgb="FFF8696B"/>
      </colorScale>
    </cfRule>
  </conditionalFormatting>
  <conditionalFormatting sqref="M42:M52 M54:M55">
    <cfRule type="colorScale" priority="30">
      <colorScale>
        <cfvo type="min"/>
        <cfvo type="percentile" val="50"/>
        <cfvo type="max"/>
        <color rgb="FF63BE7B"/>
        <color rgb="FFFFEB84"/>
        <color rgb="FFF8696B"/>
      </colorScale>
    </cfRule>
  </conditionalFormatting>
  <conditionalFormatting sqref="M53">
    <cfRule type="colorScale" priority="14">
      <colorScale>
        <cfvo type="min"/>
        <cfvo type="percentile" val="50"/>
        <cfvo type="max"/>
        <color rgb="FF63BE7B"/>
        <color rgb="FFFFEB84"/>
        <color rgb="FFF8696B"/>
      </colorScale>
    </cfRule>
  </conditionalFormatting>
  <conditionalFormatting sqref="M1:N53">
    <cfRule type="cellIs" dxfId="53" priority="11" operator="equal">
      <formula>"?"</formula>
    </cfRule>
    <cfRule type="cellIs" dxfId="52" priority="12" operator="equal">
      <formula>"No"</formula>
    </cfRule>
    <cfRule type="cellIs" dxfId="51" priority="13" operator="equal">
      <formula>"Yes"</formula>
    </cfRule>
  </conditionalFormatting>
  <conditionalFormatting sqref="M54:O55">
    <cfRule type="cellIs" dxfId="50" priority="19" operator="equal">
      <formula>"?"</formula>
    </cfRule>
    <cfRule type="cellIs" dxfId="49" priority="20" operator="equal">
      <formula>"No"</formula>
    </cfRule>
    <cfRule type="cellIs" dxfId="48" priority="21" operator="equal">
      <formula>"Yes"</formula>
    </cfRule>
  </conditionalFormatting>
  <conditionalFormatting sqref="N1:N41">
    <cfRule type="colorScale" priority="325">
      <colorScale>
        <cfvo type="min"/>
        <cfvo type="percentile" val="50"/>
        <cfvo type="max"/>
        <color rgb="FF63BE7B"/>
        <color rgb="FFFFEB84"/>
        <color rgb="FFF8696B"/>
      </colorScale>
    </cfRule>
  </conditionalFormatting>
  <conditionalFormatting sqref="N42:N52 N54:N55">
    <cfRule type="colorScale" priority="34">
      <colorScale>
        <cfvo type="min"/>
        <cfvo type="percentile" val="50"/>
        <cfvo type="max"/>
        <color rgb="FF63BE7B"/>
        <color rgb="FFFFEB84"/>
        <color rgb="FFF8696B"/>
      </colorScale>
    </cfRule>
  </conditionalFormatting>
  <conditionalFormatting sqref="N53">
    <cfRule type="colorScale" priority="18">
      <colorScale>
        <cfvo type="min"/>
        <cfvo type="percentile" val="50"/>
        <cfvo type="max"/>
        <color rgb="FF63BE7B"/>
        <color rgb="FFFFEB84"/>
        <color rgb="FFF8696B"/>
      </colorScale>
    </cfRule>
  </conditionalFormatting>
  <conditionalFormatting sqref="O1">
    <cfRule type="colorScale" priority="71">
      <colorScale>
        <cfvo type="min"/>
        <cfvo type="percentile" val="50"/>
        <cfvo type="max"/>
        <color rgb="FF63BE7B"/>
        <color rgb="FFFFEB84"/>
        <color rgb="FFF8696B"/>
      </colorScale>
    </cfRule>
  </conditionalFormatting>
  <conditionalFormatting sqref="O2">
    <cfRule type="colorScale" priority="51">
      <colorScale>
        <cfvo type="min"/>
        <cfvo type="percentile" val="50"/>
        <cfvo type="max"/>
        <color rgb="FF63BE7B"/>
        <color rgb="FFFFEB84"/>
        <color rgb="FFF8696B"/>
      </colorScale>
    </cfRule>
  </conditionalFormatting>
  <conditionalFormatting sqref="O2:O53">
    <cfRule type="cellIs" dxfId="47" priority="3" operator="equal">
      <formula>"?"</formula>
    </cfRule>
    <cfRule type="cellIs" dxfId="46" priority="4" operator="equal">
      <formula>"No"</formula>
    </cfRule>
    <cfRule type="cellIs" dxfId="45" priority="5" operator="equal">
      <formula>"Yes"</formula>
    </cfRule>
  </conditionalFormatting>
  <conditionalFormatting sqref="O16">
    <cfRule type="colorScale" priority="2">
      <colorScale>
        <cfvo type="min"/>
        <cfvo type="percentile" val="50"/>
        <cfvo type="max"/>
        <color rgb="FF63BE7B"/>
        <color rgb="FFFFEB84"/>
        <color rgb="FFF8696B"/>
      </colorScale>
    </cfRule>
  </conditionalFormatting>
  <conditionalFormatting sqref="O32:O34">
    <cfRule type="colorScale" priority="63">
      <colorScale>
        <cfvo type="min"/>
        <cfvo type="percentile" val="50"/>
        <cfvo type="max"/>
        <color rgb="FF63BE7B"/>
        <color rgb="FFFFEB84"/>
        <color rgb="FFF8696B"/>
      </colorScale>
    </cfRule>
  </conditionalFormatting>
  <conditionalFormatting sqref="O35:O41 O3:O31">
    <cfRule type="colorScale" priority="322">
      <colorScale>
        <cfvo type="min"/>
        <cfvo type="percentile" val="50"/>
        <cfvo type="max"/>
        <color rgb="FF63BE7B"/>
        <color rgb="FFFFEB84"/>
        <color rgb="FFF8696B"/>
      </colorScale>
    </cfRule>
  </conditionalFormatting>
  <conditionalFormatting sqref="O53">
    <cfRule type="colorScale" priority="6">
      <colorScale>
        <cfvo type="min"/>
        <cfvo type="percentile" val="50"/>
        <cfvo type="max"/>
        <color rgb="FF63BE7B"/>
        <color rgb="FFFFEB84"/>
        <color rgb="FFF8696B"/>
      </colorScale>
    </cfRule>
  </conditionalFormatting>
  <conditionalFormatting sqref="O54:O55 O42:O52">
    <cfRule type="colorScale" priority="22">
      <colorScale>
        <cfvo type="min"/>
        <cfvo type="percentile" val="50"/>
        <cfvo type="max"/>
        <color rgb="FF63BE7B"/>
        <color rgb="FFFFEB84"/>
        <color rgb="FFF8696B"/>
      </colorScale>
    </cfRule>
  </conditionalFormatting>
  <conditionalFormatting sqref="O1:T1">
    <cfRule type="cellIs" dxfId="44" priority="68" operator="equal">
      <formula>"?"</formula>
    </cfRule>
    <cfRule type="cellIs" dxfId="43" priority="69" operator="equal">
      <formula>"No"</formula>
    </cfRule>
    <cfRule type="cellIs" dxfId="42" priority="70" operator="equal">
      <formula>"Yes"</formula>
    </cfRule>
  </conditionalFormatting>
  <conditionalFormatting sqref="P1">
    <cfRule type="colorScale" priority="91">
      <colorScale>
        <cfvo type="min"/>
        <cfvo type="percentile" val="50"/>
        <cfvo type="max"/>
        <color rgb="FF63BE7B"/>
        <color rgb="FFFFEB84"/>
        <color rgb="FFF8696B"/>
      </colorScale>
    </cfRule>
  </conditionalFormatting>
  <conditionalFormatting sqref="Q1">
    <cfRule type="colorScale" priority="83">
      <colorScale>
        <cfvo type="min"/>
        <cfvo type="percentile" val="50"/>
        <cfvo type="max"/>
        <color rgb="FF63BE7B"/>
        <color rgb="FFFFEB84"/>
        <color rgb="FFF8696B"/>
      </colorScale>
    </cfRule>
  </conditionalFormatting>
  <conditionalFormatting sqref="Q2">
    <cfRule type="colorScale" priority="47">
      <colorScale>
        <cfvo type="min"/>
        <cfvo type="percentile" val="50"/>
        <cfvo type="max"/>
        <color rgb="FF63BE7B"/>
        <color rgb="FFFFEB84"/>
        <color rgb="FFF8696B"/>
      </colorScale>
    </cfRule>
  </conditionalFormatting>
  <conditionalFormatting sqref="Q2:Q26">
    <cfRule type="cellIs" dxfId="41" priority="44" operator="equal">
      <formula>"?"</formula>
    </cfRule>
    <cfRule type="cellIs" dxfId="40" priority="45" operator="equal">
      <formula>"No"</formula>
    </cfRule>
    <cfRule type="cellIs" dxfId="39" priority="46" operator="equal">
      <formula>"Yes"</formula>
    </cfRule>
  </conditionalFormatting>
  <conditionalFormatting sqref="Q16">
    <cfRule type="colorScale" priority="1">
      <colorScale>
        <cfvo type="min"/>
        <cfvo type="percentile" val="50"/>
        <cfvo type="max"/>
        <color rgb="FF63BE7B"/>
        <color rgb="FFFFEB84"/>
        <color rgb="FFF8696B"/>
      </colorScale>
    </cfRule>
  </conditionalFormatting>
  <conditionalFormatting sqref="Q28:Q55">
    <cfRule type="cellIs" dxfId="38" priority="7" operator="equal">
      <formula>"?"</formula>
    </cfRule>
    <cfRule type="cellIs" dxfId="37" priority="8" operator="equal">
      <formula>"No"</formula>
    </cfRule>
    <cfRule type="cellIs" dxfId="36" priority="9" operator="equal">
      <formula>"Yes"</formula>
    </cfRule>
  </conditionalFormatting>
  <conditionalFormatting sqref="Q39">
    <cfRule type="colorScale" priority="55">
      <colorScale>
        <cfvo type="min"/>
        <cfvo type="percentile" val="50"/>
        <cfvo type="max"/>
        <color rgb="FF63BE7B"/>
        <color rgb="FFFFEB84"/>
        <color rgb="FFF8696B"/>
      </colorScale>
    </cfRule>
  </conditionalFormatting>
  <conditionalFormatting sqref="Q40:Q41 Q3:Q26 Q28:Q38">
    <cfRule type="colorScale" priority="320">
      <colorScale>
        <cfvo type="min"/>
        <cfvo type="percentile" val="50"/>
        <cfvo type="max"/>
        <color rgb="FF63BE7B"/>
        <color rgb="FFFFEB84"/>
        <color rgb="FFF8696B"/>
      </colorScale>
    </cfRule>
  </conditionalFormatting>
  <conditionalFormatting sqref="Q42:Q52 Q54:Q55">
    <cfRule type="colorScale" priority="26">
      <colorScale>
        <cfvo type="min"/>
        <cfvo type="percentile" val="50"/>
        <cfvo type="max"/>
        <color rgb="FF63BE7B"/>
        <color rgb="FFFFEB84"/>
        <color rgb="FFF8696B"/>
      </colorScale>
    </cfRule>
  </conditionalFormatting>
  <conditionalFormatting sqref="Q53">
    <cfRule type="colorScale" priority="10">
      <colorScale>
        <cfvo type="min"/>
        <cfvo type="percentile" val="50"/>
        <cfvo type="max"/>
        <color rgb="FF63BE7B"/>
        <color rgb="FFFFEB84"/>
        <color rgb="FFF8696B"/>
      </colorScale>
    </cfRule>
  </conditionalFormatting>
  <conditionalFormatting sqref="R39">
    <cfRule type="cellIs" dxfId="35" priority="56" operator="equal">
      <formula>"?"</formula>
    </cfRule>
    <cfRule type="cellIs" dxfId="34" priority="57" operator="equal">
      <formula>"No"</formula>
    </cfRule>
    <cfRule type="cellIs" dxfId="33" priority="58" operator="equal">
      <formula>"Yes"</formula>
    </cfRule>
    <cfRule type="colorScale" priority="59">
      <colorScale>
        <cfvo type="min"/>
        <cfvo type="percentile" val="50"/>
        <cfvo type="max"/>
        <color rgb="FF63BE7B"/>
        <color rgb="FFFFEB84"/>
        <color rgb="FFF8696B"/>
      </colorScale>
    </cfRule>
  </conditionalFormatting>
  <conditionalFormatting sqref="R1:T1">
    <cfRule type="colorScale" priority="75">
      <colorScale>
        <cfvo type="min"/>
        <cfvo type="percentile" val="50"/>
        <cfvo type="max"/>
        <color rgb="FF63BE7B"/>
        <color rgb="FFFFEB84"/>
        <color rgb="FFF8696B"/>
      </colorScale>
    </cfRule>
  </conditionalFormatting>
  <conditionalFormatting sqref="T11">
    <cfRule type="cellIs" dxfId="32" priority="36" operator="equal">
      <formula>"?"</formula>
    </cfRule>
    <cfRule type="cellIs" dxfId="31" priority="37" operator="equal">
      <formula>"No"</formula>
    </cfRule>
    <cfRule type="cellIs" dxfId="30" priority="38" operator="equal">
      <formula>"Yes"</formula>
    </cfRule>
    <cfRule type="colorScale" priority="39">
      <colorScale>
        <cfvo type="min"/>
        <cfvo type="percentile" val="50"/>
        <cfvo type="max"/>
        <color rgb="FF63BE7B"/>
        <color rgb="FFFFEB84"/>
        <color rgb="FFF8696B"/>
      </colorScale>
    </cfRule>
  </conditionalFormatting>
  <hyperlinks>
    <hyperlink ref="L37" r:id="rId1" xr:uid="{2DBE9BFD-FA33-3C45-A09F-945D5CB51B96}"/>
    <hyperlink ref="T5" r:id="rId2" xr:uid="{9851EA12-8ECE-476E-9BAC-4E2B5C5FA3B5}"/>
    <hyperlink ref="T15" r:id="rId3" xr:uid="{EC8717CC-7D51-4030-8340-0046966C4E91}"/>
    <hyperlink ref="T25" r:id="rId4" xr:uid="{176098F7-6BA8-44AC-BCC4-0AB48B3B137B}"/>
    <hyperlink ref="T30" r:id="rId5" xr:uid="{428E2D39-D6BD-4FA5-89F5-CCE7ABDCE653}"/>
    <hyperlink ref="T12" r:id="rId6" xr:uid="{36F5948C-82A3-4FD8-8983-C110EE34DDB6}"/>
    <hyperlink ref="T33" r:id="rId7" xr:uid="{6BD3C4CB-86B1-41E8-8CFC-59CC980CFC66}"/>
    <hyperlink ref="T16" r:id="rId8" xr:uid="{08895A5E-F277-4CA4-B0C0-FD99CDC029F3}"/>
    <hyperlink ref="T14" r:id="rId9" xr:uid="{8A8408E9-231A-4C37-A054-5F1D1A452DA0}"/>
    <hyperlink ref="T9" r:id="rId10" xr:uid="{9FF168B2-8A90-4716-B3AC-C088BDA8869B}"/>
    <hyperlink ref="T31" r:id="rId11" xr:uid="{E271B6DF-406F-41CB-87D5-93AE34D9386E}"/>
    <hyperlink ref="T27" r:id="rId12" xr:uid="{C9648671-02F6-4E1C-8D56-32B5045B5747}"/>
    <hyperlink ref="T13" r:id="rId13" xr:uid="{2D63C7D4-A345-4FEC-9DBF-5B34226FB35F}"/>
    <hyperlink ref="T6" r:id="rId14" xr:uid="{DB97FDA7-9638-431F-AB4E-A97AB34A95D4}"/>
    <hyperlink ref="T7" r:id="rId15" xr:uid="{80FA24D5-7027-4B75-A433-763E80B77921}"/>
    <hyperlink ref="T39" r:id="rId16" xr:uid="{234611DD-BB38-482E-BB4D-8113574CFB68}"/>
    <hyperlink ref="T3" r:id="rId17" xr:uid="{85A720CB-03CE-403C-A1D1-DE4F894153D2}"/>
    <hyperlink ref="T21" r:id="rId18" xr:uid="{3EBEDA6F-8F0D-465E-9FA4-CBC78CA86673}"/>
    <hyperlink ref="T22" r:id="rId19" display="https://ieeexplore.ieee.org/document/8017389" xr:uid="{C92C4B41-06B5-4051-A6EA-C218004E1ED3}"/>
    <hyperlink ref="T32" r:id="rId20" xr:uid="{1657780F-21A0-49AC-9CFC-0B3499E0F08F}"/>
    <hyperlink ref="T36" r:id="rId21" xr:uid="{D267C616-9176-4270-A385-C8DE2AA56F84}"/>
    <hyperlink ref="T8" r:id="rId22" xr:uid="{548BB365-A16A-4D78-99A6-D476DBCF6532}"/>
    <hyperlink ref="T26" r:id="rId23" xr:uid="{919FD7D1-41B3-4E49-98E9-B3E99AD02540}"/>
    <hyperlink ref="T41" r:id="rId24" xr:uid="{B7E103B2-06A1-4AE7-B637-C42C1A0E2370}"/>
    <hyperlink ref="T4" r:id="rId25" xr:uid="{C66CEAEE-22BB-46C7-A441-EEA23F315077}"/>
    <hyperlink ref="T29" r:id="rId26" xr:uid="{E59A72B9-6B8B-4C91-A2E5-CDC7B5D48384}"/>
    <hyperlink ref="T18" r:id="rId27" xr:uid="{66F7C9A4-82C9-401D-9C22-E061D94FBBCD}"/>
    <hyperlink ref="T28" r:id="rId28" xr:uid="{502E20C2-44FE-4571-8EFE-10F6854C686C}"/>
    <hyperlink ref="T38" r:id="rId29" xr:uid="{0ABC2CB2-CDD7-4E2E-913D-3488C2660C61}"/>
    <hyperlink ref="T24" r:id="rId30" xr:uid="{CC5305E9-06D7-4F60-B951-81678D151701}"/>
    <hyperlink ref="T23" r:id="rId31" xr:uid="{1E936C0F-EC38-46FF-A462-E65433D02045}"/>
    <hyperlink ref="T19" r:id="rId32" xr:uid="{87B0748B-BAAF-4B80-BA2C-BFB655A054BE}"/>
    <hyperlink ref="T17" r:id="rId33" xr:uid="{78A58D72-B9F2-4FE7-AB73-9322BA9BDF5A}"/>
    <hyperlink ref="T20" r:id="rId34" xr:uid="{1C564A20-C7C3-4DDA-9580-BEFF8D98122E}"/>
    <hyperlink ref="T34" r:id="rId35" xr:uid="{98877B25-0E64-419A-9587-E07D934949E6}"/>
    <hyperlink ref="T37" r:id="rId36" xr:uid="{526CAEA8-EB4B-4FB4-BE1D-340EC7156862}"/>
    <hyperlink ref="T10" r:id="rId37" xr:uid="{ACFC92F9-C91E-42E4-837B-8CACA198E798}"/>
    <hyperlink ref="T11" r:id="rId38" xr:uid="{53B1967D-3F6A-49A0-90B0-48E874A82600}"/>
    <hyperlink ref="T40" r:id="rId39" xr:uid="{FF280191-0DF9-4B98-9FE6-3A25A89674F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319"/>
  <sheetViews>
    <sheetView tabSelected="1" topLeftCell="A290" workbookViewId="0">
      <selection activeCell="K296" sqref="K296"/>
    </sheetView>
  </sheetViews>
  <sheetFormatPr defaultColWidth="11" defaultRowHeight="15"/>
  <cols>
    <col min="1" max="1" width="11" style="95"/>
    <col min="2" max="2" width="14.625" style="95" customWidth="1"/>
    <col min="3" max="3" width="11" style="95"/>
    <col min="4" max="4" width="11.25" style="95" bestFit="1" customWidth="1"/>
    <col min="5" max="5" width="35.625" style="95" customWidth="1"/>
    <col min="6" max="9" width="11" style="95"/>
    <col min="10" max="10" width="53.125" style="95" customWidth="1"/>
    <col min="11" max="11" width="40.625" style="95" customWidth="1"/>
    <col min="12" max="12" width="10.875" style="95" customWidth="1"/>
    <col min="13" max="17" width="11" style="95"/>
    <col min="18" max="18" width="10.875" style="95" customWidth="1"/>
    <col min="19" max="19" width="42.5" style="95" customWidth="1"/>
    <col min="20" max="16384" width="11" style="95"/>
  </cols>
  <sheetData>
    <row r="1" spans="1:22" ht="54.95" customHeight="1">
      <c r="A1" s="94" t="s">
        <v>0</v>
      </c>
      <c r="B1" s="94" t="s">
        <v>1</v>
      </c>
      <c r="C1" s="94" t="s">
        <v>2</v>
      </c>
      <c r="D1" s="94" t="s">
        <v>3</v>
      </c>
      <c r="E1" s="94" t="s">
        <v>4</v>
      </c>
      <c r="F1" s="94" t="s">
        <v>5</v>
      </c>
      <c r="G1" s="94" t="s">
        <v>6</v>
      </c>
      <c r="H1" s="94" t="s">
        <v>7</v>
      </c>
      <c r="I1" s="94" t="s">
        <v>8</v>
      </c>
      <c r="J1" s="94" t="s">
        <v>9</v>
      </c>
      <c r="K1" s="94" t="s">
        <v>10</v>
      </c>
      <c r="L1" s="94" t="s">
        <v>11</v>
      </c>
      <c r="M1" s="94" t="s">
        <v>12</v>
      </c>
      <c r="N1" s="94" t="s">
        <v>13</v>
      </c>
      <c r="O1" s="94" t="s">
        <v>14</v>
      </c>
      <c r="P1" s="94" t="s">
        <v>15</v>
      </c>
      <c r="Q1" s="94" t="s">
        <v>16</v>
      </c>
      <c r="R1" s="94" t="s">
        <v>17</v>
      </c>
      <c r="S1" s="94" t="s">
        <v>18</v>
      </c>
      <c r="T1" s="94" t="s">
        <v>24</v>
      </c>
      <c r="U1" s="94" t="s">
        <v>24</v>
      </c>
      <c r="V1" s="94" t="s">
        <v>24</v>
      </c>
    </row>
    <row r="2" spans="1:22">
      <c r="A2" s="96" t="s">
        <v>660</v>
      </c>
      <c r="B2" s="96" t="s">
        <v>23</v>
      </c>
      <c r="C2" s="96" t="s">
        <v>24</v>
      </c>
      <c r="D2" s="96" t="s">
        <v>25</v>
      </c>
      <c r="E2" s="96" t="s">
        <v>571</v>
      </c>
      <c r="F2" s="96" t="s">
        <v>661</v>
      </c>
      <c r="G2" s="96" t="s">
        <v>662</v>
      </c>
      <c r="H2" s="96" t="s">
        <v>28</v>
      </c>
      <c r="I2" s="96" t="s">
        <v>28</v>
      </c>
      <c r="J2" s="96" t="s">
        <v>663</v>
      </c>
      <c r="K2" s="96" t="s">
        <v>664</v>
      </c>
      <c r="L2" s="96" t="s">
        <v>665</v>
      </c>
      <c r="M2" s="96" t="s">
        <v>172</v>
      </c>
      <c r="N2" s="96" t="s">
        <v>664</v>
      </c>
      <c r="O2" s="96" t="s">
        <v>24</v>
      </c>
      <c r="P2" s="96" t="s">
        <v>499</v>
      </c>
      <c r="Q2" s="96" t="s">
        <v>28</v>
      </c>
      <c r="R2" s="96" t="s">
        <v>54</v>
      </c>
      <c r="S2" s="96" t="s">
        <v>666</v>
      </c>
      <c r="T2" s="96" t="s">
        <v>24</v>
      </c>
      <c r="U2" s="96" t="s">
        <v>667</v>
      </c>
      <c r="V2" s="96" t="s">
        <v>24</v>
      </c>
    </row>
    <row r="3" spans="1:22">
      <c r="A3" s="96" t="s">
        <v>23</v>
      </c>
      <c r="B3" s="96" t="s">
        <v>23</v>
      </c>
      <c r="C3" s="96" t="s">
        <v>24</v>
      </c>
      <c r="D3" s="96" t="s">
        <v>25</v>
      </c>
      <c r="E3" s="96" t="s">
        <v>571</v>
      </c>
      <c r="F3" s="96" t="s">
        <v>661</v>
      </c>
      <c r="G3" s="96" t="s">
        <v>662</v>
      </c>
      <c r="H3" s="96" t="s">
        <v>28</v>
      </c>
      <c r="I3" s="96" t="s">
        <v>28</v>
      </c>
      <c r="J3" s="96" t="s">
        <v>668</v>
      </c>
      <c r="K3" s="96" t="s">
        <v>664</v>
      </c>
      <c r="L3" s="96" t="s">
        <v>669</v>
      </c>
      <c r="M3" s="96" t="s">
        <v>172</v>
      </c>
      <c r="N3" s="96" t="s">
        <v>664</v>
      </c>
      <c r="O3" s="96" t="s">
        <v>24</v>
      </c>
      <c r="P3" s="96" t="s">
        <v>499</v>
      </c>
      <c r="Q3" s="96" t="s">
        <v>28</v>
      </c>
      <c r="R3" s="96" t="s">
        <v>54</v>
      </c>
      <c r="S3" s="96" t="s">
        <v>666</v>
      </c>
      <c r="T3" s="96" t="s">
        <v>24</v>
      </c>
      <c r="U3" s="96" t="s">
        <v>670</v>
      </c>
      <c r="V3" s="96" t="s">
        <v>24</v>
      </c>
    </row>
    <row r="4" spans="1:22">
      <c r="A4" s="96" t="s">
        <v>671</v>
      </c>
      <c r="B4" s="96" t="s">
        <v>23</v>
      </c>
      <c r="C4" s="96" t="s">
        <v>24</v>
      </c>
      <c r="D4" s="96" t="s">
        <v>25</v>
      </c>
      <c r="E4" s="96" t="s">
        <v>571</v>
      </c>
      <c r="F4" s="96" t="s">
        <v>661</v>
      </c>
      <c r="G4" s="96" t="s">
        <v>672</v>
      </c>
      <c r="H4" s="96" t="s">
        <v>28</v>
      </c>
      <c r="I4" s="96" t="s">
        <v>28</v>
      </c>
      <c r="J4" s="96" t="s">
        <v>673</v>
      </c>
      <c r="K4" s="96" t="s">
        <v>664</v>
      </c>
      <c r="L4" s="96" t="s">
        <v>24</v>
      </c>
      <c r="M4" s="96" t="s">
        <v>172</v>
      </c>
      <c r="N4" s="96" t="s">
        <v>664</v>
      </c>
      <c r="O4" s="96" t="s">
        <v>24</v>
      </c>
      <c r="P4" s="96" t="s">
        <v>499</v>
      </c>
      <c r="Q4" s="96" t="s">
        <v>28</v>
      </c>
      <c r="R4" s="96" t="s">
        <v>54</v>
      </c>
      <c r="S4" s="96" t="s">
        <v>674</v>
      </c>
      <c r="T4" s="96" t="s">
        <v>24</v>
      </c>
      <c r="U4" s="96" t="s">
        <v>675</v>
      </c>
      <c r="V4" s="96" t="s">
        <v>24</v>
      </c>
    </row>
    <row r="5" spans="1:22">
      <c r="A5" s="96" t="s">
        <v>369</v>
      </c>
      <c r="B5" s="96" t="s">
        <v>23</v>
      </c>
      <c r="C5" s="96" t="s">
        <v>24</v>
      </c>
      <c r="D5" s="96" t="s">
        <v>25</v>
      </c>
      <c r="E5" s="96" t="s">
        <v>571</v>
      </c>
      <c r="F5" s="96" t="s">
        <v>661</v>
      </c>
      <c r="G5" s="96" t="s">
        <v>672</v>
      </c>
      <c r="H5" s="96" t="s">
        <v>28</v>
      </c>
      <c r="I5" s="96" t="s">
        <v>28</v>
      </c>
      <c r="J5" s="96" t="s">
        <v>676</v>
      </c>
      <c r="K5" s="96" t="s">
        <v>664</v>
      </c>
      <c r="L5" s="96" t="s">
        <v>24</v>
      </c>
      <c r="M5" s="96" t="s">
        <v>172</v>
      </c>
      <c r="N5" s="96" t="s">
        <v>664</v>
      </c>
      <c r="O5" s="96" t="s">
        <v>24</v>
      </c>
      <c r="P5" s="96" t="s">
        <v>128</v>
      </c>
      <c r="Q5" s="96" t="s">
        <v>28</v>
      </c>
      <c r="R5" s="96" t="s">
        <v>54</v>
      </c>
      <c r="S5" s="96" t="s">
        <v>677</v>
      </c>
      <c r="T5" s="96" t="s">
        <v>24</v>
      </c>
      <c r="U5" s="96" t="s">
        <v>678</v>
      </c>
      <c r="V5" s="96" t="s">
        <v>679</v>
      </c>
    </row>
    <row r="6" spans="1:22">
      <c r="A6" s="96" t="s">
        <v>396</v>
      </c>
      <c r="B6" s="96" t="s">
        <v>23</v>
      </c>
      <c r="C6" s="96" t="s">
        <v>24</v>
      </c>
      <c r="D6" s="96" t="s">
        <v>25</v>
      </c>
      <c r="E6" s="96" t="s">
        <v>571</v>
      </c>
      <c r="F6" s="96" t="s">
        <v>661</v>
      </c>
      <c r="G6" s="96" t="s">
        <v>680</v>
      </c>
      <c r="H6" s="96" t="s">
        <v>28</v>
      </c>
      <c r="I6" s="96" t="s">
        <v>28</v>
      </c>
      <c r="J6" s="96" t="s">
        <v>681</v>
      </c>
      <c r="K6" s="96" t="s">
        <v>682</v>
      </c>
      <c r="L6" s="96" t="s">
        <v>24</v>
      </c>
      <c r="M6" s="96" t="s">
        <v>24</v>
      </c>
      <c r="N6" s="96" t="s">
        <v>664</v>
      </c>
      <c r="O6" s="96" t="s">
        <v>372</v>
      </c>
      <c r="P6" s="96" t="s">
        <v>495</v>
      </c>
      <c r="Q6" s="96" t="s">
        <v>28</v>
      </c>
      <c r="R6" s="96" t="s">
        <v>25</v>
      </c>
      <c r="S6" s="96" t="s">
        <v>683</v>
      </c>
      <c r="T6" s="96" t="s">
        <v>24</v>
      </c>
      <c r="U6" s="96" t="s">
        <v>684</v>
      </c>
      <c r="V6" s="96" t="s">
        <v>33</v>
      </c>
    </row>
    <row r="7" spans="1:22">
      <c r="A7" s="96" t="s">
        <v>685</v>
      </c>
      <c r="B7" s="96" t="s">
        <v>23</v>
      </c>
      <c r="C7" s="96" t="s">
        <v>24</v>
      </c>
      <c r="D7" s="96" t="s">
        <v>25</v>
      </c>
      <c r="E7" s="96" t="s">
        <v>571</v>
      </c>
      <c r="F7" s="96" t="s">
        <v>661</v>
      </c>
      <c r="G7" s="96" t="s">
        <v>680</v>
      </c>
      <c r="H7" s="96" t="s">
        <v>28</v>
      </c>
      <c r="I7" s="96" t="s">
        <v>28</v>
      </c>
      <c r="J7" s="96" t="s">
        <v>686</v>
      </c>
      <c r="K7" s="96" t="s">
        <v>682</v>
      </c>
      <c r="L7" s="96" t="s">
        <v>687</v>
      </c>
      <c r="M7" s="96" t="s">
        <v>688</v>
      </c>
      <c r="N7" s="96" t="s">
        <v>664</v>
      </c>
      <c r="O7" s="96" t="s">
        <v>372</v>
      </c>
      <c r="P7" s="96" t="s">
        <v>495</v>
      </c>
      <c r="Q7" s="96" t="s">
        <v>28</v>
      </c>
      <c r="R7" s="96" t="s">
        <v>54</v>
      </c>
      <c r="S7" s="96" t="s">
        <v>689</v>
      </c>
      <c r="T7" s="96" t="s">
        <v>24</v>
      </c>
      <c r="U7" s="96" t="s">
        <v>24</v>
      </c>
      <c r="V7" s="96" t="s">
        <v>24</v>
      </c>
    </row>
    <row r="8" spans="1:22">
      <c r="A8" s="96" t="s">
        <v>690</v>
      </c>
      <c r="B8" s="96" t="s">
        <v>23</v>
      </c>
      <c r="C8" s="96" t="s">
        <v>24</v>
      </c>
      <c r="D8" s="96" t="s">
        <v>25</v>
      </c>
      <c r="E8" s="96" t="s">
        <v>571</v>
      </c>
      <c r="F8" s="96" t="s">
        <v>661</v>
      </c>
      <c r="G8" s="96" t="s">
        <v>680</v>
      </c>
      <c r="H8" s="96" t="s">
        <v>28</v>
      </c>
      <c r="I8" s="96" t="s">
        <v>28</v>
      </c>
      <c r="J8" s="96" t="s">
        <v>691</v>
      </c>
      <c r="K8" s="96" t="s">
        <v>682</v>
      </c>
      <c r="L8" s="96" t="s">
        <v>692</v>
      </c>
      <c r="M8" s="96" t="s">
        <v>117</v>
      </c>
      <c r="N8" s="96" t="s">
        <v>664</v>
      </c>
      <c r="O8" s="96" t="s">
        <v>372</v>
      </c>
      <c r="P8" s="96" t="s">
        <v>495</v>
      </c>
      <c r="Q8" s="96" t="s">
        <v>28</v>
      </c>
      <c r="R8" s="96" t="s">
        <v>54</v>
      </c>
      <c r="S8" s="96" t="s">
        <v>689</v>
      </c>
      <c r="T8" s="96" t="s">
        <v>24</v>
      </c>
      <c r="U8" s="96" t="s">
        <v>24</v>
      </c>
      <c r="V8" s="96" t="s">
        <v>24</v>
      </c>
    </row>
    <row r="9" spans="1:22">
      <c r="A9" s="96" t="s">
        <v>22</v>
      </c>
      <c r="B9" s="96" t="s">
        <v>23</v>
      </c>
      <c r="C9" s="96" t="s">
        <v>24</v>
      </c>
      <c r="D9" s="96" t="s">
        <v>25</v>
      </c>
      <c r="E9" s="96" t="s">
        <v>571</v>
      </c>
      <c r="F9" s="96" t="s">
        <v>27</v>
      </c>
      <c r="G9" s="96" t="s">
        <v>28</v>
      </c>
      <c r="H9" s="96" t="s">
        <v>28</v>
      </c>
      <c r="I9" s="96" t="s">
        <v>28</v>
      </c>
      <c r="J9" s="96" t="s">
        <v>29</v>
      </c>
      <c r="K9" s="96" t="s">
        <v>30</v>
      </c>
      <c r="L9" s="96" t="s">
        <v>31</v>
      </c>
      <c r="M9" s="96" t="s">
        <v>32</v>
      </c>
      <c r="N9" s="96" t="s">
        <v>33</v>
      </c>
      <c r="O9" s="96" t="s">
        <v>24</v>
      </c>
      <c r="P9" s="96" t="s">
        <v>495</v>
      </c>
      <c r="Q9" s="96" t="s">
        <v>33</v>
      </c>
      <c r="R9" s="96" t="s">
        <v>25</v>
      </c>
      <c r="S9" s="96" t="s">
        <v>24</v>
      </c>
      <c r="T9" s="96" t="s">
        <v>24</v>
      </c>
      <c r="U9" s="96" t="s">
        <v>24</v>
      </c>
      <c r="V9" s="96" t="s">
        <v>24</v>
      </c>
    </row>
    <row r="10" spans="1:22">
      <c r="A10" s="96" t="s">
        <v>37</v>
      </c>
      <c r="B10" s="96" t="s">
        <v>23</v>
      </c>
      <c r="C10" s="96" t="s">
        <v>24</v>
      </c>
      <c r="D10" s="96" t="s">
        <v>25</v>
      </c>
      <c r="E10" s="96" t="s">
        <v>571</v>
      </c>
      <c r="F10" s="96" t="s">
        <v>38</v>
      </c>
      <c r="G10" s="96" t="s">
        <v>39</v>
      </c>
      <c r="H10" s="96" t="s">
        <v>40</v>
      </c>
      <c r="I10" s="96" t="s">
        <v>28</v>
      </c>
      <c r="J10" s="96" t="s">
        <v>41</v>
      </c>
      <c r="K10" s="96" t="s">
        <v>42</v>
      </c>
      <c r="L10" s="96" t="s">
        <v>43</v>
      </c>
      <c r="M10" s="96" t="s">
        <v>44</v>
      </c>
      <c r="N10" s="96" t="s">
        <v>33</v>
      </c>
      <c r="O10" s="96" t="s">
        <v>24</v>
      </c>
      <c r="P10" s="96" t="s">
        <v>495</v>
      </c>
      <c r="Q10" s="96" t="s">
        <v>24</v>
      </c>
      <c r="R10" s="96" t="s">
        <v>25</v>
      </c>
      <c r="S10" s="96" t="s">
        <v>45</v>
      </c>
      <c r="T10" s="96" t="s">
        <v>24</v>
      </c>
      <c r="U10" s="96" t="s">
        <v>24</v>
      </c>
      <c r="V10" s="96" t="s">
        <v>24</v>
      </c>
    </row>
    <row r="11" spans="1:22">
      <c r="A11" s="96" t="s">
        <v>47</v>
      </c>
      <c r="B11" s="96" t="s">
        <v>23</v>
      </c>
      <c r="C11" s="96" t="s">
        <v>24</v>
      </c>
      <c r="D11" s="96" t="s">
        <v>25</v>
      </c>
      <c r="E11" s="96" t="s">
        <v>571</v>
      </c>
      <c r="F11" s="96" t="s">
        <v>38</v>
      </c>
      <c r="G11" s="96" t="s">
        <v>39</v>
      </c>
      <c r="H11" s="96" t="s">
        <v>40</v>
      </c>
      <c r="I11" s="96" t="s">
        <v>28</v>
      </c>
      <c r="J11" s="96" t="s">
        <v>48</v>
      </c>
      <c r="K11" s="96" t="s">
        <v>42</v>
      </c>
      <c r="L11" s="96" t="s">
        <v>49</v>
      </c>
      <c r="M11" s="96" t="s">
        <v>44</v>
      </c>
      <c r="N11" s="96" t="s">
        <v>33</v>
      </c>
      <c r="O11" s="96" t="s">
        <v>24</v>
      </c>
      <c r="P11" s="96" t="s">
        <v>495</v>
      </c>
      <c r="Q11" s="96" t="s">
        <v>24</v>
      </c>
      <c r="R11" s="96" t="s">
        <v>25</v>
      </c>
      <c r="S11" s="96" t="s">
        <v>45</v>
      </c>
      <c r="T11" s="96" t="s">
        <v>24</v>
      </c>
      <c r="U11" s="96" t="s">
        <v>24</v>
      </c>
      <c r="V11" s="96" t="s">
        <v>24</v>
      </c>
    </row>
    <row r="12" spans="1:22">
      <c r="A12" s="96" t="s">
        <v>51</v>
      </c>
      <c r="B12" s="96" t="s">
        <v>23</v>
      </c>
      <c r="C12" s="96" t="s">
        <v>24</v>
      </c>
      <c r="D12" s="96" t="s">
        <v>25</v>
      </c>
      <c r="E12" s="96" t="s">
        <v>571</v>
      </c>
      <c r="F12" s="96" t="s">
        <v>38</v>
      </c>
      <c r="G12" s="96" t="s">
        <v>39</v>
      </c>
      <c r="H12" s="96" t="s">
        <v>40</v>
      </c>
      <c r="I12" s="96" t="s">
        <v>28</v>
      </c>
      <c r="J12" s="96" t="s">
        <v>52</v>
      </c>
      <c r="K12" s="96" t="s">
        <v>42</v>
      </c>
      <c r="L12" s="96" t="s">
        <v>53</v>
      </c>
      <c r="M12" s="96" t="s">
        <v>44</v>
      </c>
      <c r="N12" s="96" t="s">
        <v>33</v>
      </c>
      <c r="O12" s="96" t="s">
        <v>24</v>
      </c>
      <c r="P12" s="96" t="s">
        <v>495</v>
      </c>
      <c r="Q12" s="96" t="s">
        <v>24</v>
      </c>
      <c r="R12" s="96" t="s">
        <v>54</v>
      </c>
      <c r="S12" s="96" t="s">
        <v>55</v>
      </c>
      <c r="T12" s="96" t="s">
        <v>24</v>
      </c>
      <c r="U12" s="96" t="s">
        <v>24</v>
      </c>
      <c r="V12" s="96" t="s">
        <v>24</v>
      </c>
    </row>
    <row r="13" spans="1:22">
      <c r="A13" s="96" t="s">
        <v>57</v>
      </c>
      <c r="B13" s="96" t="s">
        <v>23</v>
      </c>
      <c r="C13" s="96" t="s">
        <v>24</v>
      </c>
      <c r="D13" s="96" t="s">
        <v>25</v>
      </c>
      <c r="E13" s="96" t="s">
        <v>571</v>
      </c>
      <c r="F13" s="96" t="s">
        <v>38</v>
      </c>
      <c r="G13" s="96" t="s">
        <v>39</v>
      </c>
      <c r="H13" s="96" t="s">
        <v>40</v>
      </c>
      <c r="I13" s="96" t="s">
        <v>28</v>
      </c>
      <c r="J13" s="96" t="s">
        <v>58</v>
      </c>
      <c r="K13" s="96" t="s">
        <v>42</v>
      </c>
      <c r="L13" s="96" t="s">
        <v>59</v>
      </c>
      <c r="M13" s="96" t="s">
        <v>44</v>
      </c>
      <c r="N13" s="96" t="s">
        <v>33</v>
      </c>
      <c r="O13" s="96" t="s">
        <v>24</v>
      </c>
      <c r="P13" s="96" t="s">
        <v>495</v>
      </c>
      <c r="Q13" s="96" t="s">
        <v>24</v>
      </c>
      <c r="R13" s="96" t="s">
        <v>54</v>
      </c>
      <c r="S13" s="96" t="s">
        <v>55</v>
      </c>
      <c r="T13" s="96" t="s">
        <v>24</v>
      </c>
      <c r="U13" s="96" t="s">
        <v>24</v>
      </c>
      <c r="V13" s="96" t="s">
        <v>24</v>
      </c>
    </row>
    <row r="14" spans="1:22">
      <c r="A14" s="96" t="s">
        <v>60</v>
      </c>
      <c r="B14" s="96" t="s">
        <v>23</v>
      </c>
      <c r="C14" s="96" t="s">
        <v>24</v>
      </c>
      <c r="D14" s="96" t="s">
        <v>25</v>
      </c>
      <c r="E14" s="96" t="s">
        <v>571</v>
      </c>
      <c r="F14" s="96" t="s">
        <v>38</v>
      </c>
      <c r="G14" s="96" t="s">
        <v>39</v>
      </c>
      <c r="H14" s="96" t="s">
        <v>40</v>
      </c>
      <c r="I14" s="96" t="s">
        <v>28</v>
      </c>
      <c r="J14" s="96" t="s">
        <v>61</v>
      </c>
      <c r="K14" s="96" t="s">
        <v>24</v>
      </c>
      <c r="L14" s="96" t="s">
        <v>62</v>
      </c>
      <c r="M14" s="96" t="s">
        <v>44</v>
      </c>
      <c r="N14" s="96" t="s">
        <v>33</v>
      </c>
      <c r="O14" s="96" t="s">
        <v>24</v>
      </c>
      <c r="P14" s="96" t="s">
        <v>495</v>
      </c>
      <c r="Q14" s="96" t="s">
        <v>24</v>
      </c>
      <c r="R14" s="96" t="s">
        <v>63</v>
      </c>
      <c r="S14" s="96" t="s">
        <v>64</v>
      </c>
      <c r="T14" s="96" t="s">
        <v>24</v>
      </c>
      <c r="U14" s="96" t="s">
        <v>24</v>
      </c>
      <c r="V14" s="96" t="s">
        <v>24</v>
      </c>
    </row>
    <row r="15" spans="1:22">
      <c r="A15" s="96" t="s">
        <v>66</v>
      </c>
      <c r="B15" s="96" t="s">
        <v>23</v>
      </c>
      <c r="C15" s="96" t="s">
        <v>24</v>
      </c>
      <c r="D15" s="96" t="s">
        <v>25</v>
      </c>
      <c r="E15" s="96" t="s">
        <v>571</v>
      </c>
      <c r="F15" s="96" t="s">
        <v>38</v>
      </c>
      <c r="G15" s="96" t="s">
        <v>39</v>
      </c>
      <c r="H15" s="96" t="s">
        <v>67</v>
      </c>
      <c r="I15" s="96" t="s">
        <v>28</v>
      </c>
      <c r="J15" s="96" t="s">
        <v>67</v>
      </c>
      <c r="K15" s="96" t="s">
        <v>42</v>
      </c>
      <c r="L15" s="96" t="s">
        <v>68</v>
      </c>
      <c r="M15" s="96" t="s">
        <v>32</v>
      </c>
      <c r="N15" s="96" t="s">
        <v>69</v>
      </c>
      <c r="O15" s="96" t="s">
        <v>24</v>
      </c>
      <c r="P15" s="96" t="s">
        <v>495</v>
      </c>
      <c r="Q15" s="96" t="s">
        <v>24</v>
      </c>
      <c r="R15" s="96" t="s">
        <v>54</v>
      </c>
      <c r="S15" s="96" t="s">
        <v>70</v>
      </c>
      <c r="T15" s="96" t="s">
        <v>24</v>
      </c>
      <c r="U15" s="96" t="s">
        <v>24</v>
      </c>
      <c r="V15" s="96" t="s">
        <v>24</v>
      </c>
    </row>
    <row r="16" spans="1:22">
      <c r="A16" s="96" t="s">
        <v>693</v>
      </c>
      <c r="B16" s="96" t="s">
        <v>23</v>
      </c>
      <c r="C16" s="96" t="s">
        <v>24</v>
      </c>
      <c r="D16" s="96" t="s">
        <v>25</v>
      </c>
      <c r="E16" s="96" t="s">
        <v>571</v>
      </c>
      <c r="F16" s="96" t="s">
        <v>38</v>
      </c>
      <c r="G16" s="96" t="s">
        <v>694</v>
      </c>
      <c r="H16" s="96" t="s">
        <v>695</v>
      </c>
      <c r="I16" s="96" t="s">
        <v>696</v>
      </c>
      <c r="J16" s="96" t="s">
        <v>697</v>
      </c>
      <c r="K16" s="96" t="s">
        <v>24</v>
      </c>
      <c r="L16" s="96" t="s">
        <v>698</v>
      </c>
      <c r="M16" s="96" t="s">
        <v>699</v>
      </c>
      <c r="N16" s="96" t="s">
        <v>700</v>
      </c>
      <c r="O16" s="96" t="s">
        <v>24</v>
      </c>
      <c r="P16" s="96" t="s">
        <v>495</v>
      </c>
      <c r="Q16" s="96" t="s">
        <v>24</v>
      </c>
      <c r="R16" s="96" t="s">
        <v>25</v>
      </c>
      <c r="S16" s="96" t="s">
        <v>701</v>
      </c>
      <c r="T16" s="96" t="s">
        <v>24</v>
      </c>
      <c r="U16" s="96" t="s">
        <v>24</v>
      </c>
      <c r="V16" s="96" t="s">
        <v>24</v>
      </c>
    </row>
    <row r="17" spans="1:22">
      <c r="A17" s="96" t="s">
        <v>702</v>
      </c>
      <c r="B17" s="96" t="s">
        <v>23</v>
      </c>
      <c r="C17" s="96" t="s">
        <v>24</v>
      </c>
      <c r="D17" s="96" t="s">
        <v>25</v>
      </c>
      <c r="E17" s="96" t="s">
        <v>571</v>
      </c>
      <c r="F17" s="96" t="s">
        <v>38</v>
      </c>
      <c r="G17" s="96" t="s">
        <v>694</v>
      </c>
      <c r="H17" s="96" t="s">
        <v>695</v>
      </c>
      <c r="I17" s="96" t="s">
        <v>696</v>
      </c>
      <c r="J17" s="96" t="s">
        <v>703</v>
      </c>
      <c r="K17" s="96" t="s">
        <v>24</v>
      </c>
      <c r="L17" s="96" t="s">
        <v>704</v>
      </c>
      <c r="M17" s="96" t="s">
        <v>705</v>
      </c>
      <c r="N17" s="96" t="s">
        <v>700</v>
      </c>
      <c r="O17" s="96" t="s">
        <v>24</v>
      </c>
      <c r="P17" s="96" t="s">
        <v>495</v>
      </c>
      <c r="Q17" s="96" t="s">
        <v>24</v>
      </c>
      <c r="R17" s="96" t="s">
        <v>25</v>
      </c>
      <c r="S17" s="96" t="s">
        <v>701</v>
      </c>
      <c r="T17" s="96" t="s">
        <v>24</v>
      </c>
      <c r="U17" s="96" t="s">
        <v>24</v>
      </c>
      <c r="V17" s="96" t="s">
        <v>24</v>
      </c>
    </row>
    <row r="18" spans="1:22">
      <c r="A18" s="96" t="s">
        <v>706</v>
      </c>
      <c r="B18" s="96" t="s">
        <v>23</v>
      </c>
      <c r="C18" s="96" t="s">
        <v>24</v>
      </c>
      <c r="D18" s="96" t="s">
        <v>25</v>
      </c>
      <c r="E18" s="96" t="s">
        <v>571</v>
      </c>
      <c r="F18" s="96" t="s">
        <v>38</v>
      </c>
      <c r="G18" s="96" t="s">
        <v>694</v>
      </c>
      <c r="H18" s="96" t="s">
        <v>695</v>
      </c>
      <c r="I18" s="96" t="s">
        <v>696</v>
      </c>
      <c r="J18" s="96" t="s">
        <v>707</v>
      </c>
      <c r="K18" s="96" t="s">
        <v>24</v>
      </c>
      <c r="L18" s="96" t="s">
        <v>708</v>
      </c>
      <c r="M18" s="96" t="s">
        <v>117</v>
      </c>
      <c r="N18" s="96" t="s">
        <v>700</v>
      </c>
      <c r="O18" s="96" t="s">
        <v>24</v>
      </c>
      <c r="P18" s="96" t="s">
        <v>495</v>
      </c>
      <c r="Q18" s="96" t="s">
        <v>24</v>
      </c>
      <c r="R18" s="96" t="s">
        <v>25</v>
      </c>
      <c r="S18" s="96" t="s">
        <v>701</v>
      </c>
      <c r="T18" s="96" t="s">
        <v>24</v>
      </c>
      <c r="U18" s="96" t="s">
        <v>24</v>
      </c>
      <c r="V18" s="96" t="s">
        <v>24</v>
      </c>
    </row>
    <row r="19" spans="1:22">
      <c r="A19" s="96" t="s">
        <v>709</v>
      </c>
      <c r="B19" s="96" t="s">
        <v>23</v>
      </c>
      <c r="C19" s="96" t="s">
        <v>24</v>
      </c>
      <c r="D19" s="96" t="s">
        <v>25</v>
      </c>
      <c r="E19" s="96" t="s">
        <v>571</v>
      </c>
      <c r="F19" s="96" t="s">
        <v>38</v>
      </c>
      <c r="G19" s="96" t="s">
        <v>694</v>
      </c>
      <c r="H19" s="96" t="s">
        <v>695</v>
      </c>
      <c r="I19" s="96" t="s">
        <v>696</v>
      </c>
      <c r="J19" s="96" t="s">
        <v>710</v>
      </c>
      <c r="K19" s="96" t="s">
        <v>24</v>
      </c>
      <c r="L19" s="96" t="s">
        <v>711</v>
      </c>
      <c r="M19" s="96" t="s">
        <v>699</v>
      </c>
      <c r="N19" s="96" t="s">
        <v>700</v>
      </c>
      <c r="O19" s="96" t="s">
        <v>24</v>
      </c>
      <c r="P19" s="96" t="s">
        <v>495</v>
      </c>
      <c r="Q19" s="96" t="s">
        <v>24</v>
      </c>
      <c r="R19" s="96" t="s">
        <v>25</v>
      </c>
      <c r="S19" s="96" t="s">
        <v>701</v>
      </c>
      <c r="T19" s="96" t="s">
        <v>24</v>
      </c>
      <c r="U19" s="96" t="s">
        <v>24</v>
      </c>
      <c r="V19" s="96" t="s">
        <v>24</v>
      </c>
    </row>
    <row r="20" spans="1:22">
      <c r="A20" s="96" t="s">
        <v>712</v>
      </c>
      <c r="B20" s="96" t="s">
        <v>23</v>
      </c>
      <c r="C20" s="96" t="s">
        <v>24</v>
      </c>
      <c r="D20" s="96" t="s">
        <v>25</v>
      </c>
      <c r="E20" s="96" t="s">
        <v>571</v>
      </c>
      <c r="F20" s="96" t="s">
        <v>38</v>
      </c>
      <c r="G20" s="96" t="s">
        <v>694</v>
      </c>
      <c r="H20" s="96" t="s">
        <v>695</v>
      </c>
      <c r="I20" s="96" t="s">
        <v>696</v>
      </c>
      <c r="J20" s="96" t="s">
        <v>713</v>
      </c>
      <c r="K20" s="96" t="s">
        <v>24</v>
      </c>
      <c r="L20" s="96" t="s">
        <v>714</v>
      </c>
      <c r="M20" s="96" t="s">
        <v>699</v>
      </c>
      <c r="N20" s="96" t="s">
        <v>700</v>
      </c>
      <c r="O20" s="96" t="s">
        <v>24</v>
      </c>
      <c r="P20" s="96" t="s">
        <v>495</v>
      </c>
      <c r="Q20" s="96" t="s">
        <v>24</v>
      </c>
      <c r="R20" s="96" t="s">
        <v>25</v>
      </c>
      <c r="S20" s="96" t="s">
        <v>701</v>
      </c>
      <c r="T20" s="96" t="s">
        <v>24</v>
      </c>
      <c r="U20" s="96" t="s">
        <v>24</v>
      </c>
      <c r="V20" s="96" t="s">
        <v>24</v>
      </c>
    </row>
    <row r="21" spans="1:22">
      <c r="A21" s="96" t="s">
        <v>715</v>
      </c>
      <c r="B21" s="96" t="s">
        <v>23</v>
      </c>
      <c r="C21" s="96" t="s">
        <v>24</v>
      </c>
      <c r="D21" s="96" t="s">
        <v>25</v>
      </c>
      <c r="E21" s="96" t="s">
        <v>571</v>
      </c>
      <c r="F21" s="96" t="s">
        <v>38</v>
      </c>
      <c r="G21" s="96" t="s">
        <v>694</v>
      </c>
      <c r="H21" s="96" t="s">
        <v>695</v>
      </c>
      <c r="I21" s="96" t="s">
        <v>716</v>
      </c>
      <c r="J21" s="96" t="s">
        <v>717</v>
      </c>
      <c r="K21" s="96" t="s">
        <v>718</v>
      </c>
      <c r="L21" s="96" t="s">
        <v>719</v>
      </c>
      <c r="M21" s="96" t="s">
        <v>117</v>
      </c>
      <c r="N21" s="96" t="s">
        <v>700</v>
      </c>
      <c r="O21" s="96" t="s">
        <v>24</v>
      </c>
      <c r="P21" s="96" t="s">
        <v>495</v>
      </c>
      <c r="Q21" s="96" t="s">
        <v>24</v>
      </c>
      <c r="R21" s="96" t="s">
        <v>25</v>
      </c>
      <c r="S21" s="96" t="s">
        <v>701</v>
      </c>
      <c r="T21" s="96" t="s">
        <v>24</v>
      </c>
      <c r="U21" s="96" t="s">
        <v>24</v>
      </c>
      <c r="V21" s="96" t="s">
        <v>24</v>
      </c>
    </row>
    <row r="22" spans="1:22">
      <c r="A22" s="96" t="s">
        <v>720</v>
      </c>
      <c r="B22" s="96" t="s">
        <v>23</v>
      </c>
      <c r="C22" s="96" t="s">
        <v>24</v>
      </c>
      <c r="D22" s="96" t="s">
        <v>25</v>
      </c>
      <c r="E22" s="96" t="s">
        <v>571</v>
      </c>
      <c r="F22" s="96" t="s">
        <v>38</v>
      </c>
      <c r="G22" s="96" t="s">
        <v>694</v>
      </c>
      <c r="H22" s="96" t="s">
        <v>695</v>
      </c>
      <c r="I22" s="96" t="s">
        <v>716</v>
      </c>
      <c r="J22" s="96" t="s">
        <v>721</v>
      </c>
      <c r="K22" s="96" t="s">
        <v>24</v>
      </c>
      <c r="L22" s="96" t="s">
        <v>722</v>
      </c>
      <c r="M22" s="96" t="s">
        <v>117</v>
      </c>
      <c r="N22" s="96" t="s">
        <v>700</v>
      </c>
      <c r="O22" s="96" t="s">
        <v>24</v>
      </c>
      <c r="P22" s="96" t="s">
        <v>495</v>
      </c>
      <c r="Q22" s="96" t="s">
        <v>24</v>
      </c>
      <c r="R22" s="96" t="s">
        <v>25</v>
      </c>
      <c r="S22" s="96" t="s">
        <v>701</v>
      </c>
      <c r="T22" s="96" t="s">
        <v>24</v>
      </c>
      <c r="U22" s="96" t="s">
        <v>24</v>
      </c>
      <c r="V22" s="96" t="s">
        <v>24</v>
      </c>
    </row>
    <row r="23" spans="1:22">
      <c r="A23" s="96" t="s">
        <v>723</v>
      </c>
      <c r="B23" s="96" t="s">
        <v>23</v>
      </c>
      <c r="C23" s="96" t="s">
        <v>24</v>
      </c>
      <c r="D23" s="96" t="s">
        <v>25</v>
      </c>
      <c r="E23" s="96" t="s">
        <v>571</v>
      </c>
      <c r="F23" s="96" t="s">
        <v>38</v>
      </c>
      <c r="G23" s="96" t="s">
        <v>694</v>
      </c>
      <c r="H23" s="96" t="s">
        <v>695</v>
      </c>
      <c r="I23" s="96" t="s">
        <v>716</v>
      </c>
      <c r="J23" s="96" t="s">
        <v>724</v>
      </c>
      <c r="K23" s="96" t="s">
        <v>725</v>
      </c>
      <c r="L23" s="96" t="s">
        <v>726</v>
      </c>
      <c r="M23" s="96" t="s">
        <v>117</v>
      </c>
      <c r="N23" s="96" t="s">
        <v>700</v>
      </c>
      <c r="O23" s="96" t="s">
        <v>24</v>
      </c>
      <c r="P23" s="96" t="s">
        <v>495</v>
      </c>
      <c r="Q23" s="96" t="s">
        <v>24</v>
      </c>
      <c r="R23" s="96" t="s">
        <v>25</v>
      </c>
      <c r="S23" s="96" t="s">
        <v>701</v>
      </c>
      <c r="T23" s="96" t="s">
        <v>24</v>
      </c>
      <c r="U23" s="96" t="s">
        <v>24</v>
      </c>
      <c r="V23" s="96" t="s">
        <v>24</v>
      </c>
    </row>
    <row r="24" spans="1:22">
      <c r="A24" s="96" t="s">
        <v>727</v>
      </c>
      <c r="B24" s="96" t="s">
        <v>23</v>
      </c>
      <c r="C24" s="96" t="s">
        <v>24</v>
      </c>
      <c r="D24" s="96" t="s">
        <v>25</v>
      </c>
      <c r="E24" s="96" t="s">
        <v>571</v>
      </c>
      <c r="F24" s="96" t="s">
        <v>38</v>
      </c>
      <c r="G24" s="96" t="s">
        <v>694</v>
      </c>
      <c r="H24" s="96" t="s">
        <v>695</v>
      </c>
      <c r="I24" s="96" t="s">
        <v>728</v>
      </c>
      <c r="J24" s="96" t="s">
        <v>729</v>
      </c>
      <c r="K24" s="96" t="s">
        <v>24</v>
      </c>
      <c r="L24" s="96" t="s">
        <v>730</v>
      </c>
      <c r="M24" s="96" t="s">
        <v>117</v>
      </c>
      <c r="N24" s="96" t="s">
        <v>700</v>
      </c>
      <c r="O24" s="96" t="s">
        <v>24</v>
      </c>
      <c r="P24" s="96" t="s">
        <v>495</v>
      </c>
      <c r="Q24" s="96" t="s">
        <v>24</v>
      </c>
      <c r="R24" s="96" t="s">
        <v>25</v>
      </c>
      <c r="S24" s="96" t="s">
        <v>701</v>
      </c>
      <c r="T24" s="96" t="s">
        <v>24</v>
      </c>
      <c r="U24" s="96" t="s">
        <v>24</v>
      </c>
      <c r="V24" s="96" t="s">
        <v>24</v>
      </c>
    </row>
    <row r="25" spans="1:22">
      <c r="A25" s="96" t="s">
        <v>731</v>
      </c>
      <c r="B25" s="96" t="s">
        <v>23</v>
      </c>
      <c r="C25" s="96" t="s">
        <v>24</v>
      </c>
      <c r="D25" s="96" t="s">
        <v>25</v>
      </c>
      <c r="E25" s="96" t="s">
        <v>571</v>
      </c>
      <c r="F25" s="96" t="s">
        <v>38</v>
      </c>
      <c r="G25" s="96" t="s">
        <v>694</v>
      </c>
      <c r="H25" s="96" t="s">
        <v>695</v>
      </c>
      <c r="I25" s="96" t="s">
        <v>728</v>
      </c>
      <c r="J25" s="96" t="s">
        <v>732</v>
      </c>
      <c r="K25" s="96" t="s">
        <v>24</v>
      </c>
      <c r="L25" s="96" t="s">
        <v>733</v>
      </c>
      <c r="M25" s="96" t="s">
        <v>699</v>
      </c>
      <c r="N25" s="96" t="s">
        <v>700</v>
      </c>
      <c r="O25" s="96" t="s">
        <v>24</v>
      </c>
      <c r="P25" s="96" t="s">
        <v>495</v>
      </c>
      <c r="Q25" s="96" t="s">
        <v>24</v>
      </c>
      <c r="R25" s="96" t="s">
        <v>25</v>
      </c>
      <c r="S25" s="96" t="s">
        <v>701</v>
      </c>
      <c r="T25" s="96" t="s">
        <v>24</v>
      </c>
      <c r="U25" s="96" t="s">
        <v>24</v>
      </c>
      <c r="V25" s="96" t="s">
        <v>24</v>
      </c>
    </row>
    <row r="26" spans="1:22">
      <c r="A26" s="96" t="s">
        <v>734</v>
      </c>
      <c r="B26" s="96" t="s">
        <v>23</v>
      </c>
      <c r="C26" s="96" t="s">
        <v>24</v>
      </c>
      <c r="D26" s="96" t="s">
        <v>25</v>
      </c>
      <c r="E26" s="96" t="s">
        <v>571</v>
      </c>
      <c r="F26" s="96" t="s">
        <v>38</v>
      </c>
      <c r="G26" s="96" t="s">
        <v>694</v>
      </c>
      <c r="H26" s="96" t="s">
        <v>695</v>
      </c>
      <c r="I26" s="96" t="s">
        <v>728</v>
      </c>
      <c r="J26" s="96" t="s">
        <v>735</v>
      </c>
      <c r="K26" s="96" t="s">
        <v>24</v>
      </c>
      <c r="L26" s="96" t="s">
        <v>736</v>
      </c>
      <c r="M26" s="96" t="s">
        <v>699</v>
      </c>
      <c r="N26" s="96" t="s">
        <v>700</v>
      </c>
      <c r="O26" s="96" t="s">
        <v>24</v>
      </c>
      <c r="P26" s="96" t="s">
        <v>495</v>
      </c>
      <c r="Q26" s="96" t="s">
        <v>24</v>
      </c>
      <c r="R26" s="96" t="s">
        <v>25</v>
      </c>
      <c r="S26" s="96" t="s">
        <v>701</v>
      </c>
      <c r="T26" s="96" t="s">
        <v>24</v>
      </c>
      <c r="U26" s="96" t="s">
        <v>24</v>
      </c>
      <c r="V26" s="96" t="s">
        <v>24</v>
      </c>
    </row>
    <row r="27" spans="1:22">
      <c r="A27" s="96" t="s">
        <v>737</v>
      </c>
      <c r="B27" s="96" t="s">
        <v>23</v>
      </c>
      <c r="C27" s="96" t="s">
        <v>24</v>
      </c>
      <c r="D27" s="96" t="s">
        <v>25</v>
      </c>
      <c r="E27" s="96" t="s">
        <v>571</v>
      </c>
      <c r="F27" s="96" t="s">
        <v>38</v>
      </c>
      <c r="G27" s="96" t="s">
        <v>694</v>
      </c>
      <c r="H27" s="96" t="s">
        <v>695</v>
      </c>
      <c r="I27" s="96" t="s">
        <v>738</v>
      </c>
      <c r="J27" s="96" t="s">
        <v>739</v>
      </c>
      <c r="K27" s="96" t="s">
        <v>24</v>
      </c>
      <c r="L27" s="96" t="s">
        <v>740</v>
      </c>
      <c r="M27" s="96" t="s">
        <v>699</v>
      </c>
      <c r="N27" s="96" t="s">
        <v>700</v>
      </c>
      <c r="O27" s="96" t="s">
        <v>24</v>
      </c>
      <c r="P27" s="96" t="s">
        <v>495</v>
      </c>
      <c r="Q27" s="96" t="s">
        <v>24</v>
      </c>
      <c r="R27" s="96" t="s">
        <v>25</v>
      </c>
      <c r="S27" s="96" t="s">
        <v>701</v>
      </c>
      <c r="T27" s="96" t="s">
        <v>24</v>
      </c>
      <c r="U27" s="96" t="s">
        <v>24</v>
      </c>
      <c r="V27" s="96" t="s">
        <v>24</v>
      </c>
    </row>
    <row r="28" spans="1:22">
      <c r="A28" s="96" t="s">
        <v>72</v>
      </c>
      <c r="B28" s="96" t="s">
        <v>23</v>
      </c>
      <c r="C28" s="96" t="s">
        <v>24</v>
      </c>
      <c r="D28" s="96" t="s">
        <v>25</v>
      </c>
      <c r="E28" s="96" t="s">
        <v>571</v>
      </c>
      <c r="F28" s="96" t="s">
        <v>38</v>
      </c>
      <c r="G28" s="96" t="s">
        <v>73</v>
      </c>
      <c r="H28" s="96" t="s">
        <v>74</v>
      </c>
      <c r="I28" s="96" t="s">
        <v>75</v>
      </c>
      <c r="J28" s="96" t="s">
        <v>76</v>
      </c>
      <c r="K28" s="96" t="s">
        <v>24</v>
      </c>
      <c r="L28" s="96" t="s">
        <v>77</v>
      </c>
      <c r="M28" s="96" t="s">
        <v>28</v>
      </c>
      <c r="N28" s="96" t="s">
        <v>69</v>
      </c>
      <c r="O28" s="96" t="s">
        <v>24</v>
      </c>
      <c r="P28" s="96" t="s">
        <v>495</v>
      </c>
      <c r="Q28" s="96" t="s">
        <v>24</v>
      </c>
      <c r="R28" s="96" t="s">
        <v>54</v>
      </c>
      <c r="S28" s="96" t="s">
        <v>78</v>
      </c>
      <c r="T28" s="96" t="s">
        <v>24</v>
      </c>
      <c r="U28" s="96" t="s">
        <v>24</v>
      </c>
      <c r="V28" s="96" t="s">
        <v>24</v>
      </c>
    </row>
    <row r="29" spans="1:22">
      <c r="A29" s="96" t="s">
        <v>80</v>
      </c>
      <c r="B29" s="96" t="s">
        <v>23</v>
      </c>
      <c r="C29" s="96" t="s">
        <v>24</v>
      </c>
      <c r="D29" s="96" t="s">
        <v>25</v>
      </c>
      <c r="E29" s="96" t="s">
        <v>571</v>
      </c>
      <c r="F29" s="96" t="s">
        <v>38</v>
      </c>
      <c r="G29" s="96" t="s">
        <v>73</v>
      </c>
      <c r="H29" s="96" t="s">
        <v>74</v>
      </c>
      <c r="I29" s="96" t="s">
        <v>75</v>
      </c>
      <c r="J29" s="96" t="s">
        <v>81</v>
      </c>
      <c r="K29" s="96" t="s">
        <v>24</v>
      </c>
      <c r="L29" s="96" t="s">
        <v>82</v>
      </c>
      <c r="M29" s="96" t="s">
        <v>28</v>
      </c>
      <c r="N29" s="96" t="s">
        <v>69</v>
      </c>
      <c r="O29" s="96" t="s">
        <v>24</v>
      </c>
      <c r="P29" s="96" t="s">
        <v>495</v>
      </c>
      <c r="Q29" s="96" t="s">
        <v>24</v>
      </c>
      <c r="R29" s="96" t="s">
        <v>54</v>
      </c>
      <c r="S29" s="96" t="s">
        <v>78</v>
      </c>
      <c r="T29" s="96" t="s">
        <v>24</v>
      </c>
      <c r="U29" s="96" t="s">
        <v>24</v>
      </c>
      <c r="V29" s="96" t="s">
        <v>24</v>
      </c>
    </row>
    <row r="30" spans="1:22">
      <c r="A30" s="96" t="s">
        <v>83</v>
      </c>
      <c r="B30" s="96" t="s">
        <v>23</v>
      </c>
      <c r="C30" s="96" t="s">
        <v>24</v>
      </c>
      <c r="D30" s="96" t="s">
        <v>25</v>
      </c>
      <c r="E30" s="96" t="s">
        <v>571</v>
      </c>
      <c r="F30" s="96" t="s">
        <v>38</v>
      </c>
      <c r="G30" s="96" t="s">
        <v>73</v>
      </c>
      <c r="H30" s="96" t="s">
        <v>74</v>
      </c>
      <c r="I30" s="96" t="s">
        <v>84</v>
      </c>
      <c r="J30" s="96" t="s">
        <v>85</v>
      </c>
      <c r="K30" s="96" t="s">
        <v>24</v>
      </c>
      <c r="L30" s="96" t="s">
        <v>86</v>
      </c>
      <c r="M30" s="96" t="s">
        <v>28</v>
      </c>
      <c r="N30" s="96" t="s">
        <v>33</v>
      </c>
      <c r="O30" s="96" t="s">
        <v>24</v>
      </c>
      <c r="P30" s="96" t="s">
        <v>495</v>
      </c>
      <c r="Q30" s="96" t="s">
        <v>24</v>
      </c>
      <c r="R30" s="96" t="s">
        <v>25</v>
      </c>
      <c r="S30" s="96" t="s">
        <v>87</v>
      </c>
      <c r="T30" s="96" t="s">
        <v>24</v>
      </c>
      <c r="U30" s="96" t="s">
        <v>24</v>
      </c>
      <c r="V30" s="96" t="s">
        <v>24</v>
      </c>
    </row>
    <row r="31" spans="1:22">
      <c r="A31" s="96" t="s">
        <v>88</v>
      </c>
      <c r="B31" s="96" t="s">
        <v>23</v>
      </c>
      <c r="C31" s="96" t="s">
        <v>24</v>
      </c>
      <c r="D31" s="96" t="s">
        <v>25</v>
      </c>
      <c r="E31" s="96" t="s">
        <v>571</v>
      </c>
      <c r="F31" s="96" t="s">
        <v>38</v>
      </c>
      <c r="G31" s="96" t="s">
        <v>73</v>
      </c>
      <c r="H31" s="96" t="s">
        <v>74</v>
      </c>
      <c r="I31" s="96" t="s">
        <v>84</v>
      </c>
      <c r="J31" s="96" t="s">
        <v>89</v>
      </c>
      <c r="K31" s="96" t="s">
        <v>90</v>
      </c>
      <c r="L31" s="96" t="s">
        <v>91</v>
      </c>
      <c r="M31" s="96" t="s">
        <v>28</v>
      </c>
      <c r="N31" s="96" t="s">
        <v>33</v>
      </c>
      <c r="O31" s="96" t="s">
        <v>24</v>
      </c>
      <c r="P31" s="96" t="s">
        <v>499</v>
      </c>
      <c r="Q31" s="96" t="s">
        <v>24</v>
      </c>
      <c r="R31" s="96" t="s">
        <v>25</v>
      </c>
      <c r="S31" s="96" t="s">
        <v>93</v>
      </c>
      <c r="T31" s="96" t="s">
        <v>24</v>
      </c>
      <c r="U31" s="96" t="s">
        <v>24</v>
      </c>
      <c r="V31" s="96" t="s">
        <v>24</v>
      </c>
    </row>
    <row r="32" spans="1:22">
      <c r="A32" s="96" t="s">
        <v>94</v>
      </c>
      <c r="B32" s="96" t="s">
        <v>23</v>
      </c>
      <c r="C32" s="96" t="s">
        <v>24</v>
      </c>
      <c r="D32" s="96" t="s">
        <v>25</v>
      </c>
      <c r="E32" s="96" t="s">
        <v>571</v>
      </c>
      <c r="F32" s="96" t="s">
        <v>38</v>
      </c>
      <c r="G32" s="96" t="s">
        <v>73</v>
      </c>
      <c r="H32" s="96" t="s">
        <v>74</v>
      </c>
      <c r="I32" s="96" t="s">
        <v>84</v>
      </c>
      <c r="J32" s="96" t="s">
        <v>95</v>
      </c>
      <c r="K32" s="96" t="s">
        <v>90</v>
      </c>
      <c r="L32" s="96" t="s">
        <v>96</v>
      </c>
      <c r="M32" s="96" t="s">
        <v>28</v>
      </c>
      <c r="N32" s="96" t="s">
        <v>33</v>
      </c>
      <c r="O32" s="96" t="s">
        <v>24</v>
      </c>
      <c r="P32" s="96" t="s">
        <v>499</v>
      </c>
      <c r="Q32" s="96" t="s">
        <v>24</v>
      </c>
      <c r="R32" s="96" t="s">
        <v>63</v>
      </c>
      <c r="S32" s="96" t="s">
        <v>97</v>
      </c>
      <c r="T32" s="96" t="s">
        <v>24</v>
      </c>
      <c r="U32" s="96" t="s">
        <v>24</v>
      </c>
      <c r="V32" s="96" t="s">
        <v>24</v>
      </c>
    </row>
    <row r="33" spans="1:22">
      <c r="A33" s="96" t="s">
        <v>99</v>
      </c>
      <c r="B33" s="96" t="s">
        <v>23</v>
      </c>
      <c r="C33" s="96" t="s">
        <v>24</v>
      </c>
      <c r="D33" s="96" t="s">
        <v>25</v>
      </c>
      <c r="E33" s="96" t="s">
        <v>571</v>
      </c>
      <c r="F33" s="96" t="s">
        <v>38</v>
      </c>
      <c r="G33" s="96" t="s">
        <v>73</v>
      </c>
      <c r="H33" s="96" t="s">
        <v>74</v>
      </c>
      <c r="I33" s="96" t="s">
        <v>84</v>
      </c>
      <c r="J33" s="96" t="s">
        <v>100</v>
      </c>
      <c r="K33" s="96" t="s">
        <v>24</v>
      </c>
      <c r="L33" s="96" t="s">
        <v>101</v>
      </c>
      <c r="M33" s="96" t="s">
        <v>28</v>
      </c>
      <c r="N33" s="96" t="s">
        <v>33</v>
      </c>
      <c r="O33" s="96" t="s">
        <v>24</v>
      </c>
      <c r="P33" s="96" t="s">
        <v>495</v>
      </c>
      <c r="Q33" s="96" t="s">
        <v>24</v>
      </c>
      <c r="R33" s="96" t="s">
        <v>54</v>
      </c>
      <c r="S33" s="96" t="s">
        <v>102</v>
      </c>
      <c r="T33" s="96" t="s">
        <v>24</v>
      </c>
      <c r="U33" s="96" t="s">
        <v>24</v>
      </c>
      <c r="V33" s="96" t="s">
        <v>24</v>
      </c>
    </row>
    <row r="34" spans="1:22">
      <c r="A34" s="96" t="s">
        <v>741</v>
      </c>
      <c r="B34" s="96" t="s">
        <v>23</v>
      </c>
      <c r="C34" s="96" t="s">
        <v>24</v>
      </c>
      <c r="D34" s="96" t="s">
        <v>25</v>
      </c>
      <c r="E34" s="96" t="s">
        <v>571</v>
      </c>
      <c r="F34" s="96" t="s">
        <v>38</v>
      </c>
      <c r="G34" s="96" t="s">
        <v>73</v>
      </c>
      <c r="H34" s="96" t="s">
        <v>742</v>
      </c>
      <c r="I34" s="96" t="s">
        <v>743</v>
      </c>
      <c r="J34" s="96" t="s">
        <v>744</v>
      </c>
      <c r="K34" s="96" t="s">
        <v>24</v>
      </c>
      <c r="L34" s="96" t="s">
        <v>745</v>
      </c>
      <c r="M34" s="96" t="s">
        <v>28</v>
      </c>
      <c r="N34" s="96" t="s">
        <v>700</v>
      </c>
      <c r="O34" s="96" t="s">
        <v>24</v>
      </c>
      <c r="P34" s="96" t="s">
        <v>495</v>
      </c>
      <c r="Q34" s="96" t="s">
        <v>24</v>
      </c>
      <c r="R34" s="96" t="s">
        <v>63</v>
      </c>
      <c r="S34" s="96" t="s">
        <v>746</v>
      </c>
      <c r="T34" s="96" t="s">
        <v>24</v>
      </c>
      <c r="U34" s="96" t="s">
        <v>24</v>
      </c>
      <c r="V34" s="96" t="s">
        <v>24</v>
      </c>
    </row>
    <row r="35" spans="1:22">
      <c r="A35" s="96" t="s">
        <v>747</v>
      </c>
      <c r="B35" s="96" t="s">
        <v>23</v>
      </c>
      <c r="C35" s="96" t="s">
        <v>24</v>
      </c>
      <c r="D35" s="96" t="s">
        <v>25</v>
      </c>
      <c r="E35" s="96" t="s">
        <v>571</v>
      </c>
      <c r="F35" s="96" t="s">
        <v>38</v>
      </c>
      <c r="G35" s="96" t="s">
        <v>73</v>
      </c>
      <c r="H35" s="96" t="s">
        <v>742</v>
      </c>
      <c r="I35" s="96" t="s">
        <v>748</v>
      </c>
      <c r="J35" s="96" t="s">
        <v>749</v>
      </c>
      <c r="K35" s="96" t="s">
        <v>24</v>
      </c>
      <c r="L35" s="96" t="s">
        <v>750</v>
      </c>
      <c r="M35" s="96" t="s">
        <v>28</v>
      </c>
      <c r="N35" s="96" t="s">
        <v>700</v>
      </c>
      <c r="O35" s="96" t="s">
        <v>24</v>
      </c>
      <c r="P35" s="96" t="s">
        <v>495</v>
      </c>
      <c r="Q35" s="96" t="s">
        <v>24</v>
      </c>
      <c r="R35" s="96" t="s">
        <v>28</v>
      </c>
      <c r="S35" s="96" t="s">
        <v>28</v>
      </c>
      <c r="T35" s="96" t="s">
        <v>24</v>
      </c>
      <c r="U35" s="96" t="s">
        <v>24</v>
      </c>
      <c r="V35" s="96" t="s">
        <v>24</v>
      </c>
    </row>
    <row r="36" spans="1:22">
      <c r="A36" s="96" t="s">
        <v>103</v>
      </c>
      <c r="B36" s="96" t="s">
        <v>23</v>
      </c>
      <c r="C36" s="96" t="s">
        <v>24</v>
      </c>
      <c r="D36" s="96" t="s">
        <v>25</v>
      </c>
      <c r="E36" s="96" t="s">
        <v>561</v>
      </c>
      <c r="F36" s="96" t="s">
        <v>105</v>
      </c>
      <c r="G36" s="96" t="s">
        <v>106</v>
      </c>
      <c r="H36" s="96" t="s">
        <v>28</v>
      </c>
      <c r="I36" s="96" t="s">
        <v>28</v>
      </c>
      <c r="J36" s="96" t="s">
        <v>107</v>
      </c>
      <c r="K36" s="96" t="s">
        <v>108</v>
      </c>
      <c r="L36" s="96" t="s">
        <v>109</v>
      </c>
      <c r="M36" s="96" t="s">
        <v>32</v>
      </c>
      <c r="N36" s="96" t="s">
        <v>33</v>
      </c>
      <c r="O36" s="96" t="s">
        <v>24</v>
      </c>
      <c r="P36" s="96" t="s">
        <v>499</v>
      </c>
      <c r="Q36" s="96" t="s">
        <v>24</v>
      </c>
      <c r="R36" s="96" t="s">
        <v>25</v>
      </c>
      <c r="S36" s="96" t="s">
        <v>111</v>
      </c>
      <c r="T36" s="96" t="s">
        <v>24</v>
      </c>
      <c r="U36" s="96" t="s">
        <v>24</v>
      </c>
      <c r="V36" s="96" t="s">
        <v>24</v>
      </c>
    </row>
    <row r="37" spans="1:22">
      <c r="A37" s="96" t="s">
        <v>113</v>
      </c>
      <c r="B37" s="96" t="s">
        <v>23</v>
      </c>
      <c r="C37" s="96" t="s">
        <v>24</v>
      </c>
      <c r="D37" s="96" t="s">
        <v>25</v>
      </c>
      <c r="E37" s="96" t="s">
        <v>561</v>
      </c>
      <c r="F37" s="96" t="s">
        <v>105</v>
      </c>
      <c r="G37" s="96" t="s">
        <v>106</v>
      </c>
      <c r="H37" s="96" t="s">
        <v>28</v>
      </c>
      <c r="I37" s="96" t="s">
        <v>28</v>
      </c>
      <c r="J37" s="96" t="s">
        <v>114</v>
      </c>
      <c r="K37" s="96" t="s">
        <v>115</v>
      </c>
      <c r="L37" s="96" t="s">
        <v>116</v>
      </c>
      <c r="M37" s="96" t="s">
        <v>117</v>
      </c>
      <c r="N37" s="96" t="s">
        <v>33</v>
      </c>
      <c r="O37" s="96" t="s">
        <v>24</v>
      </c>
      <c r="P37" s="96" t="s">
        <v>495</v>
      </c>
      <c r="Q37" s="96" t="s">
        <v>24</v>
      </c>
      <c r="R37" s="96" t="s">
        <v>25</v>
      </c>
      <c r="S37" s="96" t="s">
        <v>118</v>
      </c>
      <c r="T37" s="96" t="s">
        <v>24</v>
      </c>
      <c r="U37" s="96" t="s">
        <v>24</v>
      </c>
      <c r="V37" s="96" t="s">
        <v>24</v>
      </c>
    </row>
    <row r="38" spans="1:22">
      <c r="A38" s="96" t="s">
        <v>119</v>
      </c>
      <c r="B38" s="96" t="s">
        <v>23</v>
      </c>
      <c r="C38" s="96" t="s">
        <v>24</v>
      </c>
      <c r="D38" s="96" t="s">
        <v>25</v>
      </c>
      <c r="E38" s="96" t="s">
        <v>561</v>
      </c>
      <c r="F38" s="96" t="s">
        <v>105</v>
      </c>
      <c r="G38" s="96" t="s">
        <v>120</v>
      </c>
      <c r="H38" s="96" t="s">
        <v>28</v>
      </c>
      <c r="I38" s="96" t="s">
        <v>28</v>
      </c>
      <c r="J38" s="96" t="s">
        <v>121</v>
      </c>
      <c r="K38" s="96" t="s">
        <v>24</v>
      </c>
      <c r="L38" s="96" t="s">
        <v>122</v>
      </c>
      <c r="M38" s="96" t="s">
        <v>28</v>
      </c>
      <c r="N38" s="96" t="s">
        <v>33</v>
      </c>
      <c r="O38" s="96" t="s">
        <v>24</v>
      </c>
      <c r="P38" s="96" t="s">
        <v>28</v>
      </c>
      <c r="Q38" s="96" t="s">
        <v>24</v>
      </c>
      <c r="R38" s="96" t="s">
        <v>28</v>
      </c>
      <c r="S38" s="96" t="s">
        <v>123</v>
      </c>
      <c r="T38" s="96" t="s">
        <v>24</v>
      </c>
      <c r="U38" s="96" t="s">
        <v>24</v>
      </c>
      <c r="V38" s="96" t="s">
        <v>24</v>
      </c>
    </row>
    <row r="39" spans="1:22">
      <c r="A39" s="96" t="s">
        <v>751</v>
      </c>
      <c r="B39" s="96" t="s">
        <v>23</v>
      </c>
      <c r="C39" s="96" t="s">
        <v>24</v>
      </c>
      <c r="D39" s="96" t="s">
        <v>25</v>
      </c>
      <c r="E39" s="96" t="s">
        <v>561</v>
      </c>
      <c r="F39" s="96" t="s">
        <v>105</v>
      </c>
      <c r="G39" s="96" t="s">
        <v>752</v>
      </c>
      <c r="H39" s="96" t="s">
        <v>28</v>
      </c>
      <c r="I39" s="96" t="s">
        <v>28</v>
      </c>
      <c r="J39" s="96" t="s">
        <v>753</v>
      </c>
      <c r="K39" s="96" t="s">
        <v>24</v>
      </c>
      <c r="L39" s="96" t="s">
        <v>754</v>
      </c>
      <c r="M39" s="96" t="s">
        <v>32</v>
      </c>
      <c r="N39" s="96" t="s">
        <v>128</v>
      </c>
      <c r="O39" s="96" t="s">
        <v>24</v>
      </c>
      <c r="P39" s="96" t="s">
        <v>128</v>
      </c>
      <c r="Q39" s="96" t="s">
        <v>24</v>
      </c>
      <c r="R39" s="96" t="s">
        <v>128</v>
      </c>
      <c r="S39" s="96" t="s">
        <v>128</v>
      </c>
      <c r="T39" s="96" t="s">
        <v>24</v>
      </c>
      <c r="U39" s="96" t="s">
        <v>24</v>
      </c>
      <c r="V39" s="96" t="s">
        <v>24</v>
      </c>
    </row>
    <row r="40" spans="1:22">
      <c r="A40" s="96" t="s">
        <v>755</v>
      </c>
      <c r="B40" s="96" t="s">
        <v>23</v>
      </c>
      <c r="C40" s="96" t="s">
        <v>24</v>
      </c>
      <c r="D40" s="96" t="s">
        <v>25</v>
      </c>
      <c r="E40" s="96" t="s">
        <v>561</v>
      </c>
      <c r="F40" s="96" t="s">
        <v>105</v>
      </c>
      <c r="G40" s="96" t="s">
        <v>752</v>
      </c>
      <c r="H40" s="96" t="s">
        <v>28</v>
      </c>
      <c r="I40" s="96" t="s">
        <v>28</v>
      </c>
      <c r="J40" s="96" t="s">
        <v>756</v>
      </c>
      <c r="K40" s="96" t="s">
        <v>24</v>
      </c>
      <c r="L40" s="96" t="s">
        <v>757</v>
      </c>
      <c r="M40" s="96" t="s">
        <v>28</v>
      </c>
      <c r="N40" s="96" t="s">
        <v>128</v>
      </c>
      <c r="O40" s="96" t="s">
        <v>24</v>
      </c>
      <c r="P40" s="96" t="s">
        <v>128</v>
      </c>
      <c r="Q40" s="96" t="s">
        <v>24</v>
      </c>
      <c r="R40" s="96" t="s">
        <v>128</v>
      </c>
      <c r="S40" s="96" t="s">
        <v>128</v>
      </c>
      <c r="T40" s="96" t="s">
        <v>24</v>
      </c>
      <c r="U40" s="96" t="s">
        <v>24</v>
      </c>
      <c r="V40" s="96" t="s">
        <v>24</v>
      </c>
    </row>
    <row r="41" spans="1:22">
      <c r="A41" s="96" t="s">
        <v>758</v>
      </c>
      <c r="B41" s="96" t="s">
        <v>23</v>
      </c>
      <c r="C41" s="96" t="s">
        <v>24</v>
      </c>
      <c r="D41" s="96" t="s">
        <v>25</v>
      </c>
      <c r="E41" s="96" t="s">
        <v>561</v>
      </c>
      <c r="F41" s="96" t="s">
        <v>105</v>
      </c>
      <c r="G41" s="96" t="s">
        <v>752</v>
      </c>
      <c r="H41" s="96" t="s">
        <v>28</v>
      </c>
      <c r="I41" s="96" t="s">
        <v>28</v>
      </c>
      <c r="J41" s="96" t="s">
        <v>759</v>
      </c>
      <c r="K41" s="96" t="s">
        <v>24</v>
      </c>
      <c r="L41" s="96" t="s">
        <v>760</v>
      </c>
      <c r="M41" s="96" t="s">
        <v>28</v>
      </c>
      <c r="N41" s="96" t="s">
        <v>128</v>
      </c>
      <c r="O41" s="96" t="s">
        <v>24</v>
      </c>
      <c r="P41" s="96" t="s">
        <v>128</v>
      </c>
      <c r="Q41" s="96" t="s">
        <v>24</v>
      </c>
      <c r="R41" s="96" t="s">
        <v>128</v>
      </c>
      <c r="S41" s="96" t="s">
        <v>128</v>
      </c>
      <c r="T41" s="96" t="s">
        <v>24</v>
      </c>
      <c r="U41" s="96" t="s">
        <v>24</v>
      </c>
      <c r="V41" s="96" t="s">
        <v>24</v>
      </c>
    </row>
    <row r="42" spans="1:22">
      <c r="A42" s="96" t="s">
        <v>124</v>
      </c>
      <c r="B42" s="96" t="s">
        <v>23</v>
      </c>
      <c r="C42" s="96" t="s">
        <v>24</v>
      </c>
      <c r="D42" s="96" t="s">
        <v>25</v>
      </c>
      <c r="E42" s="96" t="s">
        <v>561</v>
      </c>
      <c r="F42" s="96" t="s">
        <v>125</v>
      </c>
      <c r="G42" s="96" t="s">
        <v>126</v>
      </c>
      <c r="H42" s="96" t="s">
        <v>28</v>
      </c>
      <c r="I42" s="96" t="s">
        <v>28</v>
      </c>
      <c r="J42" s="96" t="s">
        <v>114</v>
      </c>
      <c r="K42" s="96" t="s">
        <v>115</v>
      </c>
      <c r="L42" s="96" t="s">
        <v>127</v>
      </c>
      <c r="M42" s="96" t="s">
        <v>28</v>
      </c>
      <c r="N42" s="96" t="s">
        <v>33</v>
      </c>
      <c r="O42" s="96" t="s">
        <v>24</v>
      </c>
      <c r="P42" s="96" t="s">
        <v>499</v>
      </c>
      <c r="Q42" s="96" t="s">
        <v>24</v>
      </c>
      <c r="R42" s="96" t="s">
        <v>128</v>
      </c>
      <c r="S42" s="96" t="s">
        <v>128</v>
      </c>
      <c r="T42" s="96" t="s">
        <v>24</v>
      </c>
      <c r="U42" s="96" t="s">
        <v>24</v>
      </c>
      <c r="V42" s="96" t="s">
        <v>24</v>
      </c>
    </row>
    <row r="43" spans="1:22">
      <c r="A43" s="96" t="s">
        <v>129</v>
      </c>
      <c r="B43" s="96" t="s">
        <v>23</v>
      </c>
      <c r="C43" s="96" t="s">
        <v>24</v>
      </c>
      <c r="D43" s="96" t="s">
        <v>25</v>
      </c>
      <c r="E43" s="96" t="s">
        <v>561</v>
      </c>
      <c r="F43" s="96" t="s">
        <v>125</v>
      </c>
      <c r="G43" s="96" t="s">
        <v>126</v>
      </c>
      <c r="H43" s="96" t="s">
        <v>28</v>
      </c>
      <c r="I43" s="96" t="s">
        <v>28</v>
      </c>
      <c r="J43" s="96" t="s">
        <v>130</v>
      </c>
      <c r="K43" s="96" t="s">
        <v>24</v>
      </c>
      <c r="L43" s="96" t="s">
        <v>131</v>
      </c>
      <c r="M43" s="96" t="s">
        <v>28</v>
      </c>
      <c r="N43" s="96" t="s">
        <v>33</v>
      </c>
      <c r="O43" s="96" t="s">
        <v>24</v>
      </c>
      <c r="P43" s="96" t="s">
        <v>499</v>
      </c>
      <c r="Q43" s="96" t="s">
        <v>24</v>
      </c>
      <c r="R43" s="96" t="s">
        <v>25</v>
      </c>
      <c r="S43" s="96" t="s">
        <v>132</v>
      </c>
      <c r="T43" s="96" t="s">
        <v>24</v>
      </c>
      <c r="U43" s="96" t="s">
        <v>24</v>
      </c>
      <c r="V43" s="96" t="s">
        <v>24</v>
      </c>
    </row>
    <row r="44" spans="1:22">
      <c r="A44" s="96" t="s">
        <v>133</v>
      </c>
      <c r="B44" s="96" t="s">
        <v>23</v>
      </c>
      <c r="C44" s="96" t="s">
        <v>24</v>
      </c>
      <c r="D44" s="96" t="s">
        <v>25</v>
      </c>
      <c r="E44" s="96" t="s">
        <v>561</v>
      </c>
      <c r="F44" s="96" t="s">
        <v>125</v>
      </c>
      <c r="G44" s="96" t="s">
        <v>126</v>
      </c>
      <c r="H44" s="96" t="s">
        <v>28</v>
      </c>
      <c r="I44" s="96" t="s">
        <v>28</v>
      </c>
      <c r="J44" s="96" t="s">
        <v>134</v>
      </c>
      <c r="K44" s="96" t="s">
        <v>24</v>
      </c>
      <c r="L44" s="96" t="s">
        <v>135</v>
      </c>
      <c r="M44" s="96" t="s">
        <v>28</v>
      </c>
      <c r="N44" s="96" t="s">
        <v>33</v>
      </c>
      <c r="O44" s="96" t="s">
        <v>24</v>
      </c>
      <c r="P44" s="96" t="s">
        <v>499</v>
      </c>
      <c r="Q44" s="96" t="s">
        <v>24</v>
      </c>
      <c r="R44" s="96" t="s">
        <v>25</v>
      </c>
      <c r="S44" s="96" t="s">
        <v>132</v>
      </c>
      <c r="T44" s="96" t="s">
        <v>24</v>
      </c>
      <c r="U44" s="96" t="s">
        <v>24</v>
      </c>
      <c r="V44" s="96" t="s">
        <v>24</v>
      </c>
    </row>
    <row r="45" spans="1:22">
      <c r="A45" s="96" t="s">
        <v>761</v>
      </c>
      <c r="B45" s="96" t="s">
        <v>23</v>
      </c>
      <c r="C45" s="96" t="s">
        <v>24</v>
      </c>
      <c r="D45" s="96" t="s">
        <v>25</v>
      </c>
      <c r="E45" s="96" t="s">
        <v>561</v>
      </c>
      <c r="F45" s="96" t="s">
        <v>125</v>
      </c>
      <c r="G45" s="96" t="s">
        <v>138</v>
      </c>
      <c r="H45" s="96" t="s">
        <v>139</v>
      </c>
      <c r="I45" s="96" t="s">
        <v>28</v>
      </c>
      <c r="J45" s="96" t="s">
        <v>762</v>
      </c>
      <c r="K45" s="96" t="s">
        <v>108</v>
      </c>
      <c r="L45" s="96" t="s">
        <v>763</v>
      </c>
      <c r="M45" s="96" t="s">
        <v>28</v>
      </c>
      <c r="N45" s="96" t="s">
        <v>128</v>
      </c>
      <c r="O45" s="96" t="s">
        <v>24</v>
      </c>
      <c r="P45" s="96" t="s">
        <v>128</v>
      </c>
      <c r="Q45" s="96" t="s">
        <v>24</v>
      </c>
      <c r="R45" s="96" t="s">
        <v>128</v>
      </c>
      <c r="S45" s="96" t="s">
        <v>128</v>
      </c>
      <c r="T45" s="96" t="s">
        <v>24</v>
      </c>
      <c r="U45" s="96" t="s">
        <v>24</v>
      </c>
      <c r="V45" s="96" t="s">
        <v>24</v>
      </c>
    </row>
    <row r="46" spans="1:22">
      <c r="A46" s="96" t="s">
        <v>137</v>
      </c>
      <c r="B46" s="96" t="s">
        <v>23</v>
      </c>
      <c r="C46" s="96" t="s">
        <v>24</v>
      </c>
      <c r="D46" s="96" t="s">
        <v>25</v>
      </c>
      <c r="E46" s="96" t="s">
        <v>561</v>
      </c>
      <c r="F46" s="96" t="s">
        <v>125</v>
      </c>
      <c r="G46" s="96" t="s">
        <v>138</v>
      </c>
      <c r="H46" s="96" t="s">
        <v>139</v>
      </c>
      <c r="I46" s="96" t="s">
        <v>140</v>
      </c>
      <c r="J46" s="96" t="s">
        <v>141</v>
      </c>
      <c r="K46" s="96" t="s">
        <v>142</v>
      </c>
      <c r="L46" s="96" t="s">
        <v>143</v>
      </c>
      <c r="M46" s="96" t="s">
        <v>28</v>
      </c>
      <c r="N46" s="96" t="s">
        <v>69</v>
      </c>
      <c r="O46" s="96" t="s">
        <v>24</v>
      </c>
      <c r="P46" s="96" t="s">
        <v>499</v>
      </c>
      <c r="Q46" s="96" t="s">
        <v>24</v>
      </c>
      <c r="R46" s="96" t="s">
        <v>54</v>
      </c>
      <c r="S46" s="96" t="s">
        <v>144</v>
      </c>
      <c r="T46" s="96" t="s">
        <v>24</v>
      </c>
      <c r="U46" s="96" t="s">
        <v>24</v>
      </c>
      <c r="V46" s="96" t="s">
        <v>24</v>
      </c>
    </row>
    <row r="47" spans="1:22">
      <c r="A47" s="96" t="s">
        <v>145</v>
      </c>
      <c r="B47" s="96" t="s">
        <v>23</v>
      </c>
      <c r="C47" s="96" t="s">
        <v>24</v>
      </c>
      <c r="D47" s="96" t="s">
        <v>25</v>
      </c>
      <c r="E47" s="96" t="s">
        <v>561</v>
      </c>
      <c r="F47" s="96" t="s">
        <v>125</v>
      </c>
      <c r="G47" s="96" t="s">
        <v>138</v>
      </c>
      <c r="H47" s="96" t="s">
        <v>139</v>
      </c>
      <c r="I47" s="96" t="s">
        <v>140</v>
      </c>
      <c r="J47" s="96" t="s">
        <v>146</v>
      </c>
      <c r="K47" s="96" t="s">
        <v>142</v>
      </c>
      <c r="L47" s="96" t="s">
        <v>147</v>
      </c>
      <c r="M47" s="96" t="s">
        <v>28</v>
      </c>
      <c r="N47" s="96" t="s">
        <v>69</v>
      </c>
      <c r="O47" s="96" t="s">
        <v>24</v>
      </c>
      <c r="P47" s="96" t="s">
        <v>499</v>
      </c>
      <c r="Q47" s="96" t="s">
        <v>24</v>
      </c>
      <c r="R47" s="96" t="s">
        <v>54</v>
      </c>
      <c r="S47" s="96" t="s">
        <v>144</v>
      </c>
      <c r="T47" s="96" t="s">
        <v>24</v>
      </c>
      <c r="U47" s="96" t="s">
        <v>24</v>
      </c>
      <c r="V47" s="96" t="s">
        <v>24</v>
      </c>
    </row>
    <row r="48" spans="1:22">
      <c r="A48" s="96" t="s">
        <v>148</v>
      </c>
      <c r="B48" s="96" t="s">
        <v>23</v>
      </c>
      <c r="C48" s="96" t="s">
        <v>24</v>
      </c>
      <c r="D48" s="96" t="s">
        <v>25</v>
      </c>
      <c r="E48" s="96" t="s">
        <v>561</v>
      </c>
      <c r="F48" s="96" t="s">
        <v>125</v>
      </c>
      <c r="G48" s="96" t="s">
        <v>138</v>
      </c>
      <c r="H48" s="96" t="s">
        <v>139</v>
      </c>
      <c r="I48" s="96" t="s">
        <v>140</v>
      </c>
      <c r="J48" s="96" t="s">
        <v>149</v>
      </c>
      <c r="K48" s="96" t="s">
        <v>142</v>
      </c>
      <c r="L48" s="96" t="s">
        <v>150</v>
      </c>
      <c r="M48" s="96" t="s">
        <v>28</v>
      </c>
      <c r="N48" s="96" t="s">
        <v>69</v>
      </c>
      <c r="O48" s="96" t="s">
        <v>24</v>
      </c>
      <c r="P48" s="96" t="s">
        <v>499</v>
      </c>
      <c r="Q48" s="96" t="s">
        <v>24</v>
      </c>
      <c r="R48" s="96" t="s">
        <v>54</v>
      </c>
      <c r="S48" s="96" t="s">
        <v>144</v>
      </c>
      <c r="T48" s="96" t="s">
        <v>24</v>
      </c>
      <c r="U48" s="96" t="s">
        <v>24</v>
      </c>
      <c r="V48" s="96" t="s">
        <v>24</v>
      </c>
    </row>
    <row r="49" spans="1:22">
      <c r="A49" s="96" t="s">
        <v>151</v>
      </c>
      <c r="B49" s="96" t="s">
        <v>23</v>
      </c>
      <c r="C49" s="96" t="s">
        <v>24</v>
      </c>
      <c r="D49" s="96" t="s">
        <v>25</v>
      </c>
      <c r="E49" s="96" t="s">
        <v>561</v>
      </c>
      <c r="F49" s="96" t="s">
        <v>125</v>
      </c>
      <c r="G49" s="96" t="s">
        <v>138</v>
      </c>
      <c r="H49" s="96" t="s">
        <v>139</v>
      </c>
      <c r="I49" s="96" t="s">
        <v>140</v>
      </c>
      <c r="J49" s="96" t="s">
        <v>152</v>
      </c>
      <c r="K49" s="96" t="s">
        <v>142</v>
      </c>
      <c r="L49" s="96" t="s">
        <v>153</v>
      </c>
      <c r="M49" s="96" t="s">
        <v>28</v>
      </c>
      <c r="N49" s="96" t="s">
        <v>69</v>
      </c>
      <c r="O49" s="96" t="s">
        <v>24</v>
      </c>
      <c r="P49" s="96" t="s">
        <v>499</v>
      </c>
      <c r="Q49" s="96" t="s">
        <v>24</v>
      </c>
      <c r="R49" s="96" t="s">
        <v>54</v>
      </c>
      <c r="S49" s="96" t="s">
        <v>144</v>
      </c>
      <c r="T49" s="96" t="s">
        <v>24</v>
      </c>
      <c r="U49" s="96" t="s">
        <v>24</v>
      </c>
      <c r="V49" s="96" t="s">
        <v>24</v>
      </c>
    </row>
    <row r="50" spans="1:22">
      <c r="A50" s="96" t="s">
        <v>154</v>
      </c>
      <c r="B50" s="96" t="s">
        <v>23</v>
      </c>
      <c r="C50" s="96" t="s">
        <v>24</v>
      </c>
      <c r="D50" s="96" t="s">
        <v>25</v>
      </c>
      <c r="E50" s="96" t="s">
        <v>561</v>
      </c>
      <c r="F50" s="96" t="s">
        <v>125</v>
      </c>
      <c r="G50" s="96" t="s">
        <v>138</v>
      </c>
      <c r="H50" s="96" t="s">
        <v>139</v>
      </c>
      <c r="I50" s="96" t="s">
        <v>140</v>
      </c>
      <c r="J50" s="96" t="s">
        <v>155</v>
      </c>
      <c r="K50" s="96" t="s">
        <v>142</v>
      </c>
      <c r="L50" s="96" t="s">
        <v>156</v>
      </c>
      <c r="M50" s="96" t="s">
        <v>28</v>
      </c>
      <c r="N50" s="96" t="s">
        <v>69</v>
      </c>
      <c r="O50" s="96" t="s">
        <v>24</v>
      </c>
      <c r="P50" s="96" t="s">
        <v>128</v>
      </c>
      <c r="Q50" s="96" t="s">
        <v>24</v>
      </c>
      <c r="R50" s="96" t="s">
        <v>54</v>
      </c>
      <c r="S50" s="96" t="s">
        <v>144</v>
      </c>
      <c r="T50" s="96" t="s">
        <v>24</v>
      </c>
      <c r="U50" s="96" t="s">
        <v>24</v>
      </c>
      <c r="V50" s="96" t="s">
        <v>24</v>
      </c>
    </row>
    <row r="51" spans="1:22">
      <c r="A51" s="96" t="s">
        <v>157</v>
      </c>
      <c r="B51" s="96" t="s">
        <v>23</v>
      </c>
      <c r="C51" s="96" t="s">
        <v>24</v>
      </c>
      <c r="D51" s="96" t="s">
        <v>25</v>
      </c>
      <c r="E51" s="96" t="s">
        <v>561</v>
      </c>
      <c r="F51" s="96" t="s">
        <v>125</v>
      </c>
      <c r="G51" s="96" t="s">
        <v>138</v>
      </c>
      <c r="H51" s="96" t="s">
        <v>139</v>
      </c>
      <c r="I51" s="96" t="s">
        <v>140</v>
      </c>
      <c r="J51" s="96" t="s">
        <v>158</v>
      </c>
      <c r="K51" s="96" t="s">
        <v>24</v>
      </c>
      <c r="L51" s="96" t="s">
        <v>159</v>
      </c>
      <c r="M51" s="96" t="s">
        <v>28</v>
      </c>
      <c r="N51" s="96" t="s">
        <v>69</v>
      </c>
      <c r="O51" s="96" t="s">
        <v>24</v>
      </c>
      <c r="P51" s="96" t="s">
        <v>495</v>
      </c>
      <c r="Q51" s="96" t="s">
        <v>24</v>
      </c>
      <c r="R51" s="96" t="s">
        <v>54</v>
      </c>
      <c r="S51" s="96" t="s">
        <v>144</v>
      </c>
      <c r="T51" s="96" t="s">
        <v>24</v>
      </c>
      <c r="U51" s="96" t="s">
        <v>24</v>
      </c>
      <c r="V51" s="96" t="s">
        <v>24</v>
      </c>
    </row>
    <row r="52" spans="1:22">
      <c r="A52" s="96" t="s">
        <v>160</v>
      </c>
      <c r="B52" s="96" t="s">
        <v>23</v>
      </c>
      <c r="C52" s="96" t="s">
        <v>24</v>
      </c>
      <c r="D52" s="96" t="s">
        <v>25</v>
      </c>
      <c r="E52" s="96" t="s">
        <v>561</v>
      </c>
      <c r="F52" s="96" t="s">
        <v>125</v>
      </c>
      <c r="G52" s="96" t="s">
        <v>138</v>
      </c>
      <c r="H52" s="96" t="s">
        <v>139</v>
      </c>
      <c r="I52" s="96" t="s">
        <v>140</v>
      </c>
      <c r="J52" s="96" t="s">
        <v>161</v>
      </c>
      <c r="K52" s="96" t="s">
        <v>142</v>
      </c>
      <c r="L52" s="96" t="s">
        <v>162</v>
      </c>
      <c r="M52" s="96" t="s">
        <v>28</v>
      </c>
      <c r="N52" s="96" t="s">
        <v>69</v>
      </c>
      <c r="O52" s="96" t="s">
        <v>24</v>
      </c>
      <c r="P52" s="96" t="s">
        <v>495</v>
      </c>
      <c r="Q52" s="96" t="s">
        <v>24</v>
      </c>
      <c r="R52" s="96" t="s">
        <v>54</v>
      </c>
      <c r="S52" s="96" t="s">
        <v>144</v>
      </c>
      <c r="T52" s="96" t="s">
        <v>24</v>
      </c>
      <c r="U52" s="96" t="s">
        <v>24</v>
      </c>
      <c r="V52" s="96" t="s">
        <v>24</v>
      </c>
    </row>
    <row r="53" spans="1:22">
      <c r="A53" s="96" t="s">
        <v>163</v>
      </c>
      <c r="B53" s="96" t="s">
        <v>23</v>
      </c>
      <c r="C53" s="96" t="s">
        <v>24</v>
      </c>
      <c r="D53" s="96" t="s">
        <v>25</v>
      </c>
      <c r="E53" s="96" t="s">
        <v>561</v>
      </c>
      <c r="F53" s="96" t="s">
        <v>125</v>
      </c>
      <c r="G53" s="96" t="s">
        <v>138</v>
      </c>
      <c r="H53" s="96" t="s">
        <v>139</v>
      </c>
      <c r="I53" s="96" t="s">
        <v>140</v>
      </c>
      <c r="J53" s="96" t="s">
        <v>164</v>
      </c>
      <c r="K53" s="96" t="s">
        <v>165</v>
      </c>
      <c r="L53" s="96" t="s">
        <v>166</v>
      </c>
      <c r="M53" s="96" t="s">
        <v>28</v>
      </c>
      <c r="N53" s="96" t="s">
        <v>69</v>
      </c>
      <c r="O53" s="96" t="s">
        <v>24</v>
      </c>
      <c r="P53" s="96" t="s">
        <v>495</v>
      </c>
      <c r="Q53" s="96" t="s">
        <v>24</v>
      </c>
      <c r="R53" s="96" t="s">
        <v>54</v>
      </c>
      <c r="S53" s="96" t="s">
        <v>167</v>
      </c>
      <c r="T53" s="96" t="s">
        <v>24</v>
      </c>
      <c r="U53" s="96" t="s">
        <v>24</v>
      </c>
      <c r="V53" s="96" t="s">
        <v>24</v>
      </c>
    </row>
    <row r="54" spans="1:22">
      <c r="A54" s="96" t="s">
        <v>168</v>
      </c>
      <c r="B54" s="96" t="s">
        <v>23</v>
      </c>
      <c r="C54" s="96" t="s">
        <v>24</v>
      </c>
      <c r="D54" s="96" t="s">
        <v>25</v>
      </c>
      <c r="E54" s="96" t="s">
        <v>561</v>
      </c>
      <c r="F54" s="96" t="s">
        <v>125</v>
      </c>
      <c r="G54" s="96" t="s">
        <v>138</v>
      </c>
      <c r="H54" s="96" t="s">
        <v>169</v>
      </c>
      <c r="I54" s="96" t="s">
        <v>28</v>
      </c>
      <c r="J54" s="96" t="s">
        <v>170</v>
      </c>
      <c r="K54" s="96" t="s">
        <v>24</v>
      </c>
      <c r="L54" s="96" t="s">
        <v>171</v>
      </c>
      <c r="M54" s="96" t="s">
        <v>172</v>
      </c>
      <c r="N54" s="96" t="s">
        <v>69</v>
      </c>
      <c r="O54" s="96" t="s">
        <v>24</v>
      </c>
      <c r="P54" s="96" t="s">
        <v>499</v>
      </c>
      <c r="Q54" s="96" t="s">
        <v>24</v>
      </c>
      <c r="R54" s="96" t="s">
        <v>54</v>
      </c>
      <c r="S54" s="96" t="s">
        <v>144</v>
      </c>
      <c r="T54" s="96" t="s">
        <v>24</v>
      </c>
      <c r="U54" s="96" t="s">
        <v>24</v>
      </c>
      <c r="V54" s="96" t="s">
        <v>24</v>
      </c>
    </row>
    <row r="55" spans="1:22">
      <c r="A55" s="96" t="s">
        <v>174</v>
      </c>
      <c r="B55" s="96" t="s">
        <v>23</v>
      </c>
      <c r="C55" s="96" t="s">
        <v>24</v>
      </c>
      <c r="D55" s="96" t="s">
        <v>25</v>
      </c>
      <c r="E55" s="96" t="s">
        <v>561</v>
      </c>
      <c r="F55" s="96" t="s">
        <v>125</v>
      </c>
      <c r="G55" s="96" t="s">
        <v>138</v>
      </c>
      <c r="H55" s="96" t="s">
        <v>175</v>
      </c>
      <c r="I55" s="96" t="s">
        <v>28</v>
      </c>
      <c r="J55" s="96" t="s">
        <v>176</v>
      </c>
      <c r="K55" s="96" t="s">
        <v>24</v>
      </c>
      <c r="L55" s="96" t="s">
        <v>177</v>
      </c>
      <c r="M55" s="96" t="s">
        <v>172</v>
      </c>
      <c r="N55" s="96" t="s">
        <v>69</v>
      </c>
      <c r="O55" s="96" t="s">
        <v>24</v>
      </c>
      <c r="P55" s="96" t="s">
        <v>499</v>
      </c>
      <c r="Q55" s="96" t="s">
        <v>24</v>
      </c>
      <c r="R55" s="96" t="s">
        <v>54</v>
      </c>
      <c r="S55" s="96" t="s">
        <v>144</v>
      </c>
      <c r="T55" s="96" t="s">
        <v>24</v>
      </c>
      <c r="U55" s="96" t="s">
        <v>24</v>
      </c>
      <c r="V55" s="96" t="s">
        <v>24</v>
      </c>
    </row>
    <row r="56" spans="1:22">
      <c r="A56" s="96" t="s">
        <v>764</v>
      </c>
      <c r="B56" s="96" t="s">
        <v>23</v>
      </c>
      <c r="C56" s="96" t="s">
        <v>24</v>
      </c>
      <c r="D56" s="96" t="s">
        <v>25</v>
      </c>
      <c r="E56" s="96" t="s">
        <v>561</v>
      </c>
      <c r="F56" s="96" t="s">
        <v>179</v>
      </c>
      <c r="G56" s="96" t="s">
        <v>765</v>
      </c>
      <c r="H56" s="96" t="s">
        <v>28</v>
      </c>
      <c r="I56" s="96" t="s">
        <v>28</v>
      </c>
      <c r="J56" s="96" t="s">
        <v>766</v>
      </c>
      <c r="K56" s="96" t="s">
        <v>24</v>
      </c>
      <c r="L56" s="96" t="s">
        <v>767</v>
      </c>
      <c r="M56" s="96" t="s">
        <v>28</v>
      </c>
      <c r="N56" s="96" t="s">
        <v>700</v>
      </c>
      <c r="O56" s="96" t="s">
        <v>24</v>
      </c>
      <c r="P56" s="96" t="s">
        <v>499</v>
      </c>
      <c r="Q56" s="96" t="s">
        <v>768</v>
      </c>
      <c r="R56" s="96" t="s">
        <v>25</v>
      </c>
      <c r="S56" s="96" t="s">
        <v>769</v>
      </c>
      <c r="T56" s="96" t="s">
        <v>24</v>
      </c>
      <c r="U56" s="96" t="s">
        <v>24</v>
      </c>
      <c r="V56" s="96" t="s">
        <v>24</v>
      </c>
    </row>
    <row r="57" spans="1:22">
      <c r="A57" s="96" t="s">
        <v>178</v>
      </c>
      <c r="B57" s="96" t="s">
        <v>23</v>
      </c>
      <c r="C57" s="96" t="s">
        <v>24</v>
      </c>
      <c r="D57" s="96" t="s">
        <v>25</v>
      </c>
      <c r="E57" s="96" t="s">
        <v>561</v>
      </c>
      <c r="F57" s="96" t="s">
        <v>179</v>
      </c>
      <c r="G57" s="96" t="s">
        <v>28</v>
      </c>
      <c r="H57" s="96" t="s">
        <v>28</v>
      </c>
      <c r="I57" s="96" t="s">
        <v>28</v>
      </c>
      <c r="J57" s="96" t="s">
        <v>180</v>
      </c>
      <c r="K57" s="96" t="s">
        <v>24</v>
      </c>
      <c r="L57" s="96" t="s">
        <v>181</v>
      </c>
      <c r="M57" s="96" t="s">
        <v>28</v>
      </c>
      <c r="N57" s="96" t="s">
        <v>69</v>
      </c>
      <c r="O57" s="96" t="s">
        <v>24</v>
      </c>
      <c r="P57" s="96" t="s">
        <v>499</v>
      </c>
      <c r="Q57" s="96" t="s">
        <v>24</v>
      </c>
      <c r="R57" s="96" t="s">
        <v>54</v>
      </c>
      <c r="S57" s="96" t="s">
        <v>182</v>
      </c>
      <c r="T57" s="96" t="s">
        <v>24</v>
      </c>
      <c r="U57" s="96" t="s">
        <v>24</v>
      </c>
      <c r="V57" s="96" t="s">
        <v>24</v>
      </c>
    </row>
    <row r="58" spans="1:22">
      <c r="A58" s="96" t="s">
        <v>184</v>
      </c>
      <c r="B58" s="96" t="s">
        <v>23</v>
      </c>
      <c r="C58" s="96" t="s">
        <v>24</v>
      </c>
      <c r="D58" s="96" t="s">
        <v>25</v>
      </c>
      <c r="E58" s="96" t="s">
        <v>561</v>
      </c>
      <c r="F58" s="96" t="s">
        <v>185</v>
      </c>
      <c r="G58" s="96" t="s">
        <v>28</v>
      </c>
      <c r="H58" s="96" t="s">
        <v>28</v>
      </c>
      <c r="I58" s="96" t="s">
        <v>28</v>
      </c>
      <c r="J58" s="96" t="s">
        <v>186</v>
      </c>
      <c r="K58" s="96" t="s">
        <v>24</v>
      </c>
      <c r="L58" s="96" t="s">
        <v>187</v>
      </c>
      <c r="M58" s="96" t="s">
        <v>28</v>
      </c>
      <c r="N58" s="96" t="s">
        <v>188</v>
      </c>
      <c r="O58" s="96" t="s">
        <v>24</v>
      </c>
      <c r="P58" s="96" t="s">
        <v>499</v>
      </c>
      <c r="Q58" s="96" t="s">
        <v>24</v>
      </c>
      <c r="R58" s="96" t="s">
        <v>25</v>
      </c>
      <c r="S58" s="96" t="s">
        <v>189</v>
      </c>
      <c r="T58" s="96" t="s">
        <v>24</v>
      </c>
      <c r="U58" s="96" t="s">
        <v>24</v>
      </c>
      <c r="V58" s="96" t="s">
        <v>24</v>
      </c>
    </row>
    <row r="59" spans="1:22">
      <c r="A59" s="96" t="s">
        <v>191</v>
      </c>
      <c r="B59" s="96" t="s">
        <v>23</v>
      </c>
      <c r="C59" s="96" t="s">
        <v>24</v>
      </c>
      <c r="D59" s="96" t="s">
        <v>25</v>
      </c>
      <c r="E59" s="96" t="s">
        <v>561</v>
      </c>
      <c r="F59" s="96" t="s">
        <v>185</v>
      </c>
      <c r="G59" s="96" t="s">
        <v>28</v>
      </c>
      <c r="H59" s="96" t="s">
        <v>28</v>
      </c>
      <c r="I59" s="96" t="s">
        <v>28</v>
      </c>
      <c r="J59" s="96" t="s">
        <v>192</v>
      </c>
      <c r="K59" s="96" t="s">
        <v>24</v>
      </c>
      <c r="L59" s="96" t="s">
        <v>193</v>
      </c>
      <c r="M59" s="96" t="s">
        <v>28</v>
      </c>
      <c r="N59" s="96" t="s">
        <v>69</v>
      </c>
      <c r="O59" s="96" t="s">
        <v>24</v>
      </c>
      <c r="P59" s="96" t="s">
        <v>499</v>
      </c>
      <c r="Q59" s="96" t="s">
        <v>24</v>
      </c>
      <c r="R59" s="96" t="s">
        <v>54</v>
      </c>
      <c r="S59" s="96" t="s">
        <v>144</v>
      </c>
      <c r="T59" s="96" t="s">
        <v>24</v>
      </c>
      <c r="U59" s="96" t="s">
        <v>24</v>
      </c>
      <c r="V59" s="96" t="s">
        <v>24</v>
      </c>
    </row>
    <row r="60" spans="1:22">
      <c r="A60" s="96" t="s">
        <v>194</v>
      </c>
      <c r="B60" s="96" t="s">
        <v>23</v>
      </c>
      <c r="C60" s="96" t="s">
        <v>24</v>
      </c>
      <c r="D60" s="96" t="s">
        <v>25</v>
      </c>
      <c r="E60" s="96" t="s">
        <v>770</v>
      </c>
      <c r="F60" s="96" t="s">
        <v>196</v>
      </c>
      <c r="G60" s="96" t="s">
        <v>28</v>
      </c>
      <c r="H60" s="96" t="s">
        <v>28</v>
      </c>
      <c r="I60" s="96" t="s">
        <v>28</v>
      </c>
      <c r="J60" s="96" t="s">
        <v>197</v>
      </c>
      <c r="K60" s="96" t="s">
        <v>198</v>
      </c>
      <c r="L60" s="96" t="s">
        <v>199</v>
      </c>
      <c r="M60" s="96" t="s">
        <v>28</v>
      </c>
      <c r="N60" s="96" t="s">
        <v>200</v>
      </c>
      <c r="O60" s="96" t="s">
        <v>24</v>
      </c>
      <c r="P60" s="96" t="s">
        <v>499</v>
      </c>
      <c r="Q60" s="96" t="s">
        <v>24</v>
      </c>
      <c r="R60" s="96" t="s">
        <v>54</v>
      </c>
      <c r="S60" s="96" t="s">
        <v>201</v>
      </c>
      <c r="T60" s="96" t="s">
        <v>24</v>
      </c>
      <c r="U60" s="96" t="s">
        <v>24</v>
      </c>
      <c r="V60" s="96" t="s">
        <v>24</v>
      </c>
    </row>
    <row r="61" spans="1:22">
      <c r="A61" s="96" t="s">
        <v>202</v>
      </c>
      <c r="B61" s="96" t="s">
        <v>23</v>
      </c>
      <c r="C61" s="96" t="s">
        <v>24</v>
      </c>
      <c r="D61" s="96" t="s">
        <v>25</v>
      </c>
      <c r="E61" s="96" t="s">
        <v>770</v>
      </c>
      <c r="F61" s="96" t="s">
        <v>196</v>
      </c>
      <c r="G61" s="96" t="s">
        <v>28</v>
      </c>
      <c r="H61" s="96" t="s">
        <v>28</v>
      </c>
      <c r="I61" s="96" t="s">
        <v>28</v>
      </c>
      <c r="J61" s="96" t="s">
        <v>203</v>
      </c>
      <c r="K61" s="96" t="s">
        <v>198</v>
      </c>
      <c r="L61" s="96" t="s">
        <v>204</v>
      </c>
      <c r="M61" s="96" t="s">
        <v>28</v>
      </c>
      <c r="N61" s="96" t="s">
        <v>33</v>
      </c>
      <c r="O61" s="96" t="s">
        <v>24</v>
      </c>
      <c r="P61" s="96" t="s">
        <v>24</v>
      </c>
      <c r="Q61" s="96" t="s">
        <v>24</v>
      </c>
      <c r="R61" s="96" t="s">
        <v>24</v>
      </c>
      <c r="S61" s="96" t="s">
        <v>205</v>
      </c>
      <c r="T61" s="96" t="s">
        <v>24</v>
      </c>
      <c r="U61" s="96" t="s">
        <v>24</v>
      </c>
      <c r="V61" s="96" t="s">
        <v>24</v>
      </c>
    </row>
    <row r="62" spans="1:22">
      <c r="A62" s="96" t="s">
        <v>206</v>
      </c>
      <c r="B62" s="96" t="s">
        <v>23</v>
      </c>
      <c r="C62" s="96" t="s">
        <v>24</v>
      </c>
      <c r="D62" s="96" t="s">
        <v>25</v>
      </c>
      <c r="E62" s="96" t="s">
        <v>770</v>
      </c>
      <c r="F62" s="96" t="s">
        <v>207</v>
      </c>
      <c r="G62" s="96" t="s">
        <v>28</v>
      </c>
      <c r="H62" s="96" t="s">
        <v>28</v>
      </c>
      <c r="I62" s="96" t="s">
        <v>28</v>
      </c>
      <c r="J62" s="96" t="s">
        <v>208</v>
      </c>
      <c r="K62" s="96" t="s">
        <v>24</v>
      </c>
      <c r="L62" s="96" t="s">
        <v>209</v>
      </c>
      <c r="M62" s="96" t="s">
        <v>28</v>
      </c>
      <c r="N62" s="96" t="s">
        <v>69</v>
      </c>
      <c r="O62" s="96" t="s">
        <v>24</v>
      </c>
      <c r="P62" s="96" t="s">
        <v>495</v>
      </c>
      <c r="Q62" s="96" t="s">
        <v>24</v>
      </c>
      <c r="R62" s="96" t="s">
        <v>54</v>
      </c>
      <c r="S62" s="96" t="s">
        <v>144</v>
      </c>
      <c r="T62" s="96" t="s">
        <v>24</v>
      </c>
      <c r="U62" s="96" t="s">
        <v>24</v>
      </c>
      <c r="V62" s="96" t="s">
        <v>24</v>
      </c>
    </row>
    <row r="63" spans="1:22">
      <c r="A63" s="96" t="s">
        <v>210</v>
      </c>
      <c r="B63" s="96" t="s">
        <v>23</v>
      </c>
      <c r="C63" s="96" t="s">
        <v>24</v>
      </c>
      <c r="D63" s="96" t="s">
        <v>25</v>
      </c>
      <c r="E63" s="96" t="s">
        <v>770</v>
      </c>
      <c r="F63" s="96" t="s">
        <v>207</v>
      </c>
      <c r="G63" s="96" t="s">
        <v>28</v>
      </c>
      <c r="H63" s="96" t="s">
        <v>28</v>
      </c>
      <c r="I63" s="96" t="s">
        <v>28</v>
      </c>
      <c r="J63" s="96" t="s">
        <v>211</v>
      </c>
      <c r="K63" s="96" t="s">
        <v>24</v>
      </c>
      <c r="L63" s="96" t="s">
        <v>212</v>
      </c>
      <c r="M63" s="96" t="s">
        <v>28</v>
      </c>
      <c r="N63" s="96" t="s">
        <v>69</v>
      </c>
      <c r="O63" s="96" t="s">
        <v>24</v>
      </c>
      <c r="P63" s="96" t="s">
        <v>495</v>
      </c>
      <c r="Q63" s="96" t="s">
        <v>24</v>
      </c>
      <c r="R63" s="96" t="s">
        <v>54</v>
      </c>
      <c r="S63" s="96" t="s">
        <v>144</v>
      </c>
      <c r="T63" s="96" t="s">
        <v>24</v>
      </c>
      <c r="U63" s="96" t="s">
        <v>24</v>
      </c>
      <c r="V63" s="96" t="s">
        <v>24</v>
      </c>
    </row>
    <row r="64" spans="1:22">
      <c r="A64" s="96" t="s">
        <v>214</v>
      </c>
      <c r="B64" s="96" t="s">
        <v>23</v>
      </c>
      <c r="C64" s="96" t="s">
        <v>24</v>
      </c>
      <c r="D64" s="96" t="s">
        <v>25</v>
      </c>
      <c r="E64" s="96" t="s">
        <v>770</v>
      </c>
      <c r="F64" s="96" t="s">
        <v>207</v>
      </c>
      <c r="G64" s="96" t="s">
        <v>28</v>
      </c>
      <c r="H64" s="96" t="s">
        <v>28</v>
      </c>
      <c r="I64" s="96" t="s">
        <v>28</v>
      </c>
      <c r="J64" s="96" t="s">
        <v>215</v>
      </c>
      <c r="K64" s="96" t="s">
        <v>24</v>
      </c>
      <c r="L64" s="96" t="s">
        <v>216</v>
      </c>
      <c r="M64" s="96" t="s">
        <v>28</v>
      </c>
      <c r="N64" s="96" t="s">
        <v>69</v>
      </c>
      <c r="O64" s="96" t="s">
        <v>24</v>
      </c>
      <c r="P64" s="96" t="s">
        <v>63</v>
      </c>
      <c r="Q64" s="96" t="s">
        <v>24</v>
      </c>
      <c r="R64" s="96" t="s">
        <v>54</v>
      </c>
      <c r="S64" s="96" t="s">
        <v>144</v>
      </c>
      <c r="T64" s="96" t="s">
        <v>24</v>
      </c>
      <c r="U64" s="96" t="s">
        <v>24</v>
      </c>
      <c r="V64" s="96" t="s">
        <v>24</v>
      </c>
    </row>
    <row r="65" spans="1:22">
      <c r="A65" s="96" t="s">
        <v>217</v>
      </c>
      <c r="B65" s="96" t="s">
        <v>23</v>
      </c>
      <c r="C65" s="96" t="s">
        <v>24</v>
      </c>
      <c r="D65" s="96" t="s">
        <v>25</v>
      </c>
      <c r="E65" s="96" t="s">
        <v>770</v>
      </c>
      <c r="F65" s="96" t="s">
        <v>207</v>
      </c>
      <c r="G65" s="96" t="s">
        <v>28</v>
      </c>
      <c r="H65" s="96" t="s">
        <v>28</v>
      </c>
      <c r="I65" s="96" t="s">
        <v>28</v>
      </c>
      <c r="J65" s="96" t="s">
        <v>218</v>
      </c>
      <c r="K65" s="96" t="s">
        <v>24</v>
      </c>
      <c r="L65" s="96" t="s">
        <v>219</v>
      </c>
      <c r="M65" s="96" t="s">
        <v>28</v>
      </c>
      <c r="N65" s="96" t="s">
        <v>69</v>
      </c>
      <c r="O65" s="96" t="s">
        <v>24</v>
      </c>
      <c r="P65" s="96" t="s">
        <v>63</v>
      </c>
      <c r="Q65" s="96" t="s">
        <v>24</v>
      </c>
      <c r="R65" s="96" t="s">
        <v>54</v>
      </c>
      <c r="S65" s="96" t="s">
        <v>144</v>
      </c>
      <c r="T65" s="96" t="s">
        <v>24</v>
      </c>
      <c r="U65" s="96" t="s">
        <v>24</v>
      </c>
      <c r="V65" s="96" t="s">
        <v>24</v>
      </c>
    </row>
    <row r="66" spans="1:22">
      <c r="A66" s="96" t="s">
        <v>220</v>
      </c>
      <c r="B66" s="96" t="s">
        <v>23</v>
      </c>
      <c r="C66" s="96" t="s">
        <v>24</v>
      </c>
      <c r="D66" s="96" t="s">
        <v>25</v>
      </c>
      <c r="E66" s="96" t="s">
        <v>770</v>
      </c>
      <c r="F66" s="96" t="s">
        <v>221</v>
      </c>
      <c r="G66" s="96" t="s">
        <v>28</v>
      </c>
      <c r="H66" s="96" t="s">
        <v>28</v>
      </c>
      <c r="I66" s="96" t="s">
        <v>28</v>
      </c>
      <c r="J66" s="96" t="s">
        <v>222</v>
      </c>
      <c r="K66" s="96" t="s">
        <v>24</v>
      </c>
      <c r="L66" s="96" t="s">
        <v>223</v>
      </c>
      <c r="M66" s="96" t="s">
        <v>28</v>
      </c>
      <c r="N66" s="96" t="s">
        <v>69</v>
      </c>
      <c r="O66" s="96" t="s">
        <v>24</v>
      </c>
      <c r="P66" s="96" t="s">
        <v>499</v>
      </c>
      <c r="Q66" s="96" t="s">
        <v>24</v>
      </c>
      <c r="R66" s="96" t="s">
        <v>54</v>
      </c>
      <c r="S66" s="96" t="s">
        <v>224</v>
      </c>
      <c r="T66" s="96" t="s">
        <v>24</v>
      </c>
      <c r="U66" s="96" t="s">
        <v>24</v>
      </c>
      <c r="V66" s="96" t="s">
        <v>24</v>
      </c>
    </row>
    <row r="67" spans="1:22">
      <c r="A67" s="96" t="s">
        <v>225</v>
      </c>
      <c r="B67" s="96" t="s">
        <v>23</v>
      </c>
      <c r="C67" s="96" t="s">
        <v>24</v>
      </c>
      <c r="D67" s="96" t="s">
        <v>25</v>
      </c>
      <c r="E67" s="96" t="s">
        <v>770</v>
      </c>
      <c r="F67" s="96" t="s">
        <v>226</v>
      </c>
      <c r="G67" s="96" t="s">
        <v>227</v>
      </c>
      <c r="H67" s="96" t="s">
        <v>28</v>
      </c>
      <c r="I67" s="96" t="s">
        <v>28</v>
      </c>
      <c r="J67" s="96" t="s">
        <v>228</v>
      </c>
      <c r="K67" s="96" t="s">
        <v>24</v>
      </c>
      <c r="L67" s="96" t="s">
        <v>229</v>
      </c>
      <c r="M67" s="96" t="s">
        <v>28</v>
      </c>
      <c r="N67" s="96" t="s">
        <v>188</v>
      </c>
      <c r="O67" s="96" t="s">
        <v>24</v>
      </c>
      <c r="P67" s="96" t="s">
        <v>499</v>
      </c>
      <c r="Q67" s="96" t="s">
        <v>24</v>
      </c>
      <c r="R67" s="96" t="s">
        <v>54</v>
      </c>
      <c r="S67" s="96" t="s">
        <v>230</v>
      </c>
      <c r="T67" s="96" t="s">
        <v>24</v>
      </c>
      <c r="U67" s="96" t="s">
        <v>24</v>
      </c>
      <c r="V67" s="96" t="s">
        <v>24</v>
      </c>
    </row>
    <row r="68" spans="1:22">
      <c r="A68" s="96" t="s">
        <v>232</v>
      </c>
      <c r="B68" s="96" t="s">
        <v>23</v>
      </c>
      <c r="C68" s="96" t="s">
        <v>24</v>
      </c>
      <c r="D68" s="96" t="s">
        <v>25</v>
      </c>
      <c r="E68" s="96" t="s">
        <v>770</v>
      </c>
      <c r="F68" s="96" t="s">
        <v>226</v>
      </c>
      <c r="G68" s="96" t="s">
        <v>227</v>
      </c>
      <c r="H68" s="96" t="s">
        <v>28</v>
      </c>
      <c r="I68" s="96" t="s">
        <v>28</v>
      </c>
      <c r="J68" s="96" t="s">
        <v>233</v>
      </c>
      <c r="K68" s="96" t="s">
        <v>24</v>
      </c>
      <c r="L68" s="96" t="s">
        <v>229</v>
      </c>
      <c r="M68" s="96" t="s">
        <v>28</v>
      </c>
      <c r="N68" s="96" t="s">
        <v>188</v>
      </c>
      <c r="O68" s="96" t="s">
        <v>24</v>
      </c>
      <c r="P68" s="96" t="s">
        <v>499</v>
      </c>
      <c r="Q68" s="96" t="s">
        <v>24</v>
      </c>
      <c r="R68" s="96" t="s">
        <v>54</v>
      </c>
      <c r="S68" s="96" t="s">
        <v>230</v>
      </c>
      <c r="T68" s="96" t="s">
        <v>24</v>
      </c>
      <c r="U68" s="96" t="s">
        <v>24</v>
      </c>
      <c r="V68" s="96" t="s">
        <v>24</v>
      </c>
    </row>
    <row r="69" spans="1:22">
      <c r="A69" s="96" t="s">
        <v>771</v>
      </c>
      <c r="B69" s="96" t="s">
        <v>23</v>
      </c>
      <c r="C69" s="96" t="s">
        <v>24</v>
      </c>
      <c r="D69" s="96" t="s">
        <v>25</v>
      </c>
      <c r="E69" s="96" t="s">
        <v>770</v>
      </c>
      <c r="F69" s="96" t="s">
        <v>226</v>
      </c>
      <c r="G69" s="96" t="s">
        <v>772</v>
      </c>
      <c r="H69" s="96" t="s">
        <v>28</v>
      </c>
      <c r="I69" s="96" t="s">
        <v>28</v>
      </c>
      <c r="J69" s="96" t="s">
        <v>773</v>
      </c>
      <c r="K69" s="96" t="s">
        <v>774</v>
      </c>
      <c r="L69" s="96" t="s">
        <v>775</v>
      </c>
      <c r="M69" s="96" t="s">
        <v>28</v>
      </c>
      <c r="N69" s="96" t="s">
        <v>776</v>
      </c>
      <c r="O69" s="96" t="s">
        <v>24</v>
      </c>
      <c r="P69" s="96" t="s">
        <v>495</v>
      </c>
      <c r="Q69" s="96" t="s">
        <v>24</v>
      </c>
      <c r="R69" s="96" t="s">
        <v>54</v>
      </c>
      <c r="S69" s="96" t="s">
        <v>777</v>
      </c>
      <c r="T69" s="96" t="s">
        <v>24</v>
      </c>
      <c r="U69" s="96" t="s">
        <v>24</v>
      </c>
      <c r="V69" s="96" t="s">
        <v>24</v>
      </c>
    </row>
    <row r="70" spans="1:22">
      <c r="A70" s="96" t="s">
        <v>778</v>
      </c>
      <c r="B70" s="96" t="s">
        <v>23</v>
      </c>
      <c r="C70" s="96" t="s">
        <v>24</v>
      </c>
      <c r="D70" s="96" t="s">
        <v>25</v>
      </c>
      <c r="E70" s="96" t="s">
        <v>770</v>
      </c>
      <c r="F70" s="96" t="s">
        <v>226</v>
      </c>
      <c r="G70" s="96" t="s">
        <v>772</v>
      </c>
      <c r="H70" s="96" t="s">
        <v>28</v>
      </c>
      <c r="I70" s="96" t="s">
        <v>28</v>
      </c>
      <c r="J70" s="96" t="s">
        <v>779</v>
      </c>
      <c r="K70" s="96" t="s">
        <v>24</v>
      </c>
      <c r="L70" s="96" t="s">
        <v>780</v>
      </c>
      <c r="M70" s="96" t="s">
        <v>28</v>
      </c>
      <c r="N70" s="96" t="s">
        <v>776</v>
      </c>
      <c r="O70" s="96" t="s">
        <v>24</v>
      </c>
      <c r="P70" s="96" t="s">
        <v>63</v>
      </c>
      <c r="Q70" s="96" t="s">
        <v>24</v>
      </c>
      <c r="R70" s="96" t="s">
        <v>54</v>
      </c>
      <c r="S70" s="96" t="s">
        <v>777</v>
      </c>
      <c r="T70" s="96" t="s">
        <v>24</v>
      </c>
      <c r="U70" s="96" t="s">
        <v>24</v>
      </c>
      <c r="V70" s="96" t="s">
        <v>24</v>
      </c>
    </row>
    <row r="71" spans="1:22">
      <c r="A71" s="96" t="s">
        <v>781</v>
      </c>
      <c r="B71" s="96" t="s">
        <v>23</v>
      </c>
      <c r="C71" s="96" t="s">
        <v>24</v>
      </c>
      <c r="D71" s="96" t="s">
        <v>25</v>
      </c>
      <c r="E71" s="96" t="s">
        <v>770</v>
      </c>
      <c r="F71" s="96" t="s">
        <v>226</v>
      </c>
      <c r="G71" s="96" t="s">
        <v>772</v>
      </c>
      <c r="H71" s="96" t="s">
        <v>28</v>
      </c>
      <c r="I71" s="96" t="s">
        <v>28</v>
      </c>
      <c r="J71" s="96" t="s">
        <v>782</v>
      </c>
      <c r="K71" s="96" t="s">
        <v>24</v>
      </c>
      <c r="L71" s="96" t="s">
        <v>783</v>
      </c>
      <c r="M71" s="96" t="s">
        <v>28</v>
      </c>
      <c r="N71" s="96" t="s">
        <v>776</v>
      </c>
      <c r="O71" s="96" t="s">
        <v>24</v>
      </c>
      <c r="P71" s="96" t="s">
        <v>499</v>
      </c>
      <c r="Q71" s="96" t="s">
        <v>24</v>
      </c>
      <c r="R71" s="96" t="s">
        <v>54</v>
      </c>
      <c r="S71" s="96" t="s">
        <v>784</v>
      </c>
      <c r="T71" s="96" t="s">
        <v>24</v>
      </c>
      <c r="U71" s="96" t="s">
        <v>24</v>
      </c>
      <c r="V71" s="96" t="s">
        <v>24</v>
      </c>
    </row>
    <row r="72" spans="1:22">
      <c r="A72" s="96" t="s">
        <v>785</v>
      </c>
      <c r="B72" s="96" t="s">
        <v>23</v>
      </c>
      <c r="C72" s="96" t="s">
        <v>24</v>
      </c>
      <c r="D72" s="96" t="s">
        <v>25</v>
      </c>
      <c r="E72" s="96" t="s">
        <v>770</v>
      </c>
      <c r="F72" s="96" t="s">
        <v>226</v>
      </c>
      <c r="G72" s="96" t="s">
        <v>772</v>
      </c>
      <c r="H72" s="96" t="s">
        <v>28</v>
      </c>
      <c r="I72" s="96" t="s">
        <v>28</v>
      </c>
      <c r="J72" s="96" t="s">
        <v>786</v>
      </c>
      <c r="K72" s="96" t="s">
        <v>774</v>
      </c>
      <c r="L72" s="96" t="s">
        <v>787</v>
      </c>
      <c r="M72" s="96" t="s">
        <v>28</v>
      </c>
      <c r="N72" s="96" t="s">
        <v>776</v>
      </c>
      <c r="O72" s="96" t="s">
        <v>24</v>
      </c>
      <c r="P72" s="96" t="s">
        <v>495</v>
      </c>
      <c r="Q72" s="96" t="s">
        <v>24</v>
      </c>
      <c r="R72" s="96" t="s">
        <v>54</v>
      </c>
      <c r="S72" s="96" t="s">
        <v>788</v>
      </c>
      <c r="T72" s="96" t="s">
        <v>24</v>
      </c>
      <c r="U72" s="96" t="s">
        <v>24</v>
      </c>
      <c r="V72" s="96" t="s">
        <v>24</v>
      </c>
    </row>
    <row r="73" spans="1:22">
      <c r="A73" s="96" t="s">
        <v>235</v>
      </c>
      <c r="B73" s="96" t="s">
        <v>23</v>
      </c>
      <c r="C73" s="96" t="s">
        <v>24</v>
      </c>
      <c r="D73" s="96" t="s">
        <v>25</v>
      </c>
      <c r="E73" s="96" t="s">
        <v>538</v>
      </c>
      <c r="F73" s="96" t="s">
        <v>237</v>
      </c>
      <c r="G73" s="96" t="s">
        <v>238</v>
      </c>
      <c r="H73" s="96" t="s">
        <v>28</v>
      </c>
      <c r="I73" s="96" t="s">
        <v>28</v>
      </c>
      <c r="J73" s="96" t="s">
        <v>239</v>
      </c>
      <c r="K73" s="96" t="s">
        <v>24</v>
      </c>
      <c r="L73" s="96" t="s">
        <v>240</v>
      </c>
      <c r="M73" s="96" t="s">
        <v>28</v>
      </c>
      <c r="N73" s="96" t="s">
        <v>69</v>
      </c>
      <c r="O73" s="96" t="s">
        <v>24</v>
      </c>
      <c r="P73" s="96" t="s">
        <v>495</v>
      </c>
      <c r="Q73" s="96" t="s">
        <v>24</v>
      </c>
      <c r="R73" s="96" t="s">
        <v>54</v>
      </c>
      <c r="S73" s="96" t="s">
        <v>241</v>
      </c>
      <c r="T73" s="96" t="s">
        <v>24</v>
      </c>
      <c r="U73" s="96" t="s">
        <v>24</v>
      </c>
      <c r="V73" s="96" t="s">
        <v>24</v>
      </c>
    </row>
    <row r="74" spans="1:22">
      <c r="A74" s="96" t="s">
        <v>242</v>
      </c>
      <c r="B74" s="96" t="s">
        <v>23</v>
      </c>
      <c r="C74" s="96" t="s">
        <v>24</v>
      </c>
      <c r="D74" s="96" t="s">
        <v>25</v>
      </c>
      <c r="E74" s="96" t="s">
        <v>538</v>
      </c>
      <c r="F74" s="96" t="s">
        <v>237</v>
      </c>
      <c r="G74" s="96" t="s">
        <v>238</v>
      </c>
      <c r="H74" s="96" t="s">
        <v>28</v>
      </c>
      <c r="I74" s="96" t="s">
        <v>28</v>
      </c>
      <c r="J74" s="96" t="s">
        <v>243</v>
      </c>
      <c r="K74" s="96" t="s">
        <v>24</v>
      </c>
      <c r="L74" s="96" t="s">
        <v>244</v>
      </c>
      <c r="M74" s="96" t="s">
        <v>28</v>
      </c>
      <c r="N74" s="96" t="s">
        <v>69</v>
      </c>
      <c r="O74" s="96" t="s">
        <v>24</v>
      </c>
      <c r="P74" s="96" t="s">
        <v>499</v>
      </c>
      <c r="Q74" s="96" t="s">
        <v>24</v>
      </c>
      <c r="R74" s="96" t="s">
        <v>54</v>
      </c>
      <c r="S74" s="96" t="s">
        <v>245</v>
      </c>
      <c r="T74" s="96" t="s">
        <v>24</v>
      </c>
      <c r="U74" s="96" t="s">
        <v>24</v>
      </c>
      <c r="V74" s="96" t="s">
        <v>24</v>
      </c>
    </row>
    <row r="75" spans="1:22">
      <c r="A75" s="96" t="s">
        <v>246</v>
      </c>
      <c r="B75" s="96" t="s">
        <v>23</v>
      </c>
      <c r="C75" s="96" t="s">
        <v>24</v>
      </c>
      <c r="D75" s="96" t="s">
        <v>25</v>
      </c>
      <c r="E75" s="96" t="s">
        <v>538</v>
      </c>
      <c r="F75" s="96" t="s">
        <v>237</v>
      </c>
      <c r="G75" s="96" t="s">
        <v>238</v>
      </c>
      <c r="H75" s="96" t="s">
        <v>28</v>
      </c>
      <c r="I75" s="96" t="s">
        <v>28</v>
      </c>
      <c r="J75" s="96" t="s">
        <v>247</v>
      </c>
      <c r="K75" s="96" t="s">
        <v>24</v>
      </c>
      <c r="L75" s="96" t="s">
        <v>248</v>
      </c>
      <c r="M75" s="96" t="s">
        <v>28</v>
      </c>
      <c r="N75" s="96" t="s">
        <v>69</v>
      </c>
      <c r="O75" s="96" t="s">
        <v>24</v>
      </c>
      <c r="P75" s="96" t="s">
        <v>499</v>
      </c>
      <c r="Q75" s="96" t="s">
        <v>24</v>
      </c>
      <c r="R75" s="96" t="s">
        <v>54</v>
      </c>
      <c r="S75" s="96" t="s">
        <v>144</v>
      </c>
      <c r="T75" s="96" t="s">
        <v>24</v>
      </c>
      <c r="U75" s="96" t="s">
        <v>24</v>
      </c>
      <c r="V75" s="96" t="s">
        <v>24</v>
      </c>
    </row>
    <row r="76" spans="1:22">
      <c r="A76" s="96" t="s">
        <v>789</v>
      </c>
      <c r="B76" s="96" t="s">
        <v>24</v>
      </c>
      <c r="C76" s="96" t="s">
        <v>24</v>
      </c>
      <c r="D76" s="96" t="s">
        <v>25</v>
      </c>
      <c r="E76" s="96" t="s">
        <v>538</v>
      </c>
      <c r="F76" s="96" t="s">
        <v>237</v>
      </c>
      <c r="G76" s="96" t="s">
        <v>238</v>
      </c>
      <c r="H76" s="96" t="s">
        <v>28</v>
      </c>
      <c r="I76" s="96" t="s">
        <v>28</v>
      </c>
      <c r="J76" s="96" t="s">
        <v>790</v>
      </c>
      <c r="K76" s="96" t="s">
        <v>24</v>
      </c>
      <c r="L76" s="96" t="s">
        <v>791</v>
      </c>
      <c r="M76" s="96" t="s">
        <v>28</v>
      </c>
      <c r="N76" s="96" t="s">
        <v>792</v>
      </c>
      <c r="O76" s="96" t="s">
        <v>24</v>
      </c>
      <c r="P76" s="96" t="s">
        <v>63</v>
      </c>
      <c r="Q76" s="96" t="s">
        <v>24</v>
      </c>
      <c r="R76" s="96" t="s">
        <v>54</v>
      </c>
      <c r="S76" s="96" t="s">
        <v>793</v>
      </c>
      <c r="T76" s="96" t="s">
        <v>24</v>
      </c>
      <c r="U76" s="96" t="s">
        <v>24</v>
      </c>
      <c r="V76" s="96" t="s">
        <v>24</v>
      </c>
    </row>
    <row r="77" spans="1:22">
      <c r="A77" s="96" t="s">
        <v>794</v>
      </c>
      <c r="B77" s="96" t="s">
        <v>23</v>
      </c>
      <c r="C77" s="96" t="s">
        <v>24</v>
      </c>
      <c r="D77" s="96" t="s">
        <v>25</v>
      </c>
      <c r="E77" s="96" t="s">
        <v>538</v>
      </c>
      <c r="F77" s="96" t="s">
        <v>237</v>
      </c>
      <c r="G77" s="96" t="s">
        <v>238</v>
      </c>
      <c r="H77" s="96" t="s">
        <v>28</v>
      </c>
      <c r="I77" s="96" t="s">
        <v>28</v>
      </c>
      <c r="J77" s="96" t="s">
        <v>795</v>
      </c>
      <c r="K77" s="96" t="s">
        <v>24</v>
      </c>
      <c r="L77" s="96" t="s">
        <v>796</v>
      </c>
      <c r="M77" s="96" t="s">
        <v>28</v>
      </c>
      <c r="N77" s="96" t="s">
        <v>792</v>
      </c>
      <c r="O77" s="96" t="s">
        <v>24</v>
      </c>
      <c r="P77" s="96" t="s">
        <v>499</v>
      </c>
      <c r="Q77" s="96" t="s">
        <v>24</v>
      </c>
      <c r="R77" s="96" t="s">
        <v>54</v>
      </c>
      <c r="S77" s="96" t="s">
        <v>797</v>
      </c>
      <c r="T77" s="96" t="s">
        <v>24</v>
      </c>
      <c r="U77" s="96" t="s">
        <v>24</v>
      </c>
      <c r="V77" s="96" t="s">
        <v>24</v>
      </c>
    </row>
    <row r="78" spans="1:22">
      <c r="A78" s="96" t="s">
        <v>249</v>
      </c>
      <c r="B78" s="96" t="s">
        <v>23</v>
      </c>
      <c r="C78" s="96" t="s">
        <v>24</v>
      </c>
      <c r="D78" s="96" t="s">
        <v>25</v>
      </c>
      <c r="E78" s="96" t="s">
        <v>538</v>
      </c>
      <c r="F78" s="96" t="s">
        <v>237</v>
      </c>
      <c r="G78" s="96" t="s">
        <v>250</v>
      </c>
      <c r="H78" s="96" t="s">
        <v>28</v>
      </c>
      <c r="I78" s="96" t="s">
        <v>28</v>
      </c>
      <c r="J78" s="96" t="s">
        <v>251</v>
      </c>
      <c r="K78" s="96" t="s">
        <v>24</v>
      </c>
      <c r="L78" s="96" t="s">
        <v>252</v>
      </c>
      <c r="M78" s="96" t="s">
        <v>28</v>
      </c>
      <c r="N78" s="96" t="s">
        <v>188</v>
      </c>
      <c r="O78" s="96" t="s">
        <v>24</v>
      </c>
      <c r="P78" s="96" t="s">
        <v>63</v>
      </c>
      <c r="Q78" s="96" t="s">
        <v>24</v>
      </c>
      <c r="R78" s="96" t="s">
        <v>63</v>
      </c>
      <c r="S78" s="96" t="s">
        <v>253</v>
      </c>
      <c r="T78" s="96" t="s">
        <v>24</v>
      </c>
      <c r="U78" s="96" t="s">
        <v>24</v>
      </c>
      <c r="V78" s="96" t="s">
        <v>24</v>
      </c>
    </row>
    <row r="79" spans="1:22">
      <c r="A79" s="96" t="s">
        <v>255</v>
      </c>
      <c r="B79" s="96" t="s">
        <v>23</v>
      </c>
      <c r="C79" s="96" t="s">
        <v>24</v>
      </c>
      <c r="D79" s="96" t="s">
        <v>25</v>
      </c>
      <c r="E79" s="96" t="s">
        <v>538</v>
      </c>
      <c r="F79" s="96" t="s">
        <v>256</v>
      </c>
      <c r="G79" s="96" t="s">
        <v>257</v>
      </c>
      <c r="H79" s="96" t="s">
        <v>28</v>
      </c>
      <c r="I79" s="96" t="s">
        <v>28</v>
      </c>
      <c r="J79" s="96" t="s">
        <v>258</v>
      </c>
      <c r="K79" s="96" t="s">
        <v>24</v>
      </c>
      <c r="L79" s="96" t="s">
        <v>259</v>
      </c>
      <c r="M79" s="96" t="s">
        <v>28</v>
      </c>
      <c r="N79" s="96" t="s">
        <v>69</v>
      </c>
      <c r="O79" s="96" t="s">
        <v>24</v>
      </c>
      <c r="P79" s="96" t="s">
        <v>495</v>
      </c>
      <c r="Q79" s="96" t="s">
        <v>24</v>
      </c>
      <c r="R79" s="96" t="s">
        <v>54</v>
      </c>
      <c r="S79" s="96" t="s">
        <v>260</v>
      </c>
      <c r="T79" s="96" t="s">
        <v>24</v>
      </c>
      <c r="U79" s="96" t="s">
        <v>24</v>
      </c>
      <c r="V79" s="96" t="s">
        <v>24</v>
      </c>
    </row>
    <row r="80" spans="1:22">
      <c r="A80" s="96" t="s">
        <v>262</v>
      </c>
      <c r="B80" s="96" t="s">
        <v>23</v>
      </c>
      <c r="C80" s="96" t="s">
        <v>24</v>
      </c>
      <c r="D80" s="96" t="s">
        <v>25</v>
      </c>
      <c r="E80" s="96" t="s">
        <v>538</v>
      </c>
      <c r="F80" s="96" t="s">
        <v>256</v>
      </c>
      <c r="G80" s="96" t="s">
        <v>257</v>
      </c>
      <c r="H80" s="96" t="s">
        <v>28</v>
      </c>
      <c r="I80" s="96" t="s">
        <v>28</v>
      </c>
      <c r="J80" s="96" t="s">
        <v>263</v>
      </c>
      <c r="K80" s="96" t="s">
        <v>24</v>
      </c>
      <c r="L80" s="96" t="s">
        <v>264</v>
      </c>
      <c r="M80" s="96" t="s">
        <v>28</v>
      </c>
      <c r="N80" s="96" t="s">
        <v>69</v>
      </c>
      <c r="O80" s="96" t="s">
        <v>24</v>
      </c>
      <c r="P80" s="96" t="s">
        <v>495</v>
      </c>
      <c r="Q80" s="96" t="s">
        <v>24</v>
      </c>
      <c r="R80" s="96" t="s">
        <v>54</v>
      </c>
      <c r="S80" s="96" t="s">
        <v>260</v>
      </c>
      <c r="T80" s="96" t="s">
        <v>24</v>
      </c>
      <c r="U80" s="96" t="s">
        <v>24</v>
      </c>
      <c r="V80" s="96" t="s">
        <v>24</v>
      </c>
    </row>
    <row r="81" spans="1:22">
      <c r="A81" s="96" t="s">
        <v>265</v>
      </c>
      <c r="B81" s="96" t="s">
        <v>23</v>
      </c>
      <c r="C81" s="96" t="s">
        <v>24</v>
      </c>
      <c r="D81" s="96" t="s">
        <v>25</v>
      </c>
      <c r="E81" s="96" t="s">
        <v>538</v>
      </c>
      <c r="F81" s="96" t="s">
        <v>256</v>
      </c>
      <c r="G81" s="96" t="s">
        <v>257</v>
      </c>
      <c r="H81" s="96" t="s">
        <v>28</v>
      </c>
      <c r="I81" s="96" t="s">
        <v>28</v>
      </c>
      <c r="J81" s="96" t="s">
        <v>266</v>
      </c>
      <c r="K81" s="96" t="s">
        <v>24</v>
      </c>
      <c r="L81" s="96" t="s">
        <v>267</v>
      </c>
      <c r="M81" s="96" t="s">
        <v>28</v>
      </c>
      <c r="N81" s="96" t="s">
        <v>69</v>
      </c>
      <c r="O81" s="96" t="s">
        <v>24</v>
      </c>
      <c r="P81" s="96" t="s">
        <v>499</v>
      </c>
      <c r="Q81" s="96" t="s">
        <v>24</v>
      </c>
      <c r="R81" s="96" t="s">
        <v>63</v>
      </c>
      <c r="S81" s="96" t="s">
        <v>268</v>
      </c>
      <c r="T81" s="96" t="s">
        <v>24</v>
      </c>
      <c r="U81" s="96" t="s">
        <v>24</v>
      </c>
      <c r="V81" s="96" t="s">
        <v>24</v>
      </c>
    </row>
    <row r="82" spans="1:22">
      <c r="A82" s="96" t="s">
        <v>269</v>
      </c>
      <c r="B82" s="96" t="s">
        <v>23</v>
      </c>
      <c r="C82" s="96" t="s">
        <v>24</v>
      </c>
      <c r="D82" s="96" t="s">
        <v>25</v>
      </c>
      <c r="E82" s="96" t="s">
        <v>538</v>
      </c>
      <c r="F82" s="96" t="s">
        <v>256</v>
      </c>
      <c r="G82" s="96" t="s">
        <v>257</v>
      </c>
      <c r="H82" s="96" t="s">
        <v>28</v>
      </c>
      <c r="I82" s="96" t="s">
        <v>28</v>
      </c>
      <c r="J82" s="96" t="s">
        <v>270</v>
      </c>
      <c r="K82" s="96" t="s">
        <v>24</v>
      </c>
      <c r="L82" s="96" t="s">
        <v>271</v>
      </c>
      <c r="M82" s="96" t="s">
        <v>28</v>
      </c>
      <c r="N82" s="96" t="s">
        <v>69</v>
      </c>
      <c r="O82" s="96" t="s">
        <v>24</v>
      </c>
      <c r="P82" s="96" t="s">
        <v>495</v>
      </c>
      <c r="Q82" s="96" t="s">
        <v>24</v>
      </c>
      <c r="R82" s="96" t="s">
        <v>54</v>
      </c>
      <c r="S82" s="96" t="s">
        <v>260</v>
      </c>
      <c r="T82" s="96" t="s">
        <v>24</v>
      </c>
      <c r="U82" s="96" t="s">
        <v>24</v>
      </c>
      <c r="V82" s="96" t="s">
        <v>24</v>
      </c>
    </row>
    <row r="83" spans="1:22">
      <c r="A83" s="96" t="s">
        <v>272</v>
      </c>
      <c r="B83" s="96" t="s">
        <v>23</v>
      </c>
      <c r="C83" s="96" t="s">
        <v>24</v>
      </c>
      <c r="D83" s="96" t="s">
        <v>25</v>
      </c>
      <c r="E83" s="96" t="s">
        <v>538</v>
      </c>
      <c r="F83" s="96" t="s">
        <v>256</v>
      </c>
      <c r="G83" s="96" t="s">
        <v>257</v>
      </c>
      <c r="H83" s="96" t="s">
        <v>28</v>
      </c>
      <c r="I83" s="96" t="s">
        <v>28</v>
      </c>
      <c r="J83" s="96" t="s">
        <v>273</v>
      </c>
      <c r="K83" s="96" t="s">
        <v>24</v>
      </c>
      <c r="L83" s="96" t="s">
        <v>274</v>
      </c>
      <c r="M83" s="96" t="s">
        <v>28</v>
      </c>
      <c r="N83" s="96" t="s">
        <v>69</v>
      </c>
      <c r="O83" s="96" t="s">
        <v>24</v>
      </c>
      <c r="P83" s="96" t="s">
        <v>495</v>
      </c>
      <c r="Q83" s="96" t="s">
        <v>24</v>
      </c>
      <c r="R83" s="96" t="s">
        <v>54</v>
      </c>
      <c r="S83" s="96" t="s">
        <v>260</v>
      </c>
      <c r="T83" s="96" t="s">
        <v>24</v>
      </c>
      <c r="U83" s="96" t="s">
        <v>24</v>
      </c>
      <c r="V83" s="96" t="s">
        <v>24</v>
      </c>
    </row>
    <row r="84" spans="1:22">
      <c r="A84" s="96" t="s">
        <v>275</v>
      </c>
      <c r="B84" s="96" t="s">
        <v>23</v>
      </c>
      <c r="C84" s="96" t="s">
        <v>24</v>
      </c>
      <c r="D84" s="96" t="s">
        <v>25</v>
      </c>
      <c r="E84" s="96" t="s">
        <v>538</v>
      </c>
      <c r="F84" s="96" t="s">
        <v>256</v>
      </c>
      <c r="G84" s="96" t="s">
        <v>257</v>
      </c>
      <c r="H84" s="96" t="s">
        <v>28</v>
      </c>
      <c r="I84" s="96" t="s">
        <v>28</v>
      </c>
      <c r="J84" s="96" t="s">
        <v>276</v>
      </c>
      <c r="K84" s="96" t="s">
        <v>108</v>
      </c>
      <c r="L84" s="96" t="s">
        <v>277</v>
      </c>
      <c r="M84" s="96" t="s">
        <v>28</v>
      </c>
      <c r="N84" s="96" t="s">
        <v>69</v>
      </c>
      <c r="O84" s="96" t="s">
        <v>24</v>
      </c>
      <c r="P84" s="96" t="s">
        <v>495</v>
      </c>
      <c r="Q84" s="96" t="s">
        <v>24</v>
      </c>
      <c r="R84" s="96" t="s">
        <v>54</v>
      </c>
      <c r="S84" s="96" t="s">
        <v>260</v>
      </c>
      <c r="T84" s="96" t="s">
        <v>24</v>
      </c>
      <c r="U84" s="96" t="s">
        <v>24</v>
      </c>
      <c r="V84" s="96" t="s">
        <v>24</v>
      </c>
    </row>
    <row r="85" spans="1:22">
      <c r="A85" s="96" t="s">
        <v>278</v>
      </c>
      <c r="B85" s="96" t="s">
        <v>23</v>
      </c>
      <c r="C85" s="96" t="s">
        <v>24</v>
      </c>
      <c r="D85" s="96" t="s">
        <v>25</v>
      </c>
      <c r="E85" s="96" t="s">
        <v>538</v>
      </c>
      <c r="F85" s="96" t="s">
        <v>256</v>
      </c>
      <c r="G85" s="96" t="s">
        <v>257</v>
      </c>
      <c r="H85" s="96" t="s">
        <v>28</v>
      </c>
      <c r="I85" s="96" t="s">
        <v>28</v>
      </c>
      <c r="J85" s="96" t="s">
        <v>279</v>
      </c>
      <c r="K85" s="96" t="s">
        <v>108</v>
      </c>
      <c r="L85" s="96" t="s">
        <v>280</v>
      </c>
      <c r="M85" s="96" t="s">
        <v>28</v>
      </c>
      <c r="N85" s="96" t="s">
        <v>33</v>
      </c>
      <c r="O85" s="96" t="s">
        <v>24</v>
      </c>
      <c r="P85" s="96" t="s">
        <v>499</v>
      </c>
      <c r="Q85" s="96" t="s">
        <v>24</v>
      </c>
      <c r="R85" s="96" t="s">
        <v>25</v>
      </c>
      <c r="S85" s="96" t="s">
        <v>281</v>
      </c>
      <c r="T85" s="96" t="s">
        <v>24</v>
      </c>
      <c r="U85" s="96" t="s">
        <v>24</v>
      </c>
      <c r="V85" s="96" t="s">
        <v>24</v>
      </c>
    </row>
    <row r="86" spans="1:22">
      <c r="A86" s="96" t="s">
        <v>282</v>
      </c>
      <c r="B86" s="96" t="s">
        <v>47</v>
      </c>
      <c r="C86" s="96" t="s">
        <v>24</v>
      </c>
      <c r="D86" s="96" t="s">
        <v>25</v>
      </c>
      <c r="E86" s="96" t="s">
        <v>561</v>
      </c>
      <c r="F86" s="96" t="s">
        <v>284</v>
      </c>
      <c r="G86" s="96" t="s">
        <v>28</v>
      </c>
      <c r="H86" s="96" t="s">
        <v>28</v>
      </c>
      <c r="I86" s="96" t="s">
        <v>28</v>
      </c>
      <c r="J86" s="96" t="s">
        <v>285</v>
      </c>
      <c r="K86" s="96" t="s">
        <v>24</v>
      </c>
      <c r="L86" s="96" t="s">
        <v>286</v>
      </c>
      <c r="M86" s="96" t="s">
        <v>28</v>
      </c>
      <c r="N86" s="96" t="s">
        <v>69</v>
      </c>
      <c r="O86" s="96" t="s">
        <v>24</v>
      </c>
      <c r="P86" s="96" t="s">
        <v>495</v>
      </c>
      <c r="Q86" s="96" t="s">
        <v>24</v>
      </c>
      <c r="R86" s="96" t="s">
        <v>24</v>
      </c>
      <c r="S86" s="96" t="s">
        <v>24</v>
      </c>
      <c r="T86" s="96" t="s">
        <v>24</v>
      </c>
      <c r="U86" s="96" t="s">
        <v>24</v>
      </c>
      <c r="V86" s="96" t="s">
        <v>24</v>
      </c>
    </row>
    <row r="87" spans="1:22">
      <c r="A87" s="96" t="s">
        <v>288</v>
      </c>
      <c r="B87" s="96" t="s">
        <v>47</v>
      </c>
      <c r="C87" s="96" t="s">
        <v>24</v>
      </c>
      <c r="D87" s="96" t="s">
        <v>25</v>
      </c>
      <c r="E87" s="96" t="s">
        <v>561</v>
      </c>
      <c r="F87" s="96" t="s">
        <v>284</v>
      </c>
      <c r="G87" s="96" t="s">
        <v>28</v>
      </c>
      <c r="H87" s="96" t="s">
        <v>28</v>
      </c>
      <c r="I87" s="96" t="s">
        <v>28</v>
      </c>
      <c r="J87" s="96" t="s">
        <v>289</v>
      </c>
      <c r="K87" s="96" t="s">
        <v>165</v>
      </c>
      <c r="L87" s="96" t="s">
        <v>290</v>
      </c>
      <c r="M87" s="96" t="s">
        <v>28</v>
      </c>
      <c r="N87" s="96" t="s">
        <v>69</v>
      </c>
      <c r="O87" s="96" t="s">
        <v>24</v>
      </c>
      <c r="P87" s="96" t="s">
        <v>495</v>
      </c>
      <c r="Q87" s="96" t="s">
        <v>24</v>
      </c>
      <c r="R87" s="96" t="s">
        <v>25</v>
      </c>
      <c r="S87" s="96" t="s">
        <v>291</v>
      </c>
      <c r="T87" s="96" t="s">
        <v>24</v>
      </c>
      <c r="U87" s="96" t="s">
        <v>24</v>
      </c>
      <c r="V87" s="96" t="s">
        <v>24</v>
      </c>
    </row>
    <row r="88" spans="1:22">
      <c r="A88" s="96" t="s">
        <v>292</v>
      </c>
      <c r="B88" s="96" t="s">
        <v>47</v>
      </c>
      <c r="C88" s="96" t="s">
        <v>24</v>
      </c>
      <c r="D88" s="96" t="s">
        <v>25</v>
      </c>
      <c r="E88" s="96" t="s">
        <v>561</v>
      </c>
      <c r="F88" s="96" t="s">
        <v>284</v>
      </c>
      <c r="G88" s="96" t="s">
        <v>28</v>
      </c>
      <c r="H88" s="96" t="s">
        <v>28</v>
      </c>
      <c r="I88" s="96" t="s">
        <v>28</v>
      </c>
      <c r="J88" s="96" t="s">
        <v>293</v>
      </c>
      <c r="K88" s="96" t="s">
        <v>24</v>
      </c>
      <c r="L88" s="96" t="s">
        <v>294</v>
      </c>
      <c r="M88" s="96" t="s">
        <v>28</v>
      </c>
      <c r="N88" s="96" t="s">
        <v>69</v>
      </c>
      <c r="O88" s="96" t="s">
        <v>24</v>
      </c>
      <c r="P88" s="96" t="s">
        <v>495</v>
      </c>
      <c r="Q88" s="96" t="s">
        <v>24</v>
      </c>
      <c r="R88" s="96" t="s">
        <v>54</v>
      </c>
      <c r="S88" s="96" t="s">
        <v>295</v>
      </c>
      <c r="T88" s="96" t="s">
        <v>24</v>
      </c>
      <c r="U88" s="96" t="s">
        <v>24</v>
      </c>
      <c r="V88" s="96" t="s">
        <v>24</v>
      </c>
    </row>
    <row r="89" spans="1:22">
      <c r="A89" s="96" t="s">
        <v>296</v>
      </c>
      <c r="B89" s="96" t="s">
        <v>47</v>
      </c>
      <c r="C89" s="96" t="s">
        <v>24</v>
      </c>
      <c r="D89" s="96" t="s">
        <v>25</v>
      </c>
      <c r="E89" s="96" t="s">
        <v>571</v>
      </c>
      <c r="F89" s="96" t="s">
        <v>284</v>
      </c>
      <c r="G89" s="96" t="s">
        <v>28</v>
      </c>
      <c r="H89" s="96" t="s">
        <v>28</v>
      </c>
      <c r="I89" s="96" t="s">
        <v>28</v>
      </c>
      <c r="J89" s="96" t="s">
        <v>297</v>
      </c>
      <c r="K89" s="96" t="s">
        <v>108</v>
      </c>
      <c r="L89" s="96" t="s">
        <v>298</v>
      </c>
      <c r="M89" s="96" t="s">
        <v>28</v>
      </c>
      <c r="N89" s="96" t="s">
        <v>69</v>
      </c>
      <c r="O89" s="96" t="s">
        <v>24</v>
      </c>
      <c r="P89" s="96" t="s">
        <v>499</v>
      </c>
      <c r="Q89" s="96" t="s">
        <v>24</v>
      </c>
      <c r="R89" s="96" t="s">
        <v>63</v>
      </c>
      <c r="S89" s="96" t="s">
        <v>299</v>
      </c>
      <c r="T89" s="96" t="s">
        <v>24</v>
      </c>
      <c r="U89" s="96" t="s">
        <v>24</v>
      </c>
      <c r="V89" s="96" t="s">
        <v>24</v>
      </c>
    </row>
    <row r="90" spans="1:22">
      <c r="A90" s="96" t="s">
        <v>300</v>
      </c>
      <c r="B90" s="96" t="s">
        <v>47</v>
      </c>
      <c r="C90" s="96" t="s">
        <v>24</v>
      </c>
      <c r="D90" s="96" t="s">
        <v>25</v>
      </c>
      <c r="E90" s="96" t="s">
        <v>561</v>
      </c>
      <c r="F90" s="96" t="s">
        <v>284</v>
      </c>
      <c r="G90" s="96" t="s">
        <v>28</v>
      </c>
      <c r="H90" s="96" t="s">
        <v>28</v>
      </c>
      <c r="I90" s="96" t="s">
        <v>28</v>
      </c>
      <c r="J90" s="96" t="s">
        <v>301</v>
      </c>
      <c r="K90" s="96" t="s">
        <v>108</v>
      </c>
      <c r="L90" s="96" t="s">
        <v>302</v>
      </c>
      <c r="M90" s="96" t="s">
        <v>28</v>
      </c>
      <c r="N90" s="96" t="s">
        <v>69</v>
      </c>
      <c r="O90" s="96" t="s">
        <v>24</v>
      </c>
      <c r="P90" s="96" t="s">
        <v>499</v>
      </c>
      <c r="Q90" s="96" t="s">
        <v>24</v>
      </c>
      <c r="R90" s="96" t="s">
        <v>63</v>
      </c>
      <c r="S90" s="96" t="s">
        <v>303</v>
      </c>
      <c r="T90" s="96" t="s">
        <v>24</v>
      </c>
      <c r="U90" s="96" t="s">
        <v>24</v>
      </c>
      <c r="V90" s="96" t="s">
        <v>24</v>
      </c>
    </row>
    <row r="91" spans="1:22">
      <c r="A91" s="96" t="s">
        <v>304</v>
      </c>
      <c r="B91" s="96" t="s">
        <v>47</v>
      </c>
      <c r="C91" s="96" t="s">
        <v>24</v>
      </c>
      <c r="D91" s="96" t="s">
        <v>25</v>
      </c>
      <c r="E91" s="96" t="s">
        <v>561</v>
      </c>
      <c r="F91" s="96" t="s">
        <v>284</v>
      </c>
      <c r="G91" s="96" t="s">
        <v>28</v>
      </c>
      <c r="H91" s="96" t="s">
        <v>28</v>
      </c>
      <c r="I91" s="96" t="s">
        <v>28</v>
      </c>
      <c r="J91" s="96" t="s">
        <v>305</v>
      </c>
      <c r="K91" s="96" t="s">
        <v>165</v>
      </c>
      <c r="L91" s="96" t="s">
        <v>306</v>
      </c>
      <c r="M91" s="96" t="s">
        <v>28</v>
      </c>
      <c r="N91" s="96" t="s">
        <v>69</v>
      </c>
      <c r="O91" s="96" t="s">
        <v>24</v>
      </c>
      <c r="P91" s="96" t="s">
        <v>495</v>
      </c>
      <c r="Q91" s="96" t="s">
        <v>24</v>
      </c>
      <c r="R91" s="96" t="s">
        <v>54</v>
      </c>
      <c r="S91" s="96" t="s">
        <v>307</v>
      </c>
      <c r="T91" s="96" t="s">
        <v>24</v>
      </c>
      <c r="U91" s="96" t="s">
        <v>24</v>
      </c>
      <c r="V91" s="96" t="s">
        <v>24</v>
      </c>
    </row>
    <row r="92" spans="1:22">
      <c r="A92" s="96" t="s">
        <v>308</v>
      </c>
      <c r="B92" s="96" t="s">
        <v>47</v>
      </c>
      <c r="C92" s="96" t="s">
        <v>24</v>
      </c>
      <c r="D92" s="96" t="s">
        <v>25</v>
      </c>
      <c r="E92" s="96" t="s">
        <v>561</v>
      </c>
      <c r="F92" s="96" t="s">
        <v>284</v>
      </c>
      <c r="G92" s="96" t="s">
        <v>28</v>
      </c>
      <c r="H92" s="96" t="s">
        <v>28</v>
      </c>
      <c r="I92" s="96" t="s">
        <v>28</v>
      </c>
      <c r="J92" s="96" t="s">
        <v>309</v>
      </c>
      <c r="K92" s="96" t="s">
        <v>24</v>
      </c>
      <c r="L92" s="96" t="s">
        <v>310</v>
      </c>
      <c r="M92" s="96" t="s">
        <v>28</v>
      </c>
      <c r="N92" s="96" t="s">
        <v>69</v>
      </c>
      <c r="O92" s="96" t="s">
        <v>24</v>
      </c>
      <c r="P92" s="96" t="s">
        <v>63</v>
      </c>
      <c r="Q92" s="96" t="s">
        <v>24</v>
      </c>
      <c r="R92" s="96" t="s">
        <v>63</v>
      </c>
      <c r="S92" s="96" t="s">
        <v>311</v>
      </c>
      <c r="T92" s="96" t="s">
        <v>24</v>
      </c>
      <c r="U92" s="96" t="s">
        <v>24</v>
      </c>
      <c r="V92" s="96" t="s">
        <v>24</v>
      </c>
    </row>
    <row r="93" spans="1:22">
      <c r="A93" s="96" t="s">
        <v>312</v>
      </c>
      <c r="B93" s="96" t="s">
        <v>47</v>
      </c>
      <c r="C93" s="96" t="s">
        <v>24</v>
      </c>
      <c r="D93" s="96" t="s">
        <v>25</v>
      </c>
      <c r="E93" s="96" t="s">
        <v>571</v>
      </c>
      <c r="F93" s="96" t="s">
        <v>313</v>
      </c>
      <c r="G93" s="96" t="s">
        <v>28</v>
      </c>
      <c r="H93" s="96" t="s">
        <v>28</v>
      </c>
      <c r="I93" s="96" t="s">
        <v>28</v>
      </c>
      <c r="J93" s="96" t="s">
        <v>314</v>
      </c>
      <c r="K93" s="96" t="s">
        <v>42</v>
      </c>
      <c r="L93" s="96" t="s">
        <v>315</v>
      </c>
      <c r="M93" s="96" t="s">
        <v>28</v>
      </c>
      <c r="N93" s="96" t="s">
        <v>33</v>
      </c>
      <c r="O93" s="96" t="s">
        <v>24</v>
      </c>
      <c r="P93" s="96" t="s">
        <v>495</v>
      </c>
      <c r="Q93" s="96" t="s">
        <v>24</v>
      </c>
      <c r="R93" s="96" t="s">
        <v>25</v>
      </c>
      <c r="S93" s="96" t="s">
        <v>316</v>
      </c>
      <c r="T93" s="96" t="s">
        <v>24</v>
      </c>
      <c r="U93" s="96" t="s">
        <v>24</v>
      </c>
      <c r="V93" s="96" t="s">
        <v>24</v>
      </c>
    </row>
    <row r="94" spans="1:22">
      <c r="A94" s="96" t="s">
        <v>317</v>
      </c>
      <c r="B94" s="96" t="s">
        <v>47</v>
      </c>
      <c r="C94" s="96" t="s">
        <v>24</v>
      </c>
      <c r="D94" s="96" t="s">
        <v>25</v>
      </c>
      <c r="E94" s="96" t="s">
        <v>571</v>
      </c>
      <c r="F94" s="96" t="s">
        <v>313</v>
      </c>
      <c r="G94" s="96" t="s">
        <v>28</v>
      </c>
      <c r="H94" s="96" t="s">
        <v>28</v>
      </c>
      <c r="I94" s="96" t="s">
        <v>28</v>
      </c>
      <c r="J94" s="96" t="s">
        <v>318</v>
      </c>
      <c r="K94" s="96" t="s">
        <v>42</v>
      </c>
      <c r="L94" s="96" t="s">
        <v>319</v>
      </c>
      <c r="M94" s="96" t="s">
        <v>28</v>
      </c>
      <c r="N94" s="96" t="s">
        <v>320</v>
      </c>
      <c r="O94" s="96" t="s">
        <v>24</v>
      </c>
      <c r="P94" s="96" t="s">
        <v>495</v>
      </c>
      <c r="Q94" s="96" t="s">
        <v>24</v>
      </c>
      <c r="R94" s="96" t="s">
        <v>63</v>
      </c>
      <c r="S94" s="96" t="s">
        <v>321</v>
      </c>
      <c r="T94" s="96" t="s">
        <v>24</v>
      </c>
      <c r="U94" s="96" t="s">
        <v>24</v>
      </c>
      <c r="V94" s="96" t="s">
        <v>24</v>
      </c>
    </row>
    <row r="95" spans="1:22">
      <c r="A95" s="96" t="s">
        <v>322</v>
      </c>
      <c r="B95" s="96" t="s">
        <v>47</v>
      </c>
      <c r="C95" s="96" t="s">
        <v>24</v>
      </c>
      <c r="D95" s="96" t="s">
        <v>25</v>
      </c>
      <c r="E95" s="96" t="s">
        <v>538</v>
      </c>
      <c r="F95" s="96" t="s">
        <v>313</v>
      </c>
      <c r="G95" s="96" t="s">
        <v>28</v>
      </c>
      <c r="H95" s="96" t="s">
        <v>28</v>
      </c>
      <c r="I95" s="96" t="s">
        <v>28</v>
      </c>
      <c r="J95" s="96" t="s">
        <v>323</v>
      </c>
      <c r="K95" s="96" t="s">
        <v>24</v>
      </c>
      <c r="L95" s="96" t="s">
        <v>324</v>
      </c>
      <c r="M95" s="96" t="s">
        <v>28</v>
      </c>
      <c r="N95" s="96" t="s">
        <v>320</v>
      </c>
      <c r="O95" s="96" t="s">
        <v>24</v>
      </c>
      <c r="P95" s="96" t="s">
        <v>499</v>
      </c>
      <c r="Q95" s="96" t="s">
        <v>24</v>
      </c>
      <c r="R95" s="96" t="s">
        <v>63</v>
      </c>
      <c r="S95" s="96" t="s">
        <v>321</v>
      </c>
      <c r="T95" s="96" t="s">
        <v>24</v>
      </c>
      <c r="U95" s="96" t="s">
        <v>24</v>
      </c>
      <c r="V95" s="96" t="s">
        <v>24</v>
      </c>
    </row>
    <row r="96" spans="1:22">
      <c r="A96" s="96" t="s">
        <v>325</v>
      </c>
      <c r="B96" s="96" t="s">
        <v>47</v>
      </c>
      <c r="C96" s="96" t="s">
        <v>24</v>
      </c>
      <c r="D96" s="96" t="s">
        <v>25</v>
      </c>
      <c r="E96" s="96" t="s">
        <v>538</v>
      </c>
      <c r="F96" s="96" t="s">
        <v>313</v>
      </c>
      <c r="G96" s="96" t="s">
        <v>28</v>
      </c>
      <c r="H96" s="96" t="s">
        <v>28</v>
      </c>
      <c r="I96" s="96" t="s">
        <v>28</v>
      </c>
      <c r="J96" s="96" t="s">
        <v>326</v>
      </c>
      <c r="K96" s="96" t="s">
        <v>24</v>
      </c>
      <c r="L96" s="96" t="s">
        <v>327</v>
      </c>
      <c r="M96" s="96" t="s">
        <v>28</v>
      </c>
      <c r="N96" s="96" t="s">
        <v>328</v>
      </c>
      <c r="O96" s="96" t="s">
        <v>24</v>
      </c>
      <c r="P96" s="96" t="s">
        <v>495</v>
      </c>
      <c r="Q96" s="96" t="s">
        <v>24</v>
      </c>
      <c r="R96" s="96" t="s">
        <v>63</v>
      </c>
      <c r="S96" s="96" t="s">
        <v>321</v>
      </c>
      <c r="T96" s="96" t="s">
        <v>24</v>
      </c>
      <c r="U96" s="96" t="s">
        <v>24</v>
      </c>
      <c r="V96" s="96" t="s">
        <v>24</v>
      </c>
    </row>
    <row r="97" spans="1:22">
      <c r="A97" s="96" t="s">
        <v>329</v>
      </c>
      <c r="B97" s="96" t="s">
        <v>47</v>
      </c>
      <c r="C97" s="96" t="s">
        <v>24</v>
      </c>
      <c r="D97" s="96" t="s">
        <v>25</v>
      </c>
      <c r="E97" s="96" t="s">
        <v>571</v>
      </c>
      <c r="F97" s="96" t="s">
        <v>331</v>
      </c>
      <c r="G97" s="96" t="s">
        <v>28</v>
      </c>
      <c r="H97" s="96" t="s">
        <v>28</v>
      </c>
      <c r="I97" s="96" t="s">
        <v>28</v>
      </c>
      <c r="J97" s="96" t="s">
        <v>332</v>
      </c>
      <c r="K97" s="96" t="s">
        <v>24</v>
      </c>
      <c r="L97" s="96" t="s">
        <v>333</v>
      </c>
      <c r="M97" s="96" t="s">
        <v>28</v>
      </c>
      <c r="N97" s="96" t="s">
        <v>69</v>
      </c>
      <c r="O97" s="96" t="s">
        <v>24</v>
      </c>
      <c r="P97" s="96" t="s">
        <v>495</v>
      </c>
      <c r="Q97" s="96" t="s">
        <v>24</v>
      </c>
      <c r="R97" s="96" t="s">
        <v>54</v>
      </c>
      <c r="S97" s="96" t="s">
        <v>334</v>
      </c>
      <c r="T97" s="96" t="s">
        <v>24</v>
      </c>
      <c r="U97" s="96" t="s">
        <v>24</v>
      </c>
      <c r="V97" s="96" t="s">
        <v>24</v>
      </c>
    </row>
    <row r="98" spans="1:22">
      <c r="A98" s="96" t="s">
        <v>335</v>
      </c>
      <c r="B98" s="96" t="s">
        <v>47</v>
      </c>
      <c r="C98" s="96" t="s">
        <v>24</v>
      </c>
      <c r="D98" s="96" t="s">
        <v>25</v>
      </c>
      <c r="E98" s="96" t="s">
        <v>571</v>
      </c>
      <c r="F98" s="96" t="s">
        <v>331</v>
      </c>
      <c r="G98" s="96" t="s">
        <v>28</v>
      </c>
      <c r="H98" s="96" t="s">
        <v>28</v>
      </c>
      <c r="I98" s="96" t="s">
        <v>28</v>
      </c>
      <c r="J98" s="96" t="s">
        <v>336</v>
      </c>
      <c r="K98" s="96" t="s">
        <v>24</v>
      </c>
      <c r="L98" s="96" t="s">
        <v>337</v>
      </c>
      <c r="M98" s="96" t="s">
        <v>28</v>
      </c>
      <c r="N98" s="96" t="s">
        <v>69</v>
      </c>
      <c r="O98" s="96" t="s">
        <v>24</v>
      </c>
      <c r="P98" s="96" t="s">
        <v>499</v>
      </c>
      <c r="Q98" s="96" t="s">
        <v>24</v>
      </c>
      <c r="R98" s="96" t="s">
        <v>54</v>
      </c>
      <c r="S98" s="96" t="s">
        <v>334</v>
      </c>
      <c r="T98" s="96" t="s">
        <v>24</v>
      </c>
      <c r="U98" s="96" t="s">
        <v>24</v>
      </c>
      <c r="V98" s="96" t="s">
        <v>24</v>
      </c>
    </row>
    <row r="99" spans="1:22">
      <c r="A99" s="96" t="s">
        <v>339</v>
      </c>
      <c r="B99" s="96" t="s">
        <v>47</v>
      </c>
      <c r="C99" s="96" t="s">
        <v>24</v>
      </c>
      <c r="D99" s="96" t="s">
        <v>25</v>
      </c>
      <c r="E99" s="96" t="s">
        <v>571</v>
      </c>
      <c r="F99" s="96" t="s">
        <v>340</v>
      </c>
      <c r="G99" s="96" t="s">
        <v>28</v>
      </c>
      <c r="H99" s="96" t="s">
        <v>28</v>
      </c>
      <c r="I99" s="96" t="s">
        <v>28</v>
      </c>
      <c r="J99" s="96" t="s">
        <v>341</v>
      </c>
      <c r="K99" s="96" t="s">
        <v>342</v>
      </c>
      <c r="L99" s="96" t="s">
        <v>343</v>
      </c>
      <c r="M99" s="96" t="s">
        <v>28</v>
      </c>
      <c r="N99" s="96" t="s">
        <v>69</v>
      </c>
      <c r="O99" s="96" t="s">
        <v>344</v>
      </c>
      <c r="P99" s="96" t="s">
        <v>499</v>
      </c>
      <c r="Q99" s="96" t="s">
        <v>24</v>
      </c>
      <c r="R99" s="96" t="s">
        <v>54</v>
      </c>
      <c r="S99" s="96" t="s">
        <v>345</v>
      </c>
      <c r="T99" s="96" t="s">
        <v>24</v>
      </c>
      <c r="U99" s="96" t="s">
        <v>24</v>
      </c>
      <c r="V99" s="96" t="s">
        <v>24</v>
      </c>
    </row>
    <row r="100" spans="1:22">
      <c r="A100" s="96" t="s">
        <v>346</v>
      </c>
      <c r="B100" s="96" t="s">
        <v>47</v>
      </c>
      <c r="C100" s="96" t="s">
        <v>24</v>
      </c>
      <c r="D100" s="96" t="s">
        <v>25</v>
      </c>
      <c r="E100" s="96" t="s">
        <v>571</v>
      </c>
      <c r="F100" s="96" t="s">
        <v>340</v>
      </c>
      <c r="G100" s="96" t="s">
        <v>28</v>
      </c>
      <c r="H100" s="96" t="s">
        <v>28</v>
      </c>
      <c r="I100" s="96" t="s">
        <v>28</v>
      </c>
      <c r="J100" s="96" t="s">
        <v>347</v>
      </c>
      <c r="K100" s="96" t="s">
        <v>342</v>
      </c>
      <c r="L100" s="96" t="s">
        <v>348</v>
      </c>
      <c r="M100" s="96" t="s">
        <v>28</v>
      </c>
      <c r="N100" s="96" t="s">
        <v>69</v>
      </c>
      <c r="O100" s="96" t="s">
        <v>344</v>
      </c>
      <c r="P100" s="96" t="s">
        <v>499</v>
      </c>
      <c r="Q100" s="96" t="s">
        <v>24</v>
      </c>
      <c r="R100" s="96" t="s">
        <v>54</v>
      </c>
      <c r="S100" s="96" t="s">
        <v>345</v>
      </c>
      <c r="T100" s="96" t="s">
        <v>24</v>
      </c>
      <c r="U100" s="96" t="s">
        <v>24</v>
      </c>
      <c r="V100" s="96" t="s">
        <v>24</v>
      </c>
    </row>
    <row r="101" spans="1:22">
      <c r="A101" s="96" t="s">
        <v>349</v>
      </c>
      <c r="B101" s="96" t="s">
        <v>47</v>
      </c>
      <c r="C101" s="96" t="s">
        <v>24</v>
      </c>
      <c r="D101" s="96" t="s">
        <v>25</v>
      </c>
      <c r="E101" s="96" t="s">
        <v>571</v>
      </c>
      <c r="F101" s="96" t="s">
        <v>340</v>
      </c>
      <c r="G101" s="96" t="s">
        <v>28</v>
      </c>
      <c r="H101" s="96" t="s">
        <v>28</v>
      </c>
      <c r="I101" s="96" t="s">
        <v>28</v>
      </c>
      <c r="J101" s="96" t="s">
        <v>350</v>
      </c>
      <c r="K101" s="96" t="s">
        <v>342</v>
      </c>
      <c r="L101" s="96" t="s">
        <v>351</v>
      </c>
      <c r="M101" s="96" t="s">
        <v>28</v>
      </c>
      <c r="N101" s="96" t="s">
        <v>69</v>
      </c>
      <c r="O101" s="96" t="s">
        <v>344</v>
      </c>
      <c r="P101" s="96" t="s">
        <v>499</v>
      </c>
      <c r="Q101" s="96" t="s">
        <v>24</v>
      </c>
      <c r="R101" s="96" t="s">
        <v>54</v>
      </c>
      <c r="S101" s="96" t="s">
        <v>345</v>
      </c>
      <c r="T101" s="96" t="s">
        <v>24</v>
      </c>
      <c r="U101" s="96" t="s">
        <v>24</v>
      </c>
      <c r="V101" s="96" t="s">
        <v>24</v>
      </c>
    </row>
    <row r="102" spans="1:22">
      <c r="A102" s="96" t="s">
        <v>352</v>
      </c>
      <c r="B102" s="96" t="s">
        <v>47</v>
      </c>
      <c r="C102" s="96" t="s">
        <v>24</v>
      </c>
      <c r="D102" s="96" t="s">
        <v>25</v>
      </c>
      <c r="E102" s="96" t="s">
        <v>571</v>
      </c>
      <c r="F102" s="96" t="s">
        <v>340</v>
      </c>
      <c r="G102" s="96" t="s">
        <v>28</v>
      </c>
      <c r="H102" s="96" t="s">
        <v>28</v>
      </c>
      <c r="I102" s="96" t="s">
        <v>28</v>
      </c>
      <c r="J102" s="96" t="s">
        <v>353</v>
      </c>
      <c r="K102" s="96" t="s">
        <v>342</v>
      </c>
      <c r="L102" s="96" t="s">
        <v>354</v>
      </c>
      <c r="M102" s="96" t="s">
        <v>28</v>
      </c>
      <c r="N102" s="96" t="s">
        <v>69</v>
      </c>
      <c r="O102" s="96" t="s">
        <v>344</v>
      </c>
      <c r="P102" s="96" t="s">
        <v>499</v>
      </c>
      <c r="Q102" s="96" t="s">
        <v>24</v>
      </c>
      <c r="R102" s="96" t="s">
        <v>54</v>
      </c>
      <c r="S102" s="96" t="s">
        <v>345</v>
      </c>
      <c r="T102" s="96" t="s">
        <v>24</v>
      </c>
      <c r="U102" s="96" t="s">
        <v>24</v>
      </c>
      <c r="V102" s="96" t="s">
        <v>24</v>
      </c>
    </row>
    <row r="103" spans="1:22">
      <c r="A103" s="96" t="s">
        <v>355</v>
      </c>
      <c r="B103" s="96" t="s">
        <v>47</v>
      </c>
      <c r="C103" s="96" t="s">
        <v>24</v>
      </c>
      <c r="D103" s="96" t="s">
        <v>25</v>
      </c>
      <c r="E103" s="96" t="s">
        <v>571</v>
      </c>
      <c r="F103" s="96" t="s">
        <v>340</v>
      </c>
      <c r="G103" s="96" t="s">
        <v>28</v>
      </c>
      <c r="H103" s="96" t="s">
        <v>28</v>
      </c>
      <c r="I103" s="96" t="s">
        <v>28</v>
      </c>
      <c r="J103" s="96" t="s">
        <v>356</v>
      </c>
      <c r="K103" s="96" t="s">
        <v>342</v>
      </c>
      <c r="L103" s="96" t="s">
        <v>357</v>
      </c>
      <c r="M103" s="96" t="s">
        <v>28</v>
      </c>
      <c r="N103" s="96" t="s">
        <v>69</v>
      </c>
      <c r="O103" s="96" t="s">
        <v>344</v>
      </c>
      <c r="P103" s="96" t="s">
        <v>499</v>
      </c>
      <c r="Q103" s="96" t="s">
        <v>24</v>
      </c>
      <c r="R103" s="96" t="s">
        <v>54</v>
      </c>
      <c r="S103" s="96" t="s">
        <v>345</v>
      </c>
      <c r="T103" s="96" t="s">
        <v>24</v>
      </c>
      <c r="U103" s="96" t="s">
        <v>24</v>
      </c>
      <c r="V103" s="96" t="s">
        <v>24</v>
      </c>
    </row>
    <row r="104" spans="1:22">
      <c r="A104" s="96" t="s">
        <v>358</v>
      </c>
      <c r="B104" s="96" t="s">
        <v>47</v>
      </c>
      <c r="C104" s="96" t="s">
        <v>24</v>
      </c>
      <c r="D104" s="96" t="s">
        <v>25</v>
      </c>
      <c r="E104" s="96" t="s">
        <v>571</v>
      </c>
      <c r="F104" s="96" t="s">
        <v>340</v>
      </c>
      <c r="G104" s="96" t="s">
        <v>28</v>
      </c>
      <c r="H104" s="96" t="s">
        <v>28</v>
      </c>
      <c r="I104" s="96" t="s">
        <v>28</v>
      </c>
      <c r="J104" s="96" t="s">
        <v>359</v>
      </c>
      <c r="K104" s="96" t="s">
        <v>342</v>
      </c>
      <c r="L104" s="96" t="s">
        <v>360</v>
      </c>
      <c r="M104" s="96" t="s">
        <v>28</v>
      </c>
      <c r="N104" s="96" t="s">
        <v>69</v>
      </c>
      <c r="O104" s="96" t="s">
        <v>344</v>
      </c>
      <c r="P104" s="96" t="s">
        <v>499</v>
      </c>
      <c r="Q104" s="96" t="s">
        <v>24</v>
      </c>
      <c r="R104" s="96" t="s">
        <v>54</v>
      </c>
      <c r="S104" s="96" t="s">
        <v>345</v>
      </c>
      <c r="T104" s="96" t="s">
        <v>24</v>
      </c>
      <c r="U104" s="96" t="s">
        <v>24</v>
      </c>
      <c r="V104" s="96" t="s">
        <v>24</v>
      </c>
    </row>
    <row r="105" spans="1:22">
      <c r="A105" s="96" t="s">
        <v>361</v>
      </c>
      <c r="B105" s="96" t="s">
        <v>47</v>
      </c>
      <c r="C105" s="96" t="s">
        <v>24</v>
      </c>
      <c r="D105" s="96" t="s">
        <v>25</v>
      </c>
      <c r="E105" s="96" t="s">
        <v>571</v>
      </c>
      <c r="F105" s="96" t="s">
        <v>340</v>
      </c>
      <c r="G105" s="96" t="s">
        <v>28</v>
      </c>
      <c r="H105" s="96" t="s">
        <v>28</v>
      </c>
      <c r="I105" s="96" t="s">
        <v>28</v>
      </c>
      <c r="J105" s="96" t="s">
        <v>362</v>
      </c>
      <c r="K105" s="96" t="s">
        <v>342</v>
      </c>
      <c r="L105" s="96" t="s">
        <v>363</v>
      </c>
      <c r="M105" s="96" t="s">
        <v>28</v>
      </c>
      <c r="N105" s="96" t="s">
        <v>69</v>
      </c>
      <c r="O105" s="96" t="s">
        <v>344</v>
      </c>
      <c r="P105" s="96" t="s">
        <v>499</v>
      </c>
      <c r="Q105" s="96" t="s">
        <v>24</v>
      </c>
      <c r="R105" s="96" t="s">
        <v>54</v>
      </c>
      <c r="S105" s="96" t="s">
        <v>345</v>
      </c>
      <c r="T105" s="96" t="s">
        <v>24</v>
      </c>
      <c r="U105" s="96" t="s">
        <v>24</v>
      </c>
      <c r="V105" s="96" t="s">
        <v>24</v>
      </c>
    </row>
    <row r="106" spans="1:22">
      <c r="A106" s="96" t="s">
        <v>364</v>
      </c>
      <c r="B106" s="96" t="s">
        <v>47</v>
      </c>
      <c r="C106" s="96" t="s">
        <v>24</v>
      </c>
      <c r="D106" s="96" t="s">
        <v>25</v>
      </c>
      <c r="E106" s="96" t="s">
        <v>561</v>
      </c>
      <c r="F106" s="96" t="s">
        <v>340</v>
      </c>
      <c r="G106" s="96" t="s">
        <v>28</v>
      </c>
      <c r="H106" s="96" t="s">
        <v>28</v>
      </c>
      <c r="I106" s="96" t="s">
        <v>28</v>
      </c>
      <c r="J106" s="96" t="s">
        <v>365</v>
      </c>
      <c r="K106" s="96" t="s">
        <v>24</v>
      </c>
      <c r="L106" s="96" t="s">
        <v>366</v>
      </c>
      <c r="M106" s="96" t="s">
        <v>28</v>
      </c>
      <c r="N106" s="96" t="s">
        <v>69</v>
      </c>
      <c r="O106" s="96" t="s">
        <v>24</v>
      </c>
      <c r="P106" s="96" t="s">
        <v>63</v>
      </c>
      <c r="Q106" s="96" t="s">
        <v>24</v>
      </c>
      <c r="R106" s="96" t="s">
        <v>54</v>
      </c>
      <c r="S106" s="96" t="s">
        <v>345</v>
      </c>
      <c r="T106" s="96" t="s">
        <v>24</v>
      </c>
      <c r="U106" s="96" t="s">
        <v>24</v>
      </c>
      <c r="V106" s="96" t="s">
        <v>24</v>
      </c>
    </row>
    <row r="107" spans="1:22">
      <c r="A107" s="96" t="s">
        <v>368</v>
      </c>
      <c r="B107" s="96" t="s">
        <v>369</v>
      </c>
      <c r="C107" s="96" t="s">
        <v>24</v>
      </c>
      <c r="D107" s="96" t="s">
        <v>25</v>
      </c>
      <c r="E107" s="96" t="s">
        <v>571</v>
      </c>
      <c r="F107" s="96" t="s">
        <v>28</v>
      </c>
      <c r="G107" s="96" t="s">
        <v>28</v>
      </c>
      <c r="H107" s="96" t="s">
        <v>28</v>
      </c>
      <c r="I107" s="96" t="s">
        <v>28</v>
      </c>
      <c r="J107" s="96" t="s">
        <v>370</v>
      </c>
      <c r="K107" s="96" t="s">
        <v>108</v>
      </c>
      <c r="L107" s="96" t="s">
        <v>371</v>
      </c>
      <c r="M107" s="96" t="s">
        <v>28</v>
      </c>
      <c r="N107" s="96" t="s">
        <v>69</v>
      </c>
      <c r="O107" s="96" t="s">
        <v>372</v>
      </c>
      <c r="P107" s="96" t="s">
        <v>499</v>
      </c>
      <c r="Q107" s="96" t="s">
        <v>24</v>
      </c>
      <c r="R107" s="96" t="s">
        <v>54</v>
      </c>
      <c r="S107" s="96" t="s">
        <v>24</v>
      </c>
      <c r="T107" s="96" t="s">
        <v>24</v>
      </c>
      <c r="U107" s="96" t="s">
        <v>24</v>
      </c>
      <c r="V107" s="96" t="s">
        <v>24</v>
      </c>
    </row>
    <row r="108" spans="1:22">
      <c r="A108" s="96" t="s">
        <v>374</v>
      </c>
      <c r="B108" s="96" t="s">
        <v>369</v>
      </c>
      <c r="C108" s="96" t="s">
        <v>24</v>
      </c>
      <c r="D108" s="96" t="s">
        <v>25</v>
      </c>
      <c r="E108" s="96" t="s">
        <v>571</v>
      </c>
      <c r="F108" s="96" t="s">
        <v>28</v>
      </c>
      <c r="G108" s="96" t="s">
        <v>28</v>
      </c>
      <c r="H108" s="96" t="s">
        <v>28</v>
      </c>
      <c r="I108" s="96" t="s">
        <v>28</v>
      </c>
      <c r="J108" s="96" t="s">
        <v>375</v>
      </c>
      <c r="K108" s="96" t="s">
        <v>24</v>
      </c>
      <c r="L108" s="96" t="s">
        <v>376</v>
      </c>
      <c r="M108" s="96" t="s">
        <v>28</v>
      </c>
      <c r="N108" s="96" t="s">
        <v>69</v>
      </c>
      <c r="O108" s="96" t="s">
        <v>377</v>
      </c>
      <c r="P108" s="96" t="s">
        <v>499</v>
      </c>
      <c r="Q108" s="96" t="s">
        <v>24</v>
      </c>
      <c r="R108" s="96" t="s">
        <v>54</v>
      </c>
      <c r="S108" s="96" t="s">
        <v>24</v>
      </c>
      <c r="T108" s="96" t="s">
        <v>24</v>
      </c>
      <c r="U108" s="96" t="s">
        <v>24</v>
      </c>
      <c r="V108" s="96" t="s">
        <v>24</v>
      </c>
    </row>
    <row r="109" spans="1:22">
      <c r="A109" s="96" t="s">
        <v>378</v>
      </c>
      <c r="B109" s="96" t="s">
        <v>369</v>
      </c>
      <c r="C109" s="96" t="s">
        <v>24</v>
      </c>
      <c r="D109" s="96" t="s">
        <v>25</v>
      </c>
      <c r="E109" s="96" t="s">
        <v>571</v>
      </c>
      <c r="F109" s="96" t="s">
        <v>28</v>
      </c>
      <c r="G109" s="96" t="s">
        <v>28</v>
      </c>
      <c r="H109" s="96" t="s">
        <v>28</v>
      </c>
      <c r="I109" s="96" t="s">
        <v>28</v>
      </c>
      <c r="J109" s="96" t="s">
        <v>379</v>
      </c>
      <c r="K109" s="96" t="s">
        <v>108</v>
      </c>
      <c r="L109" s="96" t="s">
        <v>380</v>
      </c>
      <c r="M109" s="96" t="s">
        <v>28</v>
      </c>
      <c r="N109" s="96" t="s">
        <v>69</v>
      </c>
      <c r="O109" s="96" t="s">
        <v>377</v>
      </c>
      <c r="P109" s="96" t="s">
        <v>495</v>
      </c>
      <c r="Q109" s="96" t="s">
        <v>24</v>
      </c>
      <c r="R109" s="96" t="s">
        <v>54</v>
      </c>
      <c r="S109" s="96" t="s">
        <v>24</v>
      </c>
      <c r="T109" s="96" t="s">
        <v>24</v>
      </c>
      <c r="U109" s="96" t="s">
        <v>24</v>
      </c>
      <c r="V109" s="96" t="s">
        <v>24</v>
      </c>
    </row>
    <row r="110" spans="1:22">
      <c r="A110" s="96" t="s">
        <v>381</v>
      </c>
      <c r="B110" s="96" t="s">
        <v>369</v>
      </c>
      <c r="C110" s="96" t="s">
        <v>24</v>
      </c>
      <c r="D110" s="96" t="s">
        <v>25</v>
      </c>
      <c r="E110" s="96" t="s">
        <v>571</v>
      </c>
      <c r="F110" s="96" t="s">
        <v>28</v>
      </c>
      <c r="G110" s="96" t="s">
        <v>28</v>
      </c>
      <c r="H110" s="96" t="s">
        <v>28</v>
      </c>
      <c r="I110" s="96" t="s">
        <v>28</v>
      </c>
      <c r="J110" s="96" t="s">
        <v>382</v>
      </c>
      <c r="K110" s="96" t="s">
        <v>24</v>
      </c>
      <c r="L110" s="96" t="s">
        <v>24</v>
      </c>
      <c r="M110" s="96" t="s">
        <v>24</v>
      </c>
      <c r="N110" s="96" t="s">
        <v>69</v>
      </c>
      <c r="O110" s="96" t="s">
        <v>372</v>
      </c>
      <c r="P110" s="96" t="s">
        <v>499</v>
      </c>
      <c r="Q110" s="96" t="s">
        <v>24</v>
      </c>
      <c r="R110" s="96" t="s">
        <v>54</v>
      </c>
      <c r="S110" s="96" t="s">
        <v>383</v>
      </c>
      <c r="T110" s="96" t="s">
        <v>24</v>
      </c>
      <c r="U110" s="96" t="s">
        <v>24</v>
      </c>
      <c r="V110" s="96" t="s">
        <v>24</v>
      </c>
    </row>
    <row r="111" spans="1:22">
      <c r="A111" s="96" t="s">
        <v>384</v>
      </c>
      <c r="B111" s="96" t="s">
        <v>369</v>
      </c>
      <c r="C111" s="96" t="s">
        <v>24</v>
      </c>
      <c r="D111" s="96" t="s">
        <v>25</v>
      </c>
      <c r="E111" s="96" t="s">
        <v>561</v>
      </c>
      <c r="F111" s="96" t="s">
        <v>28</v>
      </c>
      <c r="G111" s="96" t="s">
        <v>28</v>
      </c>
      <c r="H111" s="96" t="s">
        <v>28</v>
      </c>
      <c r="I111" s="96" t="s">
        <v>28</v>
      </c>
      <c r="J111" s="96" t="s">
        <v>385</v>
      </c>
      <c r="K111" s="96" t="s">
        <v>24</v>
      </c>
      <c r="L111" s="96" t="s">
        <v>24</v>
      </c>
      <c r="M111" s="96" t="s">
        <v>24</v>
      </c>
      <c r="N111" s="96" t="s">
        <v>69</v>
      </c>
      <c r="O111" s="96" t="s">
        <v>377</v>
      </c>
      <c r="P111" s="96" t="s">
        <v>499</v>
      </c>
      <c r="Q111" s="96" t="s">
        <v>24</v>
      </c>
      <c r="R111" s="96" t="s">
        <v>54</v>
      </c>
      <c r="S111" s="96" t="s">
        <v>24</v>
      </c>
      <c r="T111" s="96" t="s">
        <v>24</v>
      </c>
      <c r="U111" s="96" t="s">
        <v>24</v>
      </c>
      <c r="V111" s="96" t="s">
        <v>24</v>
      </c>
    </row>
    <row r="112" spans="1:22">
      <c r="A112" s="96" t="s">
        <v>386</v>
      </c>
      <c r="B112" s="96" t="s">
        <v>369</v>
      </c>
      <c r="C112" s="96" t="s">
        <v>24</v>
      </c>
      <c r="D112" s="96" t="s">
        <v>25</v>
      </c>
      <c r="E112" s="96" t="s">
        <v>538</v>
      </c>
      <c r="F112" s="96" t="s">
        <v>28</v>
      </c>
      <c r="G112" s="96" t="s">
        <v>28</v>
      </c>
      <c r="H112" s="96" t="s">
        <v>28</v>
      </c>
      <c r="I112" s="96" t="s">
        <v>28</v>
      </c>
      <c r="J112" s="96" t="s">
        <v>387</v>
      </c>
      <c r="K112" s="96" t="s">
        <v>24</v>
      </c>
      <c r="L112" s="96" t="s">
        <v>24</v>
      </c>
      <c r="M112" s="96" t="s">
        <v>24</v>
      </c>
      <c r="N112" s="96" t="s">
        <v>69</v>
      </c>
      <c r="O112" s="96" t="s">
        <v>372</v>
      </c>
      <c r="P112" s="96" t="s">
        <v>495</v>
      </c>
      <c r="Q112" s="96" t="s">
        <v>24</v>
      </c>
      <c r="R112" s="96" t="s">
        <v>54</v>
      </c>
      <c r="S112" s="96" t="s">
        <v>24</v>
      </c>
      <c r="T112" s="96" t="s">
        <v>24</v>
      </c>
      <c r="U112" s="96" t="s">
        <v>24</v>
      </c>
      <c r="V112" s="96" t="s">
        <v>24</v>
      </c>
    </row>
    <row r="113" spans="1:22">
      <c r="A113" s="96" t="s">
        <v>388</v>
      </c>
      <c r="B113" s="96" t="s">
        <v>369</v>
      </c>
      <c r="C113" s="96" t="s">
        <v>24</v>
      </c>
      <c r="D113" s="96" t="s">
        <v>25</v>
      </c>
      <c r="E113" s="96" t="s">
        <v>571</v>
      </c>
      <c r="F113" s="96" t="s">
        <v>28</v>
      </c>
      <c r="G113" s="96" t="s">
        <v>28</v>
      </c>
      <c r="H113" s="96" t="s">
        <v>28</v>
      </c>
      <c r="I113" s="96" t="s">
        <v>28</v>
      </c>
      <c r="J113" s="96" t="s">
        <v>389</v>
      </c>
      <c r="K113" s="96" t="s">
        <v>24</v>
      </c>
      <c r="L113" s="96" t="s">
        <v>24</v>
      </c>
      <c r="M113" s="96" t="s">
        <v>24</v>
      </c>
      <c r="N113" s="96" t="s">
        <v>69</v>
      </c>
      <c r="O113" s="96" t="s">
        <v>377</v>
      </c>
      <c r="P113" s="96" t="s">
        <v>495</v>
      </c>
      <c r="Q113" s="96" t="s">
        <v>24</v>
      </c>
      <c r="R113" s="96" t="s">
        <v>54</v>
      </c>
      <c r="S113" s="96" t="s">
        <v>390</v>
      </c>
      <c r="T113" s="96" t="s">
        <v>24</v>
      </c>
      <c r="U113" s="96" t="s">
        <v>24</v>
      </c>
      <c r="V113" s="96" t="s">
        <v>24</v>
      </c>
    </row>
    <row r="114" spans="1:22">
      <c r="A114" s="96" t="s">
        <v>391</v>
      </c>
      <c r="B114" s="96" t="s">
        <v>369</v>
      </c>
      <c r="C114" s="96" t="s">
        <v>24</v>
      </c>
      <c r="D114" s="96" t="s">
        <v>25</v>
      </c>
      <c r="E114" s="96" t="s">
        <v>571</v>
      </c>
      <c r="F114" s="96" t="s">
        <v>28</v>
      </c>
      <c r="G114" s="96" t="s">
        <v>28</v>
      </c>
      <c r="H114" s="96" t="s">
        <v>28</v>
      </c>
      <c r="I114" s="96" t="s">
        <v>28</v>
      </c>
      <c r="J114" s="96" t="s">
        <v>392</v>
      </c>
      <c r="K114" s="96" t="s">
        <v>393</v>
      </c>
      <c r="L114" s="96" t="s">
        <v>24</v>
      </c>
      <c r="M114" s="96" t="s">
        <v>24</v>
      </c>
      <c r="N114" s="96" t="s">
        <v>69</v>
      </c>
      <c r="O114" s="96" t="s">
        <v>377</v>
      </c>
      <c r="P114" s="96" t="s">
        <v>495</v>
      </c>
      <c r="Q114" s="96" t="s">
        <v>24</v>
      </c>
      <c r="R114" s="96" t="s">
        <v>63</v>
      </c>
      <c r="S114" s="96" t="s">
        <v>394</v>
      </c>
      <c r="T114" s="96" t="s">
        <v>24</v>
      </c>
      <c r="U114" s="96" t="s">
        <v>24</v>
      </c>
      <c r="V114" s="96" t="s">
        <v>24</v>
      </c>
    </row>
    <row r="115" spans="1:22">
      <c r="A115" s="96" t="s">
        <v>395</v>
      </c>
      <c r="B115" s="96" t="s">
        <v>396</v>
      </c>
      <c r="C115" s="96" t="s">
        <v>24</v>
      </c>
      <c r="D115" s="96" t="s">
        <v>54</v>
      </c>
      <c r="E115" s="96" t="s">
        <v>571</v>
      </c>
      <c r="F115" s="96" t="s">
        <v>28</v>
      </c>
      <c r="G115" s="96" t="s">
        <v>28</v>
      </c>
      <c r="H115" s="96" t="s">
        <v>28</v>
      </c>
      <c r="I115" s="96" t="s">
        <v>28</v>
      </c>
      <c r="J115" s="96" t="s">
        <v>397</v>
      </c>
      <c r="K115" s="96" t="s">
        <v>398</v>
      </c>
      <c r="L115" s="96" t="s">
        <v>399</v>
      </c>
      <c r="M115" s="96" t="s">
        <v>28</v>
      </c>
      <c r="N115" s="96" t="s">
        <v>24</v>
      </c>
      <c r="O115" s="96" t="s">
        <v>24</v>
      </c>
      <c r="P115" s="96" t="s">
        <v>24</v>
      </c>
      <c r="Q115" s="96" t="s">
        <v>24</v>
      </c>
      <c r="R115" s="96" t="s">
        <v>24</v>
      </c>
      <c r="S115" s="96" t="s">
        <v>24</v>
      </c>
      <c r="T115" s="96" t="s">
        <v>24</v>
      </c>
      <c r="U115" s="96" t="s">
        <v>24</v>
      </c>
      <c r="V115" s="96" t="s">
        <v>24</v>
      </c>
    </row>
    <row r="116" spans="1:22">
      <c r="A116" s="96" t="s">
        <v>798</v>
      </c>
      <c r="B116" s="96" t="s">
        <v>51</v>
      </c>
      <c r="C116" s="96" t="s">
        <v>24</v>
      </c>
      <c r="D116" s="96" t="s">
        <v>25</v>
      </c>
      <c r="E116" s="96" t="s">
        <v>571</v>
      </c>
      <c r="F116" s="96" t="s">
        <v>28</v>
      </c>
      <c r="G116" s="96" t="s">
        <v>28</v>
      </c>
      <c r="H116" s="96" t="s">
        <v>28</v>
      </c>
      <c r="I116" s="96" t="s">
        <v>28</v>
      </c>
      <c r="J116" s="96" t="s">
        <v>799</v>
      </c>
      <c r="K116" s="96" t="s">
        <v>774</v>
      </c>
      <c r="L116" s="96" t="s">
        <v>800</v>
      </c>
      <c r="M116" s="96" t="s">
        <v>28</v>
      </c>
      <c r="N116" s="96" t="s">
        <v>700</v>
      </c>
      <c r="O116" s="96" t="s">
        <v>28</v>
      </c>
      <c r="P116" s="96" t="s">
        <v>28</v>
      </c>
      <c r="Q116" s="96" t="s">
        <v>24</v>
      </c>
      <c r="R116" s="96" t="s">
        <v>28</v>
      </c>
      <c r="S116" s="96" t="s">
        <v>24</v>
      </c>
      <c r="T116" s="96" t="s">
        <v>24</v>
      </c>
      <c r="U116" s="96" t="s">
        <v>24</v>
      </c>
      <c r="V116" s="96" t="s">
        <v>24</v>
      </c>
    </row>
    <row r="117" spans="1:22">
      <c r="A117" s="96" t="s">
        <v>801</v>
      </c>
      <c r="B117" s="96" t="s">
        <v>51</v>
      </c>
      <c r="C117" s="96" t="s">
        <v>24</v>
      </c>
      <c r="D117" s="96" t="s">
        <v>25</v>
      </c>
      <c r="E117" s="96" t="s">
        <v>571</v>
      </c>
      <c r="F117" s="96" t="s">
        <v>28</v>
      </c>
      <c r="G117" s="96" t="s">
        <v>28</v>
      </c>
      <c r="H117" s="96" t="s">
        <v>28</v>
      </c>
      <c r="I117" s="96" t="s">
        <v>28</v>
      </c>
      <c r="J117" s="96" t="s">
        <v>802</v>
      </c>
      <c r="K117" s="96" t="s">
        <v>774</v>
      </c>
      <c r="L117" s="96" t="s">
        <v>803</v>
      </c>
      <c r="M117" s="96" t="s">
        <v>28</v>
      </c>
      <c r="N117" s="96" t="s">
        <v>700</v>
      </c>
      <c r="O117" s="96" t="s">
        <v>344</v>
      </c>
      <c r="P117" s="96" t="s">
        <v>495</v>
      </c>
      <c r="Q117" s="96" t="s">
        <v>24</v>
      </c>
      <c r="R117" s="96" t="s">
        <v>54</v>
      </c>
      <c r="S117" s="96" t="s">
        <v>804</v>
      </c>
      <c r="T117" s="96" t="s">
        <v>24</v>
      </c>
      <c r="U117" s="96" t="s">
        <v>24</v>
      </c>
      <c r="V117" s="96" t="s">
        <v>24</v>
      </c>
    </row>
    <row r="118" spans="1:22">
      <c r="A118" s="96" t="s">
        <v>805</v>
      </c>
      <c r="B118" s="96" t="s">
        <v>51</v>
      </c>
      <c r="C118" s="96" t="s">
        <v>24</v>
      </c>
      <c r="D118" s="96" t="s">
        <v>25</v>
      </c>
      <c r="E118" s="96" t="s">
        <v>571</v>
      </c>
      <c r="F118" s="96" t="s">
        <v>28</v>
      </c>
      <c r="G118" s="96" t="s">
        <v>28</v>
      </c>
      <c r="H118" s="96" t="s">
        <v>28</v>
      </c>
      <c r="I118" s="96" t="s">
        <v>28</v>
      </c>
      <c r="J118" s="96" t="s">
        <v>806</v>
      </c>
      <c r="K118" s="96" t="s">
        <v>774</v>
      </c>
      <c r="L118" s="96" t="s">
        <v>807</v>
      </c>
      <c r="M118" s="96" t="s">
        <v>28</v>
      </c>
      <c r="N118" s="96" t="s">
        <v>700</v>
      </c>
      <c r="O118" s="96" t="s">
        <v>344</v>
      </c>
      <c r="P118" s="96" t="s">
        <v>495</v>
      </c>
      <c r="Q118" s="96" t="s">
        <v>24</v>
      </c>
      <c r="R118" s="96" t="s">
        <v>54</v>
      </c>
      <c r="S118" s="96" t="s">
        <v>804</v>
      </c>
      <c r="T118" s="96" t="s">
        <v>24</v>
      </c>
      <c r="U118" s="96" t="s">
        <v>24</v>
      </c>
      <c r="V118" s="96" t="s">
        <v>24</v>
      </c>
    </row>
    <row r="119" spans="1:22">
      <c r="A119" s="96" t="s">
        <v>808</v>
      </c>
      <c r="B119" s="96" t="s">
        <v>51</v>
      </c>
      <c r="C119" s="96" t="s">
        <v>24</v>
      </c>
      <c r="D119" s="96" t="s">
        <v>25</v>
      </c>
      <c r="E119" s="96" t="s">
        <v>571</v>
      </c>
      <c r="F119" s="96" t="s">
        <v>28</v>
      </c>
      <c r="G119" s="96" t="s">
        <v>28</v>
      </c>
      <c r="H119" s="96" t="s">
        <v>28</v>
      </c>
      <c r="I119" s="96" t="s">
        <v>28</v>
      </c>
      <c r="J119" s="96" t="s">
        <v>809</v>
      </c>
      <c r="K119" s="96" t="s">
        <v>774</v>
      </c>
      <c r="L119" s="96" t="s">
        <v>810</v>
      </c>
      <c r="M119" s="96" t="s">
        <v>28</v>
      </c>
      <c r="N119" s="96" t="s">
        <v>700</v>
      </c>
      <c r="O119" s="96" t="s">
        <v>344</v>
      </c>
      <c r="P119" s="96" t="s">
        <v>495</v>
      </c>
      <c r="Q119" s="96" t="s">
        <v>24</v>
      </c>
      <c r="R119" s="96" t="s">
        <v>54</v>
      </c>
      <c r="S119" s="96" t="s">
        <v>804</v>
      </c>
      <c r="T119" s="96" t="s">
        <v>24</v>
      </c>
      <c r="U119" s="96" t="s">
        <v>24</v>
      </c>
      <c r="V119" s="96" t="s">
        <v>24</v>
      </c>
    </row>
    <row r="120" spans="1:22">
      <c r="A120" s="96" t="s">
        <v>811</v>
      </c>
      <c r="B120" s="96" t="s">
        <v>51</v>
      </c>
      <c r="C120" s="96" t="s">
        <v>24</v>
      </c>
      <c r="D120" s="96" t="s">
        <v>25</v>
      </c>
      <c r="E120" s="96" t="s">
        <v>571</v>
      </c>
      <c r="F120" s="96" t="s">
        <v>28</v>
      </c>
      <c r="G120" s="96" t="s">
        <v>28</v>
      </c>
      <c r="H120" s="96" t="s">
        <v>28</v>
      </c>
      <c r="I120" s="96" t="s">
        <v>28</v>
      </c>
      <c r="J120" s="96" t="s">
        <v>812</v>
      </c>
      <c r="K120" s="96" t="s">
        <v>774</v>
      </c>
      <c r="L120" s="96" t="s">
        <v>813</v>
      </c>
      <c r="M120" s="96" t="s">
        <v>28</v>
      </c>
      <c r="N120" s="96" t="s">
        <v>700</v>
      </c>
      <c r="O120" s="96" t="s">
        <v>344</v>
      </c>
      <c r="P120" s="96" t="s">
        <v>495</v>
      </c>
      <c r="Q120" s="96" t="s">
        <v>24</v>
      </c>
      <c r="R120" s="96" t="s">
        <v>54</v>
      </c>
      <c r="S120" s="96" t="s">
        <v>804</v>
      </c>
      <c r="T120" s="96" t="s">
        <v>24</v>
      </c>
      <c r="U120" s="96" t="s">
        <v>24</v>
      </c>
      <c r="V120" s="96" t="s">
        <v>24</v>
      </c>
    </row>
    <row r="121" spans="1:22">
      <c r="A121" s="96" t="s">
        <v>814</v>
      </c>
      <c r="B121" s="96" t="s">
        <v>51</v>
      </c>
      <c r="C121" s="96" t="s">
        <v>24</v>
      </c>
      <c r="D121" s="96" t="s">
        <v>25</v>
      </c>
      <c r="E121" s="96" t="s">
        <v>571</v>
      </c>
      <c r="F121" s="96" t="s">
        <v>28</v>
      </c>
      <c r="G121" s="96" t="s">
        <v>28</v>
      </c>
      <c r="H121" s="96" t="s">
        <v>28</v>
      </c>
      <c r="I121" s="96" t="s">
        <v>28</v>
      </c>
      <c r="J121" s="96" t="s">
        <v>815</v>
      </c>
      <c r="K121" s="96" t="s">
        <v>774</v>
      </c>
      <c r="L121" s="96" t="s">
        <v>816</v>
      </c>
      <c r="M121" s="96" t="s">
        <v>28</v>
      </c>
      <c r="N121" s="96" t="s">
        <v>700</v>
      </c>
      <c r="O121" s="96" t="s">
        <v>344</v>
      </c>
      <c r="P121" s="96" t="s">
        <v>495</v>
      </c>
      <c r="Q121" s="96" t="s">
        <v>24</v>
      </c>
      <c r="R121" s="96" t="s">
        <v>24</v>
      </c>
      <c r="S121" s="96" t="s">
        <v>24</v>
      </c>
      <c r="T121" s="96" t="s">
        <v>24</v>
      </c>
      <c r="U121" s="96" t="s">
        <v>24</v>
      </c>
      <c r="V121" s="96" t="s">
        <v>24</v>
      </c>
    </row>
    <row r="122" spans="1:22">
      <c r="A122" s="96" t="s">
        <v>817</v>
      </c>
      <c r="B122" s="96" t="s">
        <v>51</v>
      </c>
      <c r="C122" s="96" t="s">
        <v>24</v>
      </c>
      <c r="D122" s="96" t="s">
        <v>25</v>
      </c>
      <c r="E122" s="96" t="s">
        <v>571</v>
      </c>
      <c r="F122" s="96" t="s">
        <v>28</v>
      </c>
      <c r="G122" s="96" t="s">
        <v>28</v>
      </c>
      <c r="H122" s="96" t="s">
        <v>28</v>
      </c>
      <c r="I122" s="96" t="s">
        <v>28</v>
      </c>
      <c r="J122" s="96" t="s">
        <v>818</v>
      </c>
      <c r="K122" s="96" t="s">
        <v>774</v>
      </c>
      <c r="L122" s="96" t="s">
        <v>819</v>
      </c>
      <c r="M122" s="96" t="s">
        <v>28</v>
      </c>
      <c r="N122" s="96" t="s">
        <v>700</v>
      </c>
      <c r="O122" s="96" t="s">
        <v>344</v>
      </c>
      <c r="P122" s="96" t="s">
        <v>495</v>
      </c>
      <c r="Q122" s="96" t="s">
        <v>24</v>
      </c>
      <c r="R122" s="96" t="s">
        <v>24</v>
      </c>
      <c r="S122" s="96" t="s">
        <v>24</v>
      </c>
      <c r="T122" s="96" t="s">
        <v>24</v>
      </c>
      <c r="U122" s="96" t="s">
        <v>24</v>
      </c>
      <c r="V122" s="96" t="s">
        <v>24</v>
      </c>
    </row>
    <row r="123" spans="1:22">
      <c r="A123" s="96" t="s">
        <v>820</v>
      </c>
      <c r="B123" s="96" t="s">
        <v>51</v>
      </c>
      <c r="C123" s="96" t="s">
        <v>24</v>
      </c>
      <c r="D123" s="96" t="s">
        <v>25</v>
      </c>
      <c r="E123" s="96" t="s">
        <v>571</v>
      </c>
      <c r="F123" s="96" t="s">
        <v>28</v>
      </c>
      <c r="G123" s="96" t="s">
        <v>28</v>
      </c>
      <c r="H123" s="96" t="s">
        <v>28</v>
      </c>
      <c r="I123" s="96" t="s">
        <v>28</v>
      </c>
      <c r="J123" s="96" t="s">
        <v>821</v>
      </c>
      <c r="K123" s="96" t="s">
        <v>774</v>
      </c>
      <c r="L123" s="96" t="s">
        <v>822</v>
      </c>
      <c r="M123" s="96" t="s">
        <v>28</v>
      </c>
      <c r="N123" s="96" t="s">
        <v>700</v>
      </c>
      <c r="O123" s="96" t="s">
        <v>344</v>
      </c>
      <c r="P123" s="96" t="s">
        <v>495</v>
      </c>
      <c r="Q123" s="96" t="s">
        <v>24</v>
      </c>
      <c r="R123" s="96" t="s">
        <v>24</v>
      </c>
      <c r="S123" s="96" t="s">
        <v>24</v>
      </c>
      <c r="T123" s="96" t="s">
        <v>24</v>
      </c>
      <c r="U123" s="96" t="s">
        <v>24</v>
      </c>
      <c r="V123" s="96" t="s">
        <v>24</v>
      </c>
    </row>
    <row r="124" spans="1:22">
      <c r="A124" s="96" t="s">
        <v>823</v>
      </c>
      <c r="B124" s="96" t="s">
        <v>51</v>
      </c>
      <c r="C124" s="96" t="s">
        <v>24</v>
      </c>
      <c r="D124" s="96" t="s">
        <v>25</v>
      </c>
      <c r="E124" s="96" t="s">
        <v>571</v>
      </c>
      <c r="F124" s="96" t="s">
        <v>28</v>
      </c>
      <c r="G124" s="96" t="s">
        <v>28</v>
      </c>
      <c r="H124" s="96" t="s">
        <v>28</v>
      </c>
      <c r="I124" s="96" t="s">
        <v>28</v>
      </c>
      <c r="J124" s="96" t="s">
        <v>824</v>
      </c>
      <c r="K124" s="96" t="s">
        <v>774</v>
      </c>
      <c r="L124" s="96" t="s">
        <v>825</v>
      </c>
      <c r="M124" s="96" t="s">
        <v>24</v>
      </c>
      <c r="N124" s="96" t="s">
        <v>700</v>
      </c>
      <c r="O124" s="96" t="s">
        <v>344</v>
      </c>
      <c r="P124" s="96" t="s">
        <v>495</v>
      </c>
      <c r="Q124" s="96" t="s">
        <v>24</v>
      </c>
      <c r="R124" s="96" t="s">
        <v>25</v>
      </c>
      <c r="S124" s="96" t="s">
        <v>826</v>
      </c>
      <c r="T124" s="96" t="s">
        <v>24</v>
      </c>
      <c r="U124" s="96" t="s">
        <v>24</v>
      </c>
      <c r="V124" s="96" t="s">
        <v>24</v>
      </c>
    </row>
    <row r="125" spans="1:22">
      <c r="A125" s="96" t="s">
        <v>827</v>
      </c>
      <c r="B125" s="96" t="s">
        <v>51</v>
      </c>
      <c r="C125" s="96" t="s">
        <v>24</v>
      </c>
      <c r="D125" s="96" t="s">
        <v>25</v>
      </c>
      <c r="E125" s="96" t="s">
        <v>571</v>
      </c>
      <c r="F125" s="96" t="s">
        <v>28</v>
      </c>
      <c r="G125" s="96" t="s">
        <v>28</v>
      </c>
      <c r="H125" s="96" t="s">
        <v>28</v>
      </c>
      <c r="I125" s="96" t="s">
        <v>28</v>
      </c>
      <c r="J125" s="96" t="s">
        <v>828</v>
      </c>
      <c r="K125" s="96" t="s">
        <v>829</v>
      </c>
      <c r="L125" s="96" t="s">
        <v>830</v>
      </c>
      <c r="M125" s="96" t="s">
        <v>28</v>
      </c>
      <c r="N125" s="96" t="s">
        <v>700</v>
      </c>
      <c r="O125" s="96" t="s">
        <v>344</v>
      </c>
      <c r="P125" s="96" t="s">
        <v>495</v>
      </c>
      <c r="Q125" s="96" t="s">
        <v>24</v>
      </c>
      <c r="R125" s="96" t="s">
        <v>25</v>
      </c>
      <c r="S125" s="96" t="s">
        <v>826</v>
      </c>
      <c r="T125" s="96" t="s">
        <v>24</v>
      </c>
      <c r="U125" s="96" t="s">
        <v>24</v>
      </c>
      <c r="V125" s="96" t="s">
        <v>24</v>
      </c>
    </row>
    <row r="126" spans="1:22">
      <c r="A126" s="96" t="s">
        <v>831</v>
      </c>
      <c r="B126" s="96" t="s">
        <v>51</v>
      </c>
      <c r="C126" s="96" t="s">
        <v>24</v>
      </c>
      <c r="D126" s="96" t="s">
        <v>25</v>
      </c>
      <c r="E126" s="96" t="s">
        <v>571</v>
      </c>
      <c r="F126" s="96" t="s">
        <v>28</v>
      </c>
      <c r="G126" s="96" t="s">
        <v>28</v>
      </c>
      <c r="H126" s="96" t="s">
        <v>28</v>
      </c>
      <c r="I126" s="96" t="s">
        <v>28</v>
      </c>
      <c r="J126" s="96" t="s">
        <v>832</v>
      </c>
      <c r="K126" s="96" t="s">
        <v>829</v>
      </c>
      <c r="L126" s="96" t="s">
        <v>833</v>
      </c>
      <c r="M126" s="96" t="s">
        <v>28</v>
      </c>
      <c r="N126" s="96" t="s">
        <v>700</v>
      </c>
      <c r="O126" s="96" t="s">
        <v>344</v>
      </c>
      <c r="P126" s="96" t="s">
        <v>495</v>
      </c>
      <c r="Q126" s="96" t="s">
        <v>24</v>
      </c>
      <c r="R126" s="96" t="s">
        <v>25</v>
      </c>
      <c r="S126" s="96" t="s">
        <v>826</v>
      </c>
      <c r="T126" s="96" t="s">
        <v>24</v>
      </c>
      <c r="U126" s="96" t="s">
        <v>24</v>
      </c>
      <c r="V126" s="96" t="s">
        <v>24</v>
      </c>
    </row>
    <row r="127" spans="1:22">
      <c r="A127" s="96" t="s">
        <v>834</v>
      </c>
      <c r="B127" s="96" t="s">
        <v>51</v>
      </c>
      <c r="C127" s="96" t="s">
        <v>24</v>
      </c>
      <c r="D127" s="96" t="s">
        <v>25</v>
      </c>
      <c r="E127" s="96" t="s">
        <v>571</v>
      </c>
      <c r="F127" s="96" t="s">
        <v>28</v>
      </c>
      <c r="G127" s="96" t="s">
        <v>28</v>
      </c>
      <c r="H127" s="96" t="s">
        <v>28</v>
      </c>
      <c r="I127" s="96" t="s">
        <v>28</v>
      </c>
      <c r="J127" s="96" t="s">
        <v>835</v>
      </c>
      <c r="K127" s="96" t="s">
        <v>774</v>
      </c>
      <c r="L127" s="96" t="s">
        <v>836</v>
      </c>
      <c r="M127" s="96" t="s">
        <v>28</v>
      </c>
      <c r="N127" s="96" t="s">
        <v>700</v>
      </c>
      <c r="O127" s="96" t="s">
        <v>344</v>
      </c>
      <c r="P127" s="96" t="s">
        <v>495</v>
      </c>
      <c r="Q127" s="96" t="s">
        <v>24</v>
      </c>
      <c r="R127" s="96" t="s">
        <v>25</v>
      </c>
      <c r="S127" s="96" t="s">
        <v>826</v>
      </c>
      <c r="T127" s="96" t="s">
        <v>24</v>
      </c>
      <c r="U127" s="96" t="s">
        <v>24</v>
      </c>
      <c r="V127" s="96" t="s">
        <v>24</v>
      </c>
    </row>
    <row r="128" spans="1:22">
      <c r="A128" s="96" t="s">
        <v>837</v>
      </c>
      <c r="B128" s="96" t="s">
        <v>51</v>
      </c>
      <c r="C128" s="96" t="s">
        <v>24</v>
      </c>
      <c r="D128" s="96" t="s">
        <v>25</v>
      </c>
      <c r="E128" s="96" t="s">
        <v>571</v>
      </c>
      <c r="F128" s="96" t="s">
        <v>28</v>
      </c>
      <c r="G128" s="96" t="s">
        <v>28</v>
      </c>
      <c r="H128" s="96" t="s">
        <v>28</v>
      </c>
      <c r="I128" s="96" t="s">
        <v>28</v>
      </c>
      <c r="J128" s="96" t="s">
        <v>838</v>
      </c>
      <c r="K128" s="96" t="s">
        <v>774</v>
      </c>
      <c r="L128" s="96" t="s">
        <v>839</v>
      </c>
      <c r="M128" s="96" t="s">
        <v>28</v>
      </c>
      <c r="N128" s="96" t="s">
        <v>700</v>
      </c>
      <c r="O128" s="96" t="s">
        <v>344</v>
      </c>
      <c r="P128" s="96" t="s">
        <v>495</v>
      </c>
      <c r="Q128" s="96" t="s">
        <v>24</v>
      </c>
      <c r="R128" s="96" t="s">
        <v>25</v>
      </c>
      <c r="S128" s="96" t="s">
        <v>826</v>
      </c>
      <c r="T128" s="96" t="s">
        <v>24</v>
      </c>
      <c r="U128" s="96" t="s">
        <v>24</v>
      </c>
      <c r="V128" s="96" t="s">
        <v>24</v>
      </c>
    </row>
    <row r="129" spans="1:22">
      <c r="A129" s="96" t="s">
        <v>840</v>
      </c>
      <c r="B129" s="96" t="s">
        <v>51</v>
      </c>
      <c r="C129" s="96" t="s">
        <v>24</v>
      </c>
      <c r="D129" s="96" t="s">
        <v>25</v>
      </c>
      <c r="E129" s="96" t="s">
        <v>571</v>
      </c>
      <c r="F129" s="96" t="s">
        <v>28</v>
      </c>
      <c r="G129" s="96" t="s">
        <v>28</v>
      </c>
      <c r="H129" s="96" t="s">
        <v>28</v>
      </c>
      <c r="I129" s="96" t="s">
        <v>28</v>
      </c>
      <c r="J129" s="96" t="s">
        <v>841</v>
      </c>
      <c r="K129" s="96" t="s">
        <v>774</v>
      </c>
      <c r="L129" s="96" t="s">
        <v>842</v>
      </c>
      <c r="M129" s="96" t="s">
        <v>28</v>
      </c>
      <c r="N129" s="96" t="s">
        <v>700</v>
      </c>
      <c r="O129" s="96" t="s">
        <v>344</v>
      </c>
      <c r="P129" s="96" t="s">
        <v>495</v>
      </c>
      <c r="Q129" s="96" t="s">
        <v>24</v>
      </c>
      <c r="R129" s="96" t="s">
        <v>25</v>
      </c>
      <c r="S129" s="96" t="s">
        <v>826</v>
      </c>
      <c r="T129" s="96" t="s">
        <v>24</v>
      </c>
      <c r="U129" s="96" t="s">
        <v>24</v>
      </c>
      <c r="V129" s="96" t="s">
        <v>24</v>
      </c>
    </row>
    <row r="130" spans="1:22">
      <c r="A130" s="96" t="s">
        <v>843</v>
      </c>
      <c r="B130" s="96" t="s">
        <v>51</v>
      </c>
      <c r="C130" s="96" t="s">
        <v>24</v>
      </c>
      <c r="D130" s="96" t="s">
        <v>25</v>
      </c>
      <c r="E130" s="96" t="s">
        <v>571</v>
      </c>
      <c r="F130" s="96" t="s">
        <v>28</v>
      </c>
      <c r="G130" s="96" t="s">
        <v>28</v>
      </c>
      <c r="H130" s="96" t="s">
        <v>28</v>
      </c>
      <c r="I130" s="96" t="s">
        <v>28</v>
      </c>
      <c r="J130" s="96" t="s">
        <v>844</v>
      </c>
      <c r="K130" s="96" t="s">
        <v>774</v>
      </c>
      <c r="L130" s="96" t="s">
        <v>845</v>
      </c>
      <c r="M130" s="96" t="s">
        <v>28</v>
      </c>
      <c r="N130" s="96" t="s">
        <v>700</v>
      </c>
      <c r="O130" s="96" t="s">
        <v>344</v>
      </c>
      <c r="P130" s="96" t="s">
        <v>495</v>
      </c>
      <c r="Q130" s="96" t="s">
        <v>24</v>
      </c>
      <c r="R130" s="96" t="s">
        <v>25</v>
      </c>
      <c r="S130" s="96" t="s">
        <v>826</v>
      </c>
      <c r="T130" s="96" t="s">
        <v>24</v>
      </c>
      <c r="U130" s="96" t="s">
        <v>24</v>
      </c>
      <c r="V130" s="96" t="s">
        <v>24</v>
      </c>
    </row>
    <row r="131" spans="1:22">
      <c r="A131" s="96" t="s">
        <v>846</v>
      </c>
      <c r="B131" s="96" t="s">
        <v>51</v>
      </c>
      <c r="C131" s="96" t="s">
        <v>24</v>
      </c>
      <c r="D131" s="96" t="s">
        <v>25</v>
      </c>
      <c r="E131" s="96" t="s">
        <v>571</v>
      </c>
      <c r="F131" s="96" t="s">
        <v>28</v>
      </c>
      <c r="G131" s="96" t="s">
        <v>28</v>
      </c>
      <c r="H131" s="96" t="s">
        <v>28</v>
      </c>
      <c r="I131" s="96" t="s">
        <v>28</v>
      </c>
      <c r="J131" s="96" t="s">
        <v>847</v>
      </c>
      <c r="K131" s="96" t="s">
        <v>774</v>
      </c>
      <c r="L131" s="96" t="s">
        <v>848</v>
      </c>
      <c r="M131" s="96" t="s">
        <v>28</v>
      </c>
      <c r="N131" s="96" t="s">
        <v>700</v>
      </c>
      <c r="O131" s="96" t="s">
        <v>344</v>
      </c>
      <c r="P131" s="96" t="s">
        <v>495</v>
      </c>
      <c r="Q131" s="96" t="s">
        <v>24</v>
      </c>
      <c r="R131" s="96" t="s">
        <v>25</v>
      </c>
      <c r="S131" s="96" t="s">
        <v>826</v>
      </c>
      <c r="T131" s="96" t="s">
        <v>24</v>
      </c>
      <c r="U131" s="96" t="s">
        <v>24</v>
      </c>
      <c r="V131" s="96" t="s">
        <v>24</v>
      </c>
    </row>
    <row r="132" spans="1:22">
      <c r="A132" s="96" t="s">
        <v>849</v>
      </c>
      <c r="B132" s="96" t="s">
        <v>51</v>
      </c>
      <c r="C132" s="96" t="s">
        <v>24</v>
      </c>
      <c r="D132" s="96" t="s">
        <v>25</v>
      </c>
      <c r="E132" s="96" t="s">
        <v>571</v>
      </c>
      <c r="F132" s="96" t="s">
        <v>28</v>
      </c>
      <c r="G132" s="96" t="s">
        <v>28</v>
      </c>
      <c r="H132" s="96" t="s">
        <v>28</v>
      </c>
      <c r="I132" s="96" t="s">
        <v>28</v>
      </c>
      <c r="J132" s="96" t="s">
        <v>850</v>
      </c>
      <c r="K132" s="96" t="s">
        <v>774</v>
      </c>
      <c r="L132" s="96" t="s">
        <v>851</v>
      </c>
      <c r="M132" s="96" t="s">
        <v>28</v>
      </c>
      <c r="N132" s="96" t="s">
        <v>700</v>
      </c>
      <c r="O132" s="96" t="s">
        <v>344</v>
      </c>
      <c r="P132" s="96" t="s">
        <v>495</v>
      </c>
      <c r="Q132" s="96" t="s">
        <v>24</v>
      </c>
      <c r="R132" s="96" t="s">
        <v>25</v>
      </c>
      <c r="S132" s="96" t="s">
        <v>826</v>
      </c>
      <c r="T132" s="96" t="s">
        <v>24</v>
      </c>
      <c r="U132" s="96" t="s">
        <v>24</v>
      </c>
      <c r="V132" s="96" t="s">
        <v>24</v>
      </c>
    </row>
    <row r="133" spans="1:22">
      <c r="A133" s="96" t="s">
        <v>852</v>
      </c>
      <c r="B133" s="96" t="s">
        <v>51</v>
      </c>
      <c r="C133" s="96" t="s">
        <v>24</v>
      </c>
      <c r="D133" s="96" t="s">
        <v>25</v>
      </c>
      <c r="E133" s="96" t="s">
        <v>571</v>
      </c>
      <c r="F133" s="96" t="s">
        <v>28</v>
      </c>
      <c r="G133" s="96" t="s">
        <v>28</v>
      </c>
      <c r="H133" s="96" t="s">
        <v>28</v>
      </c>
      <c r="I133" s="96" t="s">
        <v>28</v>
      </c>
      <c r="J133" s="96" t="s">
        <v>853</v>
      </c>
      <c r="K133" s="96" t="s">
        <v>774</v>
      </c>
      <c r="L133" s="96" t="s">
        <v>854</v>
      </c>
      <c r="M133" s="96" t="s">
        <v>28</v>
      </c>
      <c r="N133" s="96" t="s">
        <v>700</v>
      </c>
      <c r="O133" s="96" t="s">
        <v>344</v>
      </c>
      <c r="P133" s="96" t="s">
        <v>495</v>
      </c>
      <c r="Q133" s="96" t="s">
        <v>24</v>
      </c>
      <c r="R133" s="96" t="s">
        <v>25</v>
      </c>
      <c r="S133" s="96" t="s">
        <v>826</v>
      </c>
      <c r="T133" s="96" t="s">
        <v>24</v>
      </c>
      <c r="U133" s="96" t="s">
        <v>24</v>
      </c>
      <c r="V133" s="96" t="s">
        <v>24</v>
      </c>
    </row>
    <row r="134" spans="1:22">
      <c r="A134" s="96" t="s">
        <v>855</v>
      </c>
      <c r="B134" s="96" t="s">
        <v>51</v>
      </c>
      <c r="C134" s="96" t="s">
        <v>24</v>
      </c>
      <c r="D134" s="96" t="s">
        <v>25</v>
      </c>
      <c r="E134" s="96" t="s">
        <v>571</v>
      </c>
      <c r="F134" s="96" t="s">
        <v>28</v>
      </c>
      <c r="G134" s="96" t="s">
        <v>28</v>
      </c>
      <c r="H134" s="96" t="s">
        <v>28</v>
      </c>
      <c r="I134" s="96" t="s">
        <v>28</v>
      </c>
      <c r="J134" s="96" t="s">
        <v>856</v>
      </c>
      <c r="K134" s="96" t="s">
        <v>774</v>
      </c>
      <c r="L134" s="96" t="s">
        <v>857</v>
      </c>
      <c r="M134" s="96" t="s">
        <v>28</v>
      </c>
      <c r="N134" s="96" t="s">
        <v>700</v>
      </c>
      <c r="O134" s="96" t="s">
        <v>344</v>
      </c>
      <c r="P134" s="96" t="s">
        <v>495</v>
      </c>
      <c r="Q134" s="96" t="s">
        <v>24</v>
      </c>
      <c r="R134" s="96" t="s">
        <v>25</v>
      </c>
      <c r="S134" s="96" t="s">
        <v>826</v>
      </c>
      <c r="T134" s="96" t="s">
        <v>24</v>
      </c>
      <c r="U134" s="96" t="s">
        <v>24</v>
      </c>
      <c r="V134" s="96" t="s">
        <v>24</v>
      </c>
    </row>
    <row r="135" spans="1:22">
      <c r="A135" s="96" t="s">
        <v>858</v>
      </c>
      <c r="B135" s="96" t="s">
        <v>51</v>
      </c>
      <c r="C135" s="96" t="s">
        <v>24</v>
      </c>
      <c r="D135" s="96" t="s">
        <v>25</v>
      </c>
      <c r="E135" s="96" t="s">
        <v>571</v>
      </c>
      <c r="F135" s="96" t="s">
        <v>28</v>
      </c>
      <c r="G135" s="96" t="s">
        <v>28</v>
      </c>
      <c r="H135" s="96" t="s">
        <v>28</v>
      </c>
      <c r="I135" s="96" t="s">
        <v>28</v>
      </c>
      <c r="J135" s="96" t="s">
        <v>859</v>
      </c>
      <c r="K135" s="96" t="s">
        <v>774</v>
      </c>
      <c r="L135" s="96" t="s">
        <v>860</v>
      </c>
      <c r="M135" s="96" t="s">
        <v>28</v>
      </c>
      <c r="N135" s="96" t="s">
        <v>700</v>
      </c>
      <c r="O135" s="96" t="s">
        <v>344</v>
      </c>
      <c r="P135" s="96" t="s">
        <v>495</v>
      </c>
      <c r="Q135" s="96" t="s">
        <v>24</v>
      </c>
      <c r="R135" s="96" t="s">
        <v>25</v>
      </c>
      <c r="S135" s="96" t="s">
        <v>826</v>
      </c>
      <c r="T135" s="96" t="s">
        <v>24</v>
      </c>
      <c r="U135" s="96" t="s">
        <v>24</v>
      </c>
      <c r="V135" s="96" t="s">
        <v>24</v>
      </c>
    </row>
    <row r="136" spans="1:22">
      <c r="A136" s="96" t="s">
        <v>861</v>
      </c>
      <c r="B136" s="96" t="s">
        <v>51</v>
      </c>
      <c r="C136" s="96" t="s">
        <v>24</v>
      </c>
      <c r="D136" s="96" t="s">
        <v>25</v>
      </c>
      <c r="E136" s="96" t="s">
        <v>571</v>
      </c>
      <c r="F136" s="96" t="s">
        <v>28</v>
      </c>
      <c r="G136" s="96" t="s">
        <v>28</v>
      </c>
      <c r="H136" s="96" t="s">
        <v>28</v>
      </c>
      <c r="I136" s="96" t="s">
        <v>28</v>
      </c>
      <c r="J136" s="96" t="s">
        <v>862</v>
      </c>
      <c r="K136" s="96" t="s">
        <v>774</v>
      </c>
      <c r="L136" s="96" t="s">
        <v>863</v>
      </c>
      <c r="M136" s="96" t="s">
        <v>28</v>
      </c>
      <c r="N136" s="96" t="s">
        <v>700</v>
      </c>
      <c r="O136" s="96" t="s">
        <v>344</v>
      </c>
      <c r="P136" s="96" t="s">
        <v>495</v>
      </c>
      <c r="Q136" s="96" t="s">
        <v>24</v>
      </c>
      <c r="R136" s="96" t="s">
        <v>25</v>
      </c>
      <c r="S136" s="96" t="s">
        <v>826</v>
      </c>
      <c r="T136" s="96" t="s">
        <v>24</v>
      </c>
      <c r="U136" s="96" t="s">
        <v>24</v>
      </c>
      <c r="V136" s="96" t="s">
        <v>24</v>
      </c>
    </row>
    <row r="137" spans="1:22">
      <c r="A137" s="96" t="s">
        <v>864</v>
      </c>
      <c r="B137" s="96" t="s">
        <v>51</v>
      </c>
      <c r="C137" s="96" t="s">
        <v>24</v>
      </c>
      <c r="D137" s="96" t="s">
        <v>25</v>
      </c>
      <c r="E137" s="96" t="s">
        <v>571</v>
      </c>
      <c r="F137" s="96" t="s">
        <v>28</v>
      </c>
      <c r="G137" s="96" t="s">
        <v>28</v>
      </c>
      <c r="H137" s="96" t="s">
        <v>28</v>
      </c>
      <c r="I137" s="96" t="s">
        <v>28</v>
      </c>
      <c r="J137" s="96" t="s">
        <v>865</v>
      </c>
      <c r="K137" s="96" t="s">
        <v>774</v>
      </c>
      <c r="L137" s="96" t="s">
        <v>866</v>
      </c>
      <c r="M137" s="96" t="s">
        <v>28</v>
      </c>
      <c r="N137" s="96" t="s">
        <v>700</v>
      </c>
      <c r="O137" s="96" t="s">
        <v>344</v>
      </c>
      <c r="P137" s="96" t="s">
        <v>495</v>
      </c>
      <c r="Q137" s="96" t="s">
        <v>24</v>
      </c>
      <c r="R137" s="96" t="s">
        <v>25</v>
      </c>
      <c r="S137" s="96" t="s">
        <v>826</v>
      </c>
      <c r="T137" s="96" t="s">
        <v>24</v>
      </c>
      <c r="U137" s="96" t="s">
        <v>24</v>
      </c>
      <c r="V137" s="96" t="s">
        <v>24</v>
      </c>
    </row>
    <row r="138" spans="1:22">
      <c r="A138" s="96" t="s">
        <v>867</v>
      </c>
      <c r="B138" s="96" t="s">
        <v>51</v>
      </c>
      <c r="C138" s="96" t="s">
        <v>24</v>
      </c>
      <c r="D138" s="96" t="s">
        <v>25</v>
      </c>
      <c r="E138" s="96" t="s">
        <v>571</v>
      </c>
      <c r="F138" s="96" t="s">
        <v>28</v>
      </c>
      <c r="G138" s="96" t="s">
        <v>28</v>
      </c>
      <c r="H138" s="96" t="s">
        <v>28</v>
      </c>
      <c r="I138" s="96" t="s">
        <v>28</v>
      </c>
      <c r="J138" s="96" t="s">
        <v>868</v>
      </c>
      <c r="K138" s="96" t="s">
        <v>774</v>
      </c>
      <c r="L138" s="96" t="s">
        <v>869</v>
      </c>
      <c r="M138" s="96" t="s">
        <v>28</v>
      </c>
      <c r="N138" s="96" t="s">
        <v>700</v>
      </c>
      <c r="O138" s="96" t="s">
        <v>344</v>
      </c>
      <c r="P138" s="96" t="s">
        <v>495</v>
      </c>
      <c r="Q138" s="96" t="s">
        <v>24</v>
      </c>
      <c r="R138" s="96" t="s">
        <v>25</v>
      </c>
      <c r="S138" s="96" t="s">
        <v>826</v>
      </c>
      <c r="T138" s="96" t="s">
        <v>24</v>
      </c>
      <c r="U138" s="96" t="s">
        <v>24</v>
      </c>
      <c r="V138" s="96" t="s">
        <v>24</v>
      </c>
    </row>
    <row r="139" spans="1:22">
      <c r="A139" s="96" t="s">
        <v>870</v>
      </c>
      <c r="B139" s="96" t="s">
        <v>51</v>
      </c>
      <c r="C139" s="96" t="s">
        <v>24</v>
      </c>
      <c r="D139" s="96" t="s">
        <v>25</v>
      </c>
      <c r="E139" s="96" t="s">
        <v>571</v>
      </c>
      <c r="F139" s="96" t="s">
        <v>28</v>
      </c>
      <c r="G139" s="96" t="s">
        <v>28</v>
      </c>
      <c r="H139" s="96" t="s">
        <v>28</v>
      </c>
      <c r="I139" s="96" t="s">
        <v>28</v>
      </c>
      <c r="J139" s="96" t="s">
        <v>871</v>
      </c>
      <c r="K139" s="96" t="s">
        <v>774</v>
      </c>
      <c r="L139" s="96" t="s">
        <v>872</v>
      </c>
      <c r="M139" s="96" t="s">
        <v>28</v>
      </c>
      <c r="N139" s="96" t="s">
        <v>700</v>
      </c>
      <c r="O139" s="96" t="s">
        <v>344</v>
      </c>
      <c r="P139" s="96" t="s">
        <v>495</v>
      </c>
      <c r="Q139" s="96" t="s">
        <v>24</v>
      </c>
      <c r="R139" s="96" t="s">
        <v>25</v>
      </c>
      <c r="S139" s="96" t="s">
        <v>826</v>
      </c>
      <c r="T139" s="96" t="s">
        <v>24</v>
      </c>
      <c r="U139" s="96" t="s">
        <v>24</v>
      </c>
      <c r="V139" s="96" t="s">
        <v>24</v>
      </c>
    </row>
    <row r="140" spans="1:22">
      <c r="A140" s="96" t="s">
        <v>400</v>
      </c>
      <c r="B140" s="96" t="s">
        <v>51</v>
      </c>
      <c r="C140" s="96" t="s">
        <v>24</v>
      </c>
      <c r="D140" s="96" t="s">
        <v>25</v>
      </c>
      <c r="E140" s="96" t="s">
        <v>561</v>
      </c>
      <c r="F140" s="96" t="s">
        <v>28</v>
      </c>
      <c r="G140" s="96" t="s">
        <v>28</v>
      </c>
      <c r="H140" s="96" t="s">
        <v>28</v>
      </c>
      <c r="I140" s="96" t="s">
        <v>28</v>
      </c>
      <c r="J140" s="96" t="s">
        <v>402</v>
      </c>
      <c r="K140" s="96" t="s">
        <v>24</v>
      </c>
      <c r="L140" s="96" t="s">
        <v>403</v>
      </c>
      <c r="M140" s="96" t="s">
        <v>28</v>
      </c>
      <c r="N140" s="96" t="s">
        <v>24</v>
      </c>
      <c r="O140" s="96" t="s">
        <v>24</v>
      </c>
      <c r="P140" s="96" t="s">
        <v>24</v>
      </c>
      <c r="Q140" s="96" t="s">
        <v>24</v>
      </c>
      <c r="R140" s="96" t="s">
        <v>54</v>
      </c>
      <c r="S140" s="96" t="s">
        <v>24</v>
      </c>
      <c r="T140" s="96" t="s">
        <v>24</v>
      </c>
      <c r="U140" s="96" t="s">
        <v>24</v>
      </c>
      <c r="V140" s="96" t="s">
        <v>24</v>
      </c>
    </row>
    <row r="141" spans="1:22">
      <c r="A141" s="96" t="s">
        <v>404</v>
      </c>
      <c r="B141" s="96" t="s">
        <v>51</v>
      </c>
      <c r="C141" s="96" t="s">
        <v>24</v>
      </c>
      <c r="D141" s="96" t="s">
        <v>25</v>
      </c>
      <c r="E141" s="96" t="s">
        <v>538</v>
      </c>
      <c r="F141" s="96" t="s">
        <v>28</v>
      </c>
      <c r="G141" s="96" t="s">
        <v>28</v>
      </c>
      <c r="H141" s="96" t="s">
        <v>28</v>
      </c>
      <c r="I141" s="96" t="s">
        <v>28</v>
      </c>
      <c r="J141" s="96" t="s">
        <v>406</v>
      </c>
      <c r="K141" s="96" t="s">
        <v>407</v>
      </c>
      <c r="L141" s="96" t="s">
        <v>408</v>
      </c>
      <c r="M141" s="96" t="s">
        <v>28</v>
      </c>
      <c r="N141" s="96" t="s">
        <v>24</v>
      </c>
      <c r="O141" s="96" t="s">
        <v>24</v>
      </c>
      <c r="P141" s="96" t="s">
        <v>24</v>
      </c>
      <c r="Q141" s="96" t="s">
        <v>24</v>
      </c>
      <c r="R141" s="96" t="s">
        <v>24</v>
      </c>
      <c r="S141" s="96" t="s">
        <v>24</v>
      </c>
      <c r="T141" s="96" t="s">
        <v>24</v>
      </c>
      <c r="U141" s="96" t="s">
        <v>24</v>
      </c>
      <c r="V141" s="96" t="s">
        <v>24</v>
      </c>
    </row>
    <row r="142" spans="1:22">
      <c r="A142" s="96" t="s">
        <v>873</v>
      </c>
      <c r="B142" s="96" t="s">
        <v>51</v>
      </c>
      <c r="C142" s="96" t="s">
        <v>874</v>
      </c>
      <c r="D142" s="96" t="s">
        <v>25</v>
      </c>
      <c r="E142" s="96" t="s">
        <v>571</v>
      </c>
      <c r="F142" s="96" t="s">
        <v>28</v>
      </c>
      <c r="G142" s="96" t="s">
        <v>28</v>
      </c>
      <c r="H142" s="96" t="s">
        <v>28</v>
      </c>
      <c r="I142" s="96" t="s">
        <v>28</v>
      </c>
      <c r="J142" s="96" t="s">
        <v>875</v>
      </c>
      <c r="K142" s="96" t="s">
        <v>412</v>
      </c>
      <c r="L142" s="96" t="s">
        <v>876</v>
      </c>
      <c r="M142" s="96" t="s">
        <v>28</v>
      </c>
      <c r="N142" s="96" t="s">
        <v>700</v>
      </c>
      <c r="O142" s="96" t="s">
        <v>28</v>
      </c>
      <c r="P142" s="96" t="s">
        <v>28</v>
      </c>
      <c r="Q142" s="96" t="s">
        <v>24</v>
      </c>
      <c r="R142" s="96" t="s">
        <v>63</v>
      </c>
      <c r="S142" s="96" t="s">
        <v>877</v>
      </c>
      <c r="T142" s="96" t="s">
        <v>24</v>
      </c>
      <c r="U142" s="96" t="s">
        <v>24</v>
      </c>
      <c r="V142" s="96" t="s">
        <v>24</v>
      </c>
    </row>
    <row r="143" spans="1:22">
      <c r="A143" s="96" t="s">
        <v>878</v>
      </c>
      <c r="B143" s="96" t="s">
        <v>51</v>
      </c>
      <c r="C143" s="96" t="s">
        <v>24</v>
      </c>
      <c r="D143" s="96" t="s">
        <v>25</v>
      </c>
      <c r="E143" s="96" t="s">
        <v>571</v>
      </c>
      <c r="F143" s="96" t="s">
        <v>28</v>
      </c>
      <c r="G143" s="96" t="s">
        <v>28</v>
      </c>
      <c r="H143" s="96" t="s">
        <v>28</v>
      </c>
      <c r="I143" s="96" t="s">
        <v>28</v>
      </c>
      <c r="J143" s="96" t="s">
        <v>879</v>
      </c>
      <c r="K143" s="96" t="s">
        <v>407</v>
      </c>
      <c r="L143" s="96" t="s">
        <v>880</v>
      </c>
      <c r="M143" s="96" t="s">
        <v>28</v>
      </c>
      <c r="N143" s="96" t="s">
        <v>700</v>
      </c>
      <c r="O143" s="96" t="s">
        <v>433</v>
      </c>
      <c r="P143" s="96" t="s">
        <v>499</v>
      </c>
      <c r="Q143" s="96" t="s">
        <v>24</v>
      </c>
      <c r="R143" s="96" t="s">
        <v>54</v>
      </c>
      <c r="S143" s="96" t="s">
        <v>881</v>
      </c>
      <c r="T143" s="96" t="s">
        <v>24</v>
      </c>
      <c r="U143" s="96" t="s">
        <v>24</v>
      </c>
      <c r="V143" s="96" t="s">
        <v>24</v>
      </c>
    </row>
    <row r="144" spans="1:22">
      <c r="A144" s="96" t="s">
        <v>882</v>
      </c>
      <c r="B144" s="96" t="s">
        <v>51</v>
      </c>
      <c r="C144" s="96" t="s">
        <v>24</v>
      </c>
      <c r="D144" s="96" t="s">
        <v>25</v>
      </c>
      <c r="E144" s="96" t="s">
        <v>538</v>
      </c>
      <c r="F144" s="96" t="s">
        <v>28</v>
      </c>
      <c r="G144" s="96" t="s">
        <v>28</v>
      </c>
      <c r="H144" s="96" t="s">
        <v>28</v>
      </c>
      <c r="I144" s="96" t="s">
        <v>28</v>
      </c>
      <c r="J144" s="96" t="s">
        <v>883</v>
      </c>
      <c r="K144" s="96" t="s">
        <v>774</v>
      </c>
      <c r="L144" s="96" t="s">
        <v>884</v>
      </c>
      <c r="M144" s="96" t="s">
        <v>28</v>
      </c>
      <c r="N144" s="96" t="s">
        <v>700</v>
      </c>
      <c r="O144" s="96" t="s">
        <v>433</v>
      </c>
      <c r="P144" s="96" t="s">
        <v>495</v>
      </c>
      <c r="Q144" s="96" t="s">
        <v>24</v>
      </c>
      <c r="R144" s="96" t="s">
        <v>63</v>
      </c>
      <c r="S144" s="96" t="s">
        <v>885</v>
      </c>
      <c r="T144" s="96" t="s">
        <v>24</v>
      </c>
      <c r="U144" s="96" t="s">
        <v>24</v>
      </c>
      <c r="V144" s="96" t="s">
        <v>24</v>
      </c>
    </row>
    <row r="145" spans="1:22">
      <c r="A145" s="96" t="s">
        <v>886</v>
      </c>
      <c r="B145" s="96" t="s">
        <v>51</v>
      </c>
      <c r="C145" s="96" t="s">
        <v>24</v>
      </c>
      <c r="D145" s="96" t="s">
        <v>25</v>
      </c>
      <c r="E145" s="96" t="s">
        <v>538</v>
      </c>
      <c r="F145" s="96" t="s">
        <v>28</v>
      </c>
      <c r="G145" s="96" t="s">
        <v>28</v>
      </c>
      <c r="H145" s="96" t="s">
        <v>28</v>
      </c>
      <c r="I145" s="96" t="s">
        <v>28</v>
      </c>
      <c r="J145" s="96" t="s">
        <v>887</v>
      </c>
      <c r="K145" s="96" t="s">
        <v>774</v>
      </c>
      <c r="L145" s="96" t="s">
        <v>888</v>
      </c>
      <c r="M145" s="96" t="s">
        <v>28</v>
      </c>
      <c r="N145" s="96" t="s">
        <v>700</v>
      </c>
      <c r="O145" s="96" t="s">
        <v>433</v>
      </c>
      <c r="P145" s="96" t="s">
        <v>495</v>
      </c>
      <c r="Q145" s="96" t="s">
        <v>24</v>
      </c>
      <c r="R145" s="96" t="s">
        <v>63</v>
      </c>
      <c r="S145" s="96" t="s">
        <v>885</v>
      </c>
      <c r="T145" s="96" t="s">
        <v>24</v>
      </c>
      <c r="U145" s="96" t="s">
        <v>24</v>
      </c>
      <c r="V145" s="96" t="s">
        <v>24</v>
      </c>
    </row>
    <row r="146" spans="1:22">
      <c r="A146" s="96" t="s">
        <v>889</v>
      </c>
      <c r="B146" s="96" t="s">
        <v>51</v>
      </c>
      <c r="C146" s="96" t="s">
        <v>24</v>
      </c>
      <c r="D146" s="96" t="s">
        <v>25</v>
      </c>
      <c r="E146" s="96" t="s">
        <v>538</v>
      </c>
      <c r="F146" s="96" t="s">
        <v>28</v>
      </c>
      <c r="G146" s="96" t="s">
        <v>28</v>
      </c>
      <c r="H146" s="96" t="s">
        <v>28</v>
      </c>
      <c r="I146" s="96" t="s">
        <v>28</v>
      </c>
      <c r="J146" s="96" t="s">
        <v>890</v>
      </c>
      <c r="K146" s="96" t="s">
        <v>774</v>
      </c>
      <c r="L146" s="96" t="s">
        <v>891</v>
      </c>
      <c r="M146" s="96" t="s">
        <v>28</v>
      </c>
      <c r="N146" s="96" t="s">
        <v>700</v>
      </c>
      <c r="O146" s="96" t="s">
        <v>433</v>
      </c>
      <c r="P146" s="96" t="s">
        <v>495</v>
      </c>
      <c r="Q146" s="96" t="s">
        <v>24</v>
      </c>
      <c r="R146" s="96" t="s">
        <v>63</v>
      </c>
      <c r="S146" s="96" t="s">
        <v>885</v>
      </c>
      <c r="T146" s="96" t="s">
        <v>24</v>
      </c>
      <c r="U146" s="96" t="s">
        <v>24</v>
      </c>
      <c r="V146" s="96" t="s">
        <v>24</v>
      </c>
    </row>
    <row r="147" spans="1:22">
      <c r="A147" s="96" t="s">
        <v>892</v>
      </c>
      <c r="B147" s="96" t="s">
        <v>51</v>
      </c>
      <c r="C147" s="96" t="s">
        <v>24</v>
      </c>
      <c r="D147" s="96" t="s">
        <v>25</v>
      </c>
      <c r="E147" s="96" t="s">
        <v>538</v>
      </c>
      <c r="F147" s="96" t="s">
        <v>28</v>
      </c>
      <c r="G147" s="96" t="s">
        <v>28</v>
      </c>
      <c r="H147" s="96" t="s">
        <v>28</v>
      </c>
      <c r="I147" s="96" t="s">
        <v>28</v>
      </c>
      <c r="J147" s="96" t="s">
        <v>893</v>
      </c>
      <c r="K147" s="96" t="s">
        <v>774</v>
      </c>
      <c r="L147" s="96" t="s">
        <v>894</v>
      </c>
      <c r="M147" s="96" t="s">
        <v>28</v>
      </c>
      <c r="N147" s="96" t="s">
        <v>700</v>
      </c>
      <c r="O147" s="96" t="s">
        <v>433</v>
      </c>
      <c r="P147" s="96" t="s">
        <v>495</v>
      </c>
      <c r="Q147" s="96" t="s">
        <v>24</v>
      </c>
      <c r="R147" s="96" t="s">
        <v>63</v>
      </c>
      <c r="S147" s="96" t="s">
        <v>885</v>
      </c>
      <c r="T147" s="96" t="s">
        <v>24</v>
      </c>
      <c r="U147" s="96" t="s">
        <v>24</v>
      </c>
      <c r="V147" s="96" t="s">
        <v>24</v>
      </c>
    </row>
    <row r="148" spans="1:22">
      <c r="A148" s="96" t="s">
        <v>895</v>
      </c>
      <c r="B148" s="96" t="s">
        <v>51</v>
      </c>
      <c r="C148" s="96" t="s">
        <v>24</v>
      </c>
      <c r="D148" s="96" t="s">
        <v>25</v>
      </c>
      <c r="E148" s="96" t="s">
        <v>538</v>
      </c>
      <c r="F148" s="96" t="s">
        <v>28</v>
      </c>
      <c r="G148" s="96" t="s">
        <v>28</v>
      </c>
      <c r="H148" s="96" t="s">
        <v>28</v>
      </c>
      <c r="I148" s="96" t="s">
        <v>28</v>
      </c>
      <c r="J148" s="96" t="s">
        <v>896</v>
      </c>
      <c r="K148" s="96" t="s">
        <v>774</v>
      </c>
      <c r="L148" s="96" t="s">
        <v>897</v>
      </c>
      <c r="M148" s="96" t="s">
        <v>28</v>
      </c>
      <c r="N148" s="96" t="s">
        <v>700</v>
      </c>
      <c r="O148" s="96" t="s">
        <v>433</v>
      </c>
      <c r="P148" s="96" t="s">
        <v>495</v>
      </c>
      <c r="Q148" s="96" t="s">
        <v>24</v>
      </c>
      <c r="R148" s="96" t="s">
        <v>63</v>
      </c>
      <c r="S148" s="96" t="s">
        <v>885</v>
      </c>
      <c r="T148" s="96" t="s">
        <v>24</v>
      </c>
      <c r="U148" s="96" t="s">
        <v>24</v>
      </c>
      <c r="V148" s="96" t="s">
        <v>24</v>
      </c>
    </row>
    <row r="149" spans="1:22">
      <c r="A149" s="96" t="s">
        <v>898</v>
      </c>
      <c r="B149" s="96" t="s">
        <v>51</v>
      </c>
      <c r="C149" s="96" t="s">
        <v>24</v>
      </c>
      <c r="D149" s="96" t="s">
        <v>25</v>
      </c>
      <c r="E149" s="96" t="s">
        <v>538</v>
      </c>
      <c r="F149" s="96" t="s">
        <v>28</v>
      </c>
      <c r="G149" s="96" t="s">
        <v>28</v>
      </c>
      <c r="H149" s="96" t="s">
        <v>28</v>
      </c>
      <c r="I149" s="96" t="s">
        <v>28</v>
      </c>
      <c r="J149" s="96" t="s">
        <v>899</v>
      </c>
      <c r="K149" s="96" t="s">
        <v>774</v>
      </c>
      <c r="L149" s="96" t="s">
        <v>900</v>
      </c>
      <c r="M149" s="96" t="s">
        <v>28</v>
      </c>
      <c r="N149" s="96" t="s">
        <v>700</v>
      </c>
      <c r="O149" s="96" t="s">
        <v>433</v>
      </c>
      <c r="P149" s="96" t="s">
        <v>495</v>
      </c>
      <c r="Q149" s="96" t="s">
        <v>24</v>
      </c>
      <c r="R149" s="96" t="s">
        <v>63</v>
      </c>
      <c r="S149" s="96" t="s">
        <v>885</v>
      </c>
      <c r="T149" s="96" t="s">
        <v>24</v>
      </c>
      <c r="U149" s="96" t="s">
        <v>24</v>
      </c>
      <c r="V149" s="96" t="s">
        <v>24</v>
      </c>
    </row>
    <row r="150" spans="1:22">
      <c r="A150" s="96" t="s">
        <v>901</v>
      </c>
      <c r="B150" s="96" t="s">
        <v>51</v>
      </c>
      <c r="C150" s="96" t="s">
        <v>24</v>
      </c>
      <c r="D150" s="96" t="s">
        <v>25</v>
      </c>
      <c r="E150" s="96" t="s">
        <v>538</v>
      </c>
      <c r="F150" s="96" t="s">
        <v>28</v>
      </c>
      <c r="G150" s="96" t="s">
        <v>28</v>
      </c>
      <c r="H150" s="96" t="s">
        <v>28</v>
      </c>
      <c r="I150" s="96" t="s">
        <v>28</v>
      </c>
      <c r="J150" s="96" t="s">
        <v>902</v>
      </c>
      <c r="K150" s="96" t="s">
        <v>774</v>
      </c>
      <c r="L150" s="96" t="s">
        <v>903</v>
      </c>
      <c r="M150" s="96" t="s">
        <v>28</v>
      </c>
      <c r="N150" s="96" t="s">
        <v>700</v>
      </c>
      <c r="O150" s="96" t="s">
        <v>433</v>
      </c>
      <c r="P150" s="96" t="s">
        <v>495</v>
      </c>
      <c r="Q150" s="96" t="s">
        <v>24</v>
      </c>
      <c r="R150" s="96" t="s">
        <v>63</v>
      </c>
      <c r="S150" s="96" t="s">
        <v>885</v>
      </c>
      <c r="T150" s="96" t="s">
        <v>24</v>
      </c>
      <c r="U150" s="96" t="s">
        <v>24</v>
      </c>
      <c r="V150" s="96" t="s">
        <v>24</v>
      </c>
    </row>
    <row r="151" spans="1:22">
      <c r="A151" s="96" t="s">
        <v>904</v>
      </c>
      <c r="B151" s="96" t="s">
        <v>51</v>
      </c>
      <c r="C151" s="96" t="s">
        <v>24</v>
      </c>
      <c r="D151" s="96" t="s">
        <v>25</v>
      </c>
      <c r="E151" s="96" t="s">
        <v>538</v>
      </c>
      <c r="F151" s="96" t="s">
        <v>28</v>
      </c>
      <c r="G151" s="96" t="s">
        <v>28</v>
      </c>
      <c r="H151" s="96" t="s">
        <v>28</v>
      </c>
      <c r="I151" s="96" t="s">
        <v>28</v>
      </c>
      <c r="J151" s="96" t="s">
        <v>905</v>
      </c>
      <c r="K151" s="96" t="s">
        <v>774</v>
      </c>
      <c r="L151" s="96" t="s">
        <v>906</v>
      </c>
      <c r="M151" s="96" t="s">
        <v>28</v>
      </c>
      <c r="N151" s="96" t="s">
        <v>700</v>
      </c>
      <c r="O151" s="96" t="s">
        <v>433</v>
      </c>
      <c r="P151" s="96" t="s">
        <v>495</v>
      </c>
      <c r="Q151" s="96" t="s">
        <v>24</v>
      </c>
      <c r="R151" s="96" t="s">
        <v>63</v>
      </c>
      <c r="S151" s="96" t="s">
        <v>885</v>
      </c>
      <c r="T151" s="96" t="s">
        <v>24</v>
      </c>
      <c r="U151" s="96" t="s">
        <v>24</v>
      </c>
      <c r="V151" s="96" t="s">
        <v>24</v>
      </c>
    </row>
    <row r="152" spans="1:22">
      <c r="A152" s="96" t="s">
        <v>907</v>
      </c>
      <c r="B152" s="96" t="s">
        <v>51</v>
      </c>
      <c r="C152" s="96" t="s">
        <v>24</v>
      </c>
      <c r="D152" s="96" t="s">
        <v>25</v>
      </c>
      <c r="E152" s="96" t="s">
        <v>538</v>
      </c>
      <c r="F152" s="96" t="s">
        <v>28</v>
      </c>
      <c r="G152" s="96" t="s">
        <v>28</v>
      </c>
      <c r="H152" s="96" t="s">
        <v>28</v>
      </c>
      <c r="I152" s="96" t="s">
        <v>28</v>
      </c>
      <c r="J152" s="96" t="s">
        <v>908</v>
      </c>
      <c r="K152" s="96" t="s">
        <v>774</v>
      </c>
      <c r="L152" s="96" t="s">
        <v>909</v>
      </c>
      <c r="M152" s="96" t="s">
        <v>28</v>
      </c>
      <c r="N152" s="96" t="s">
        <v>700</v>
      </c>
      <c r="O152" s="96" t="s">
        <v>433</v>
      </c>
      <c r="P152" s="96" t="s">
        <v>495</v>
      </c>
      <c r="Q152" s="96" t="s">
        <v>24</v>
      </c>
      <c r="R152" s="96" t="s">
        <v>63</v>
      </c>
      <c r="S152" s="96" t="s">
        <v>885</v>
      </c>
      <c r="T152" s="96" t="s">
        <v>24</v>
      </c>
      <c r="U152" s="96" t="s">
        <v>24</v>
      </c>
      <c r="V152" s="96" t="s">
        <v>24</v>
      </c>
    </row>
    <row r="153" spans="1:22">
      <c r="A153" s="96" t="s">
        <v>910</v>
      </c>
      <c r="B153" s="96" t="s">
        <v>51</v>
      </c>
      <c r="C153" s="96" t="s">
        <v>24</v>
      </c>
      <c r="D153" s="96" t="s">
        <v>25</v>
      </c>
      <c r="E153" s="96" t="s">
        <v>571</v>
      </c>
      <c r="F153" s="96" t="s">
        <v>28</v>
      </c>
      <c r="G153" s="96" t="s">
        <v>28</v>
      </c>
      <c r="H153" s="96" t="s">
        <v>28</v>
      </c>
      <c r="I153" s="96" t="s">
        <v>28</v>
      </c>
      <c r="J153" s="96" t="s">
        <v>911</v>
      </c>
      <c r="K153" s="96" t="s">
        <v>774</v>
      </c>
      <c r="L153" s="96" t="s">
        <v>912</v>
      </c>
      <c r="M153" s="96" t="s">
        <v>28</v>
      </c>
      <c r="N153" s="96" t="s">
        <v>700</v>
      </c>
      <c r="O153" s="96" t="s">
        <v>433</v>
      </c>
      <c r="P153" s="96" t="s">
        <v>495</v>
      </c>
      <c r="Q153" s="96" t="s">
        <v>24</v>
      </c>
      <c r="R153" s="96" t="s">
        <v>63</v>
      </c>
      <c r="S153" s="96" t="s">
        <v>885</v>
      </c>
      <c r="T153" s="96" t="s">
        <v>24</v>
      </c>
      <c r="U153" s="96" t="s">
        <v>24</v>
      </c>
      <c r="V153" s="96" t="s">
        <v>24</v>
      </c>
    </row>
    <row r="154" spans="1:22">
      <c r="A154" s="96" t="s">
        <v>454</v>
      </c>
      <c r="B154" s="96" t="s">
        <v>24</v>
      </c>
      <c r="C154" s="96" t="s">
        <v>24</v>
      </c>
      <c r="D154" s="96" t="s">
        <v>24</v>
      </c>
      <c r="E154" s="96" t="s">
        <v>571</v>
      </c>
      <c r="F154" s="96" t="s">
        <v>24</v>
      </c>
      <c r="G154" s="96" t="s">
        <v>24</v>
      </c>
      <c r="H154" s="96" t="s">
        <v>24</v>
      </c>
      <c r="I154" s="96" t="s">
        <v>24</v>
      </c>
      <c r="J154" s="96" t="s">
        <v>913</v>
      </c>
      <c r="K154" s="96" t="s">
        <v>774</v>
      </c>
      <c r="L154" s="96" t="s">
        <v>914</v>
      </c>
      <c r="M154" s="96" t="s">
        <v>28</v>
      </c>
      <c r="N154" s="96" t="s">
        <v>700</v>
      </c>
      <c r="O154" s="96" t="s">
        <v>433</v>
      </c>
      <c r="P154" s="96" t="s">
        <v>495</v>
      </c>
      <c r="Q154" s="96" t="s">
        <v>24</v>
      </c>
      <c r="R154" s="96" t="s">
        <v>63</v>
      </c>
      <c r="S154" s="96" t="s">
        <v>885</v>
      </c>
      <c r="T154" s="96" t="s">
        <v>24</v>
      </c>
      <c r="U154" s="96" t="s">
        <v>24</v>
      </c>
      <c r="V154" s="96" t="s">
        <v>24</v>
      </c>
    </row>
    <row r="155" spans="1:22">
      <c r="A155" s="96" t="s">
        <v>915</v>
      </c>
      <c r="B155" s="96" t="s">
        <v>51</v>
      </c>
      <c r="C155" s="96" t="s">
        <v>24</v>
      </c>
      <c r="D155" s="96" t="s">
        <v>25</v>
      </c>
      <c r="E155" s="96" t="s">
        <v>571</v>
      </c>
      <c r="F155" s="96" t="s">
        <v>28</v>
      </c>
      <c r="G155" s="96" t="s">
        <v>28</v>
      </c>
      <c r="H155" s="96" t="s">
        <v>28</v>
      </c>
      <c r="I155" s="96" t="s">
        <v>28</v>
      </c>
      <c r="J155" s="96" t="s">
        <v>916</v>
      </c>
      <c r="K155" s="96" t="s">
        <v>774</v>
      </c>
      <c r="L155" s="96" t="s">
        <v>917</v>
      </c>
      <c r="M155" s="96" t="s">
        <v>28</v>
      </c>
      <c r="N155" s="96" t="s">
        <v>700</v>
      </c>
      <c r="O155" s="96" t="s">
        <v>433</v>
      </c>
      <c r="P155" s="96" t="s">
        <v>499</v>
      </c>
      <c r="Q155" s="96" t="s">
        <v>24</v>
      </c>
      <c r="R155" s="96" t="s">
        <v>54</v>
      </c>
      <c r="S155" s="96" t="s">
        <v>918</v>
      </c>
      <c r="T155" s="96" t="s">
        <v>24</v>
      </c>
      <c r="U155" s="96" t="s">
        <v>24</v>
      </c>
      <c r="V155" s="96" t="s">
        <v>24</v>
      </c>
    </row>
    <row r="156" spans="1:22">
      <c r="A156" s="96" t="s">
        <v>919</v>
      </c>
      <c r="B156" s="96" t="s">
        <v>51</v>
      </c>
      <c r="C156" s="96" t="s">
        <v>24</v>
      </c>
      <c r="D156" s="96" t="s">
        <v>25</v>
      </c>
      <c r="E156" s="96" t="s">
        <v>571</v>
      </c>
      <c r="F156" s="96" t="s">
        <v>28</v>
      </c>
      <c r="G156" s="96" t="s">
        <v>28</v>
      </c>
      <c r="H156" s="96" t="s">
        <v>28</v>
      </c>
      <c r="I156" s="96" t="s">
        <v>28</v>
      </c>
      <c r="J156" s="96" t="s">
        <v>920</v>
      </c>
      <c r="K156" s="96" t="s">
        <v>774</v>
      </c>
      <c r="L156" s="96" t="s">
        <v>921</v>
      </c>
      <c r="M156" s="96" t="s">
        <v>28</v>
      </c>
      <c r="N156" s="96" t="s">
        <v>700</v>
      </c>
      <c r="O156" s="96" t="s">
        <v>433</v>
      </c>
      <c r="P156" s="96" t="s">
        <v>495</v>
      </c>
      <c r="Q156" s="96" t="s">
        <v>24</v>
      </c>
      <c r="R156" s="96" t="s">
        <v>63</v>
      </c>
      <c r="S156" s="96" t="s">
        <v>885</v>
      </c>
      <c r="T156" s="96" t="s">
        <v>24</v>
      </c>
      <c r="U156" s="96" t="s">
        <v>24</v>
      </c>
      <c r="V156" s="96" t="s">
        <v>24</v>
      </c>
    </row>
    <row r="157" spans="1:22">
      <c r="A157" s="96" t="s">
        <v>922</v>
      </c>
      <c r="B157" s="96" t="s">
        <v>51</v>
      </c>
      <c r="C157" s="96" t="s">
        <v>24</v>
      </c>
      <c r="D157" s="96" t="s">
        <v>25</v>
      </c>
      <c r="E157" s="96" t="s">
        <v>571</v>
      </c>
      <c r="F157" s="96" t="s">
        <v>28</v>
      </c>
      <c r="G157" s="96" t="s">
        <v>28</v>
      </c>
      <c r="H157" s="96" t="s">
        <v>28</v>
      </c>
      <c r="I157" s="96" t="s">
        <v>28</v>
      </c>
      <c r="J157" s="96" t="s">
        <v>923</v>
      </c>
      <c r="K157" s="96" t="s">
        <v>774</v>
      </c>
      <c r="L157" s="96" t="s">
        <v>924</v>
      </c>
      <c r="M157" s="96" t="s">
        <v>28</v>
      </c>
      <c r="N157" s="96" t="s">
        <v>700</v>
      </c>
      <c r="O157" s="96" t="s">
        <v>433</v>
      </c>
      <c r="P157" s="96" t="s">
        <v>495</v>
      </c>
      <c r="Q157" s="96" t="s">
        <v>24</v>
      </c>
      <c r="R157" s="96" t="s">
        <v>63</v>
      </c>
      <c r="S157" s="96" t="s">
        <v>885</v>
      </c>
      <c r="T157" s="96" t="s">
        <v>24</v>
      </c>
      <c r="U157" s="96" t="s">
        <v>24</v>
      </c>
      <c r="V157" s="96" t="s">
        <v>24</v>
      </c>
    </row>
    <row r="158" spans="1:22">
      <c r="A158" s="96" t="s">
        <v>925</v>
      </c>
      <c r="B158" s="96" t="s">
        <v>51</v>
      </c>
      <c r="C158" s="96" t="s">
        <v>24</v>
      </c>
      <c r="D158" s="96" t="s">
        <v>25</v>
      </c>
      <c r="E158" s="96" t="s">
        <v>571</v>
      </c>
      <c r="F158" s="96" t="s">
        <v>28</v>
      </c>
      <c r="G158" s="96" t="s">
        <v>28</v>
      </c>
      <c r="H158" s="96" t="s">
        <v>28</v>
      </c>
      <c r="I158" s="96" t="s">
        <v>28</v>
      </c>
      <c r="J158" s="96" t="s">
        <v>926</v>
      </c>
      <c r="K158" s="96" t="s">
        <v>774</v>
      </c>
      <c r="L158" s="96" t="s">
        <v>927</v>
      </c>
      <c r="M158" s="96" t="s">
        <v>28</v>
      </c>
      <c r="N158" s="96" t="s">
        <v>700</v>
      </c>
      <c r="O158" s="96" t="s">
        <v>433</v>
      </c>
      <c r="P158" s="96" t="s">
        <v>495</v>
      </c>
      <c r="Q158" s="96" t="s">
        <v>24</v>
      </c>
      <c r="R158" s="96" t="s">
        <v>25</v>
      </c>
      <c r="S158" s="96" t="s">
        <v>826</v>
      </c>
      <c r="T158" s="96" t="s">
        <v>24</v>
      </c>
      <c r="U158" s="96" t="s">
        <v>24</v>
      </c>
      <c r="V158" s="96" t="s">
        <v>24</v>
      </c>
    </row>
    <row r="159" spans="1:22">
      <c r="A159" s="96" t="s">
        <v>928</v>
      </c>
      <c r="B159" s="96" t="s">
        <v>51</v>
      </c>
      <c r="C159" s="96" t="s">
        <v>24</v>
      </c>
      <c r="D159" s="96" t="s">
        <v>25</v>
      </c>
      <c r="E159" s="96" t="s">
        <v>571</v>
      </c>
      <c r="F159" s="96" t="s">
        <v>28</v>
      </c>
      <c r="G159" s="96" t="s">
        <v>28</v>
      </c>
      <c r="H159" s="96" t="s">
        <v>28</v>
      </c>
      <c r="I159" s="96" t="s">
        <v>28</v>
      </c>
      <c r="J159" s="96" t="s">
        <v>929</v>
      </c>
      <c r="K159" s="96" t="s">
        <v>774</v>
      </c>
      <c r="L159" s="96" t="s">
        <v>930</v>
      </c>
      <c r="M159" s="96" t="s">
        <v>28</v>
      </c>
      <c r="N159" s="96" t="s">
        <v>700</v>
      </c>
      <c r="O159" s="96" t="s">
        <v>433</v>
      </c>
      <c r="P159" s="96" t="s">
        <v>495</v>
      </c>
      <c r="Q159" s="96" t="s">
        <v>24</v>
      </c>
      <c r="R159" s="96" t="s">
        <v>63</v>
      </c>
      <c r="S159" s="96" t="s">
        <v>885</v>
      </c>
      <c r="T159" s="96" t="s">
        <v>24</v>
      </c>
      <c r="U159" s="96" t="s">
        <v>24</v>
      </c>
      <c r="V159" s="96" t="s">
        <v>24</v>
      </c>
    </row>
    <row r="160" spans="1:22">
      <c r="A160" s="96" t="s">
        <v>931</v>
      </c>
      <c r="B160" s="96" t="s">
        <v>51</v>
      </c>
      <c r="C160" s="96" t="s">
        <v>24</v>
      </c>
      <c r="D160" s="96" t="s">
        <v>25</v>
      </c>
      <c r="E160" s="96" t="s">
        <v>571</v>
      </c>
      <c r="F160" s="96" t="s">
        <v>28</v>
      </c>
      <c r="G160" s="96" t="s">
        <v>28</v>
      </c>
      <c r="H160" s="96" t="s">
        <v>28</v>
      </c>
      <c r="I160" s="96" t="s">
        <v>28</v>
      </c>
      <c r="J160" s="96" t="s">
        <v>932</v>
      </c>
      <c r="K160" s="96" t="s">
        <v>774</v>
      </c>
      <c r="L160" s="96" t="s">
        <v>933</v>
      </c>
      <c r="M160" s="96" t="s">
        <v>28</v>
      </c>
      <c r="N160" s="96" t="s">
        <v>700</v>
      </c>
      <c r="O160" s="96" t="s">
        <v>28</v>
      </c>
      <c r="P160" s="96" t="s">
        <v>28</v>
      </c>
      <c r="Q160" s="96" t="s">
        <v>24</v>
      </c>
      <c r="R160" s="96" t="s">
        <v>63</v>
      </c>
      <c r="S160" s="96" t="s">
        <v>24</v>
      </c>
      <c r="T160" s="96" t="s">
        <v>24</v>
      </c>
      <c r="U160" s="96" t="s">
        <v>24</v>
      </c>
      <c r="V160" s="96" t="s">
        <v>24</v>
      </c>
    </row>
    <row r="161" spans="1:22">
      <c r="A161" s="96" t="s">
        <v>934</v>
      </c>
      <c r="B161" s="96" t="s">
        <v>51</v>
      </c>
      <c r="C161" s="96" t="s">
        <v>24</v>
      </c>
      <c r="D161" s="96" t="s">
        <v>25</v>
      </c>
      <c r="E161" s="96" t="s">
        <v>571</v>
      </c>
      <c r="F161" s="96" t="s">
        <v>28</v>
      </c>
      <c r="G161" s="96" t="s">
        <v>28</v>
      </c>
      <c r="H161" s="96" t="s">
        <v>28</v>
      </c>
      <c r="I161" s="96" t="s">
        <v>28</v>
      </c>
      <c r="J161" s="96" t="s">
        <v>935</v>
      </c>
      <c r="K161" s="96" t="s">
        <v>774</v>
      </c>
      <c r="L161" s="96" t="s">
        <v>936</v>
      </c>
      <c r="M161" s="96" t="s">
        <v>28</v>
      </c>
      <c r="N161" s="96" t="s">
        <v>700</v>
      </c>
      <c r="O161" s="96" t="s">
        <v>433</v>
      </c>
      <c r="P161" s="96" t="s">
        <v>495</v>
      </c>
      <c r="Q161" s="96" t="s">
        <v>24</v>
      </c>
      <c r="R161" s="96" t="s">
        <v>63</v>
      </c>
      <c r="S161" s="96" t="s">
        <v>885</v>
      </c>
      <c r="T161" s="96" t="s">
        <v>24</v>
      </c>
      <c r="U161" s="96" t="s">
        <v>24</v>
      </c>
      <c r="V161" s="96" t="s">
        <v>24</v>
      </c>
    </row>
    <row r="162" spans="1:22">
      <c r="A162" s="96" t="s">
        <v>937</v>
      </c>
      <c r="B162" s="96" t="s">
        <v>51</v>
      </c>
      <c r="C162" s="96" t="s">
        <v>24</v>
      </c>
      <c r="D162" s="96" t="s">
        <v>25</v>
      </c>
      <c r="E162" s="96" t="s">
        <v>571</v>
      </c>
      <c r="F162" s="96" t="s">
        <v>28</v>
      </c>
      <c r="G162" s="96" t="s">
        <v>28</v>
      </c>
      <c r="H162" s="96" t="s">
        <v>28</v>
      </c>
      <c r="I162" s="96" t="s">
        <v>28</v>
      </c>
      <c r="J162" s="96" t="s">
        <v>938</v>
      </c>
      <c r="K162" s="96" t="s">
        <v>774</v>
      </c>
      <c r="L162" s="96" t="s">
        <v>939</v>
      </c>
      <c r="M162" s="96" t="s">
        <v>28</v>
      </c>
      <c r="N162" s="96" t="s">
        <v>700</v>
      </c>
      <c r="O162" s="96" t="s">
        <v>433</v>
      </c>
      <c r="P162" s="96" t="s">
        <v>495</v>
      </c>
      <c r="Q162" s="96" t="s">
        <v>24</v>
      </c>
      <c r="R162" s="96" t="s">
        <v>54</v>
      </c>
      <c r="S162" s="96" t="s">
        <v>940</v>
      </c>
      <c r="T162" s="96" t="s">
        <v>24</v>
      </c>
      <c r="U162" s="96" t="s">
        <v>24</v>
      </c>
      <c r="V162" s="96" t="s">
        <v>24</v>
      </c>
    </row>
    <row r="163" spans="1:22">
      <c r="A163" s="96" t="s">
        <v>941</v>
      </c>
      <c r="B163" s="96" t="s">
        <v>51</v>
      </c>
      <c r="C163" s="96" t="s">
        <v>24</v>
      </c>
      <c r="D163" s="96" t="s">
        <v>25</v>
      </c>
      <c r="E163" s="96" t="s">
        <v>571</v>
      </c>
      <c r="F163" s="96" t="s">
        <v>28</v>
      </c>
      <c r="G163" s="96" t="s">
        <v>28</v>
      </c>
      <c r="H163" s="96" t="s">
        <v>28</v>
      </c>
      <c r="I163" s="96" t="s">
        <v>28</v>
      </c>
      <c r="J163" s="96" t="s">
        <v>942</v>
      </c>
      <c r="K163" s="96" t="s">
        <v>774</v>
      </c>
      <c r="L163" s="96" t="s">
        <v>943</v>
      </c>
      <c r="M163" s="96" t="s">
        <v>28</v>
      </c>
      <c r="N163" s="96" t="s">
        <v>700</v>
      </c>
      <c r="O163" s="96" t="s">
        <v>433</v>
      </c>
      <c r="P163" s="96" t="s">
        <v>495</v>
      </c>
      <c r="Q163" s="96" t="s">
        <v>24</v>
      </c>
      <c r="R163" s="96" t="s">
        <v>63</v>
      </c>
      <c r="S163" s="96" t="s">
        <v>944</v>
      </c>
      <c r="T163" s="96" t="s">
        <v>24</v>
      </c>
      <c r="U163" s="96" t="s">
        <v>24</v>
      </c>
      <c r="V163" s="96" t="s">
        <v>24</v>
      </c>
    </row>
    <row r="164" spans="1:22">
      <c r="A164" s="96" t="s">
        <v>945</v>
      </c>
      <c r="B164" s="96" t="s">
        <v>51</v>
      </c>
      <c r="C164" s="96" t="s">
        <v>24</v>
      </c>
      <c r="D164" s="96" t="s">
        <v>25</v>
      </c>
      <c r="E164" s="96" t="s">
        <v>571</v>
      </c>
      <c r="F164" s="96" t="s">
        <v>28</v>
      </c>
      <c r="G164" s="96" t="s">
        <v>28</v>
      </c>
      <c r="H164" s="96" t="s">
        <v>28</v>
      </c>
      <c r="I164" s="96" t="s">
        <v>28</v>
      </c>
      <c r="J164" s="96" t="s">
        <v>946</v>
      </c>
      <c r="K164" s="96" t="s">
        <v>774</v>
      </c>
      <c r="L164" s="96" t="s">
        <v>947</v>
      </c>
      <c r="M164" s="96" t="s">
        <v>28</v>
      </c>
      <c r="N164" s="96" t="s">
        <v>700</v>
      </c>
      <c r="O164" s="96" t="s">
        <v>344</v>
      </c>
      <c r="P164" s="96" t="s">
        <v>495</v>
      </c>
      <c r="Q164" s="96" t="s">
        <v>24</v>
      </c>
      <c r="R164" s="96" t="s">
        <v>25</v>
      </c>
      <c r="S164" s="96" t="s">
        <v>826</v>
      </c>
      <c r="T164" s="96" t="s">
        <v>24</v>
      </c>
      <c r="U164" s="96" t="s">
        <v>24</v>
      </c>
      <c r="V164" s="96" t="s">
        <v>24</v>
      </c>
    </row>
    <row r="165" spans="1:22">
      <c r="A165" s="96" t="s">
        <v>948</v>
      </c>
      <c r="B165" s="96" t="s">
        <v>51</v>
      </c>
      <c r="C165" s="96" t="s">
        <v>24</v>
      </c>
      <c r="D165" s="96" t="s">
        <v>25</v>
      </c>
      <c r="E165" s="96" t="s">
        <v>571</v>
      </c>
      <c r="F165" s="96" t="s">
        <v>28</v>
      </c>
      <c r="G165" s="96" t="s">
        <v>28</v>
      </c>
      <c r="H165" s="96" t="s">
        <v>28</v>
      </c>
      <c r="I165" s="96" t="s">
        <v>28</v>
      </c>
      <c r="J165" s="96" t="s">
        <v>949</v>
      </c>
      <c r="K165" s="96" t="s">
        <v>24</v>
      </c>
      <c r="L165" s="96" t="s">
        <v>950</v>
      </c>
      <c r="M165" s="96" t="s">
        <v>28</v>
      </c>
      <c r="N165" s="96" t="s">
        <v>700</v>
      </c>
      <c r="O165" s="96" t="s">
        <v>433</v>
      </c>
      <c r="P165" s="96" t="s">
        <v>495</v>
      </c>
      <c r="Q165" s="96" t="s">
        <v>24</v>
      </c>
      <c r="R165" s="96" t="s">
        <v>25</v>
      </c>
      <c r="S165" s="96" t="s">
        <v>951</v>
      </c>
      <c r="T165" s="96" t="s">
        <v>24</v>
      </c>
      <c r="U165" s="96" t="s">
        <v>24</v>
      </c>
      <c r="V165" s="96" t="s">
        <v>24</v>
      </c>
    </row>
    <row r="166" spans="1:22">
      <c r="A166" s="96" t="s">
        <v>952</v>
      </c>
      <c r="B166" s="96" t="s">
        <v>51</v>
      </c>
      <c r="C166" s="96" t="s">
        <v>24</v>
      </c>
      <c r="D166" s="96" t="s">
        <v>25</v>
      </c>
      <c r="E166" s="96" t="s">
        <v>571</v>
      </c>
      <c r="F166" s="96" t="s">
        <v>28</v>
      </c>
      <c r="G166" s="96" t="s">
        <v>28</v>
      </c>
      <c r="H166" s="96" t="s">
        <v>28</v>
      </c>
      <c r="I166" s="96" t="s">
        <v>28</v>
      </c>
      <c r="J166" s="96" t="s">
        <v>953</v>
      </c>
      <c r="K166" s="96" t="s">
        <v>24</v>
      </c>
      <c r="L166" s="96" t="s">
        <v>954</v>
      </c>
      <c r="M166" s="96" t="s">
        <v>28</v>
      </c>
      <c r="N166" s="96" t="s">
        <v>700</v>
      </c>
      <c r="O166" s="96" t="s">
        <v>433</v>
      </c>
      <c r="P166" s="96" t="s">
        <v>495</v>
      </c>
      <c r="Q166" s="96" t="s">
        <v>24</v>
      </c>
      <c r="R166" s="96" t="s">
        <v>25</v>
      </c>
      <c r="S166" s="96" t="s">
        <v>951</v>
      </c>
      <c r="T166" s="96" t="s">
        <v>24</v>
      </c>
      <c r="U166" s="96" t="s">
        <v>24</v>
      </c>
      <c r="V166" s="96" t="s">
        <v>24</v>
      </c>
    </row>
    <row r="167" spans="1:22">
      <c r="A167" s="96" t="s">
        <v>955</v>
      </c>
      <c r="B167" s="96" t="s">
        <v>51</v>
      </c>
      <c r="C167" s="96" t="s">
        <v>24</v>
      </c>
      <c r="D167" s="96" t="s">
        <v>25</v>
      </c>
      <c r="E167" s="96" t="s">
        <v>571</v>
      </c>
      <c r="F167" s="96" t="s">
        <v>28</v>
      </c>
      <c r="G167" s="96" t="s">
        <v>28</v>
      </c>
      <c r="H167" s="96" t="s">
        <v>28</v>
      </c>
      <c r="I167" s="96" t="s">
        <v>28</v>
      </c>
      <c r="J167" s="96" t="s">
        <v>956</v>
      </c>
      <c r="K167" s="96" t="s">
        <v>24</v>
      </c>
      <c r="L167" s="96" t="s">
        <v>957</v>
      </c>
      <c r="M167" s="96" t="s">
        <v>28</v>
      </c>
      <c r="N167" s="96" t="s">
        <v>700</v>
      </c>
      <c r="O167" s="96" t="s">
        <v>433</v>
      </c>
      <c r="P167" s="96" t="s">
        <v>495</v>
      </c>
      <c r="Q167" s="96" t="s">
        <v>24</v>
      </c>
      <c r="R167" s="96" t="s">
        <v>25</v>
      </c>
      <c r="S167" s="96" t="s">
        <v>951</v>
      </c>
      <c r="T167" s="96" t="s">
        <v>24</v>
      </c>
      <c r="U167" s="96" t="s">
        <v>24</v>
      </c>
      <c r="V167" s="96" t="s">
        <v>24</v>
      </c>
    </row>
    <row r="168" spans="1:22">
      <c r="A168" s="96" t="s">
        <v>958</v>
      </c>
      <c r="B168" s="96" t="s">
        <v>51</v>
      </c>
      <c r="C168" s="96" t="s">
        <v>874</v>
      </c>
      <c r="D168" s="96" t="s">
        <v>25</v>
      </c>
      <c r="E168" s="96" t="s">
        <v>571</v>
      </c>
      <c r="F168" s="96" t="s">
        <v>28</v>
      </c>
      <c r="G168" s="96" t="s">
        <v>28</v>
      </c>
      <c r="H168" s="96" t="s">
        <v>28</v>
      </c>
      <c r="I168" s="96" t="s">
        <v>28</v>
      </c>
      <c r="J168" s="96" t="s">
        <v>959</v>
      </c>
      <c r="K168" s="96" t="s">
        <v>960</v>
      </c>
      <c r="L168" s="96" t="s">
        <v>961</v>
      </c>
      <c r="M168" s="96" t="s">
        <v>28</v>
      </c>
      <c r="N168" s="96" t="s">
        <v>700</v>
      </c>
      <c r="O168" s="96" t="s">
        <v>28</v>
      </c>
      <c r="P168" s="96" t="s">
        <v>28</v>
      </c>
      <c r="Q168" s="96" t="s">
        <v>24</v>
      </c>
      <c r="R168" s="96" t="s">
        <v>25</v>
      </c>
      <c r="S168" s="96" t="s">
        <v>962</v>
      </c>
      <c r="T168" s="96" t="s">
        <v>24</v>
      </c>
      <c r="U168" s="96" t="s">
        <v>24</v>
      </c>
      <c r="V168" s="96" t="s">
        <v>24</v>
      </c>
    </row>
    <row r="169" spans="1:22">
      <c r="A169" s="96" t="s">
        <v>963</v>
      </c>
      <c r="B169" s="96" t="s">
        <v>51</v>
      </c>
      <c r="C169" s="96" t="s">
        <v>24</v>
      </c>
      <c r="D169" s="96" t="s">
        <v>25</v>
      </c>
      <c r="E169" s="96" t="s">
        <v>571</v>
      </c>
      <c r="F169" s="96" t="s">
        <v>28</v>
      </c>
      <c r="G169" s="96" t="s">
        <v>28</v>
      </c>
      <c r="H169" s="96" t="s">
        <v>28</v>
      </c>
      <c r="I169" s="96" t="s">
        <v>28</v>
      </c>
      <c r="J169" s="96" t="s">
        <v>964</v>
      </c>
      <c r="K169" s="96" t="s">
        <v>24</v>
      </c>
      <c r="L169" s="96" t="s">
        <v>965</v>
      </c>
      <c r="M169" s="96" t="s">
        <v>28</v>
      </c>
      <c r="N169" s="96" t="s">
        <v>700</v>
      </c>
      <c r="O169" s="96" t="s">
        <v>433</v>
      </c>
      <c r="P169" s="96" t="s">
        <v>495</v>
      </c>
      <c r="Q169" s="96" t="s">
        <v>24</v>
      </c>
      <c r="R169" s="96" t="s">
        <v>63</v>
      </c>
      <c r="S169" s="96" t="s">
        <v>966</v>
      </c>
      <c r="T169" s="96" t="s">
        <v>24</v>
      </c>
      <c r="U169" s="96" t="s">
        <v>24</v>
      </c>
      <c r="V169" s="96" t="s">
        <v>24</v>
      </c>
    </row>
    <row r="170" spans="1:22">
      <c r="A170" s="96" t="s">
        <v>967</v>
      </c>
      <c r="B170" s="96" t="s">
        <v>51</v>
      </c>
      <c r="C170" s="96" t="s">
        <v>24</v>
      </c>
      <c r="D170" s="96" t="s">
        <v>25</v>
      </c>
      <c r="E170" s="96" t="s">
        <v>571</v>
      </c>
      <c r="F170" s="96" t="s">
        <v>28</v>
      </c>
      <c r="G170" s="96" t="s">
        <v>28</v>
      </c>
      <c r="H170" s="96" t="s">
        <v>28</v>
      </c>
      <c r="I170" s="96" t="s">
        <v>28</v>
      </c>
      <c r="J170" s="96" t="s">
        <v>968</v>
      </c>
      <c r="K170" s="96" t="s">
        <v>24</v>
      </c>
      <c r="L170" s="96" t="s">
        <v>969</v>
      </c>
      <c r="M170" s="96" t="s">
        <v>28</v>
      </c>
      <c r="N170" s="96" t="s">
        <v>700</v>
      </c>
      <c r="O170" s="96" t="s">
        <v>433</v>
      </c>
      <c r="P170" s="96" t="s">
        <v>495</v>
      </c>
      <c r="Q170" s="96" t="s">
        <v>24</v>
      </c>
      <c r="R170" s="96" t="s">
        <v>63</v>
      </c>
      <c r="S170" s="96" t="s">
        <v>966</v>
      </c>
      <c r="T170" s="96" t="s">
        <v>24</v>
      </c>
      <c r="U170" s="96" t="s">
        <v>24</v>
      </c>
      <c r="V170" s="96" t="s">
        <v>24</v>
      </c>
    </row>
    <row r="171" spans="1:22">
      <c r="A171" s="96" t="s">
        <v>970</v>
      </c>
      <c r="B171" s="96" t="s">
        <v>51</v>
      </c>
      <c r="C171" s="96" t="s">
        <v>24</v>
      </c>
      <c r="D171" s="96" t="s">
        <v>25</v>
      </c>
      <c r="E171" s="96" t="s">
        <v>571</v>
      </c>
      <c r="F171" s="96" t="s">
        <v>28</v>
      </c>
      <c r="G171" s="96" t="s">
        <v>28</v>
      </c>
      <c r="H171" s="96" t="s">
        <v>28</v>
      </c>
      <c r="I171" s="96" t="s">
        <v>28</v>
      </c>
      <c r="J171" s="96" t="s">
        <v>971</v>
      </c>
      <c r="K171" s="96" t="s">
        <v>503</v>
      </c>
      <c r="L171" s="96" t="s">
        <v>972</v>
      </c>
      <c r="M171" s="96" t="s">
        <v>28</v>
      </c>
      <c r="N171" s="96" t="s">
        <v>700</v>
      </c>
      <c r="O171" s="96" t="s">
        <v>420</v>
      </c>
      <c r="P171" s="96" t="s">
        <v>495</v>
      </c>
      <c r="Q171" s="96" t="s">
        <v>24</v>
      </c>
      <c r="R171" s="96" t="s">
        <v>54</v>
      </c>
      <c r="S171" s="96" t="s">
        <v>940</v>
      </c>
      <c r="T171" s="96" t="s">
        <v>24</v>
      </c>
      <c r="U171" s="96" t="s">
        <v>24</v>
      </c>
      <c r="V171" s="96" t="s">
        <v>24</v>
      </c>
    </row>
    <row r="172" spans="1:22">
      <c r="A172" s="96" t="s">
        <v>973</v>
      </c>
      <c r="B172" s="96" t="s">
        <v>51</v>
      </c>
      <c r="C172" s="96" t="s">
        <v>24</v>
      </c>
      <c r="D172" s="96" t="s">
        <v>25</v>
      </c>
      <c r="E172" s="96" t="s">
        <v>571</v>
      </c>
      <c r="F172" s="96" t="s">
        <v>28</v>
      </c>
      <c r="G172" s="96" t="s">
        <v>28</v>
      </c>
      <c r="H172" s="96" t="s">
        <v>28</v>
      </c>
      <c r="I172" s="96" t="s">
        <v>28</v>
      </c>
      <c r="J172" s="96" t="s">
        <v>974</v>
      </c>
      <c r="K172" s="96" t="s">
        <v>24</v>
      </c>
      <c r="L172" s="96" t="s">
        <v>975</v>
      </c>
      <c r="M172" s="96" t="s">
        <v>28</v>
      </c>
      <c r="N172" s="96" t="s">
        <v>700</v>
      </c>
      <c r="O172" s="96" t="s">
        <v>433</v>
      </c>
      <c r="P172" s="96" t="s">
        <v>495</v>
      </c>
      <c r="Q172" s="96" t="s">
        <v>24</v>
      </c>
      <c r="R172" s="96" t="s">
        <v>63</v>
      </c>
      <c r="S172" s="96" t="s">
        <v>966</v>
      </c>
      <c r="T172" s="96" t="s">
        <v>24</v>
      </c>
      <c r="U172" s="96" t="s">
        <v>24</v>
      </c>
      <c r="V172" s="96" t="s">
        <v>24</v>
      </c>
    </row>
    <row r="173" spans="1:22">
      <c r="A173" s="96" t="s">
        <v>976</v>
      </c>
      <c r="B173" s="96" t="s">
        <v>51</v>
      </c>
      <c r="C173" s="96" t="s">
        <v>24</v>
      </c>
      <c r="D173" s="96" t="s">
        <v>25</v>
      </c>
      <c r="E173" s="96" t="s">
        <v>571</v>
      </c>
      <c r="F173" s="96" t="s">
        <v>28</v>
      </c>
      <c r="G173" s="96" t="s">
        <v>28</v>
      </c>
      <c r="H173" s="96" t="s">
        <v>28</v>
      </c>
      <c r="I173" s="96" t="s">
        <v>28</v>
      </c>
      <c r="J173" s="96" t="s">
        <v>977</v>
      </c>
      <c r="K173" s="96" t="s">
        <v>503</v>
      </c>
      <c r="L173" s="96" t="s">
        <v>978</v>
      </c>
      <c r="M173" s="96" t="s">
        <v>28</v>
      </c>
      <c r="N173" s="96" t="s">
        <v>700</v>
      </c>
      <c r="O173" s="96" t="s">
        <v>420</v>
      </c>
      <c r="P173" s="96" t="s">
        <v>495</v>
      </c>
      <c r="Q173" s="96" t="s">
        <v>24</v>
      </c>
      <c r="R173" s="96" t="s">
        <v>54</v>
      </c>
      <c r="S173" s="96" t="s">
        <v>940</v>
      </c>
      <c r="T173" s="96" t="s">
        <v>24</v>
      </c>
      <c r="U173" s="96" t="s">
        <v>24</v>
      </c>
      <c r="V173" s="96" t="s">
        <v>24</v>
      </c>
    </row>
    <row r="174" spans="1:22">
      <c r="A174" s="96" t="s">
        <v>979</v>
      </c>
      <c r="B174" s="96" t="s">
        <v>51</v>
      </c>
      <c r="C174" s="96" t="s">
        <v>24</v>
      </c>
      <c r="D174" s="96" t="s">
        <v>25</v>
      </c>
      <c r="E174" s="96" t="s">
        <v>571</v>
      </c>
      <c r="F174" s="96" t="s">
        <v>28</v>
      </c>
      <c r="G174" s="96" t="s">
        <v>28</v>
      </c>
      <c r="H174" s="96" t="s">
        <v>28</v>
      </c>
      <c r="I174" s="96" t="s">
        <v>28</v>
      </c>
      <c r="J174" s="96" t="s">
        <v>980</v>
      </c>
      <c r="K174" s="96" t="s">
        <v>503</v>
      </c>
      <c r="L174" s="96" t="s">
        <v>981</v>
      </c>
      <c r="M174" s="96" t="s">
        <v>28</v>
      </c>
      <c r="N174" s="96" t="s">
        <v>700</v>
      </c>
      <c r="O174" s="96" t="s">
        <v>420</v>
      </c>
      <c r="P174" s="96" t="s">
        <v>495</v>
      </c>
      <c r="Q174" s="96" t="s">
        <v>24</v>
      </c>
      <c r="R174" s="96" t="s">
        <v>54</v>
      </c>
      <c r="S174" s="96" t="s">
        <v>940</v>
      </c>
      <c r="T174" s="96" t="s">
        <v>24</v>
      </c>
      <c r="U174" s="96" t="s">
        <v>24</v>
      </c>
      <c r="V174" s="96" t="s">
        <v>24</v>
      </c>
    </row>
    <row r="175" spans="1:22">
      <c r="A175" s="96" t="s">
        <v>982</v>
      </c>
      <c r="B175" s="96" t="s">
        <v>51</v>
      </c>
      <c r="C175" s="96" t="s">
        <v>24</v>
      </c>
      <c r="D175" s="96" t="s">
        <v>25</v>
      </c>
      <c r="E175" s="96" t="s">
        <v>571</v>
      </c>
      <c r="F175" s="96" t="s">
        <v>28</v>
      </c>
      <c r="G175" s="96" t="s">
        <v>28</v>
      </c>
      <c r="H175" s="96" t="s">
        <v>28</v>
      </c>
      <c r="I175" s="96" t="s">
        <v>28</v>
      </c>
      <c r="J175" s="96" t="s">
        <v>983</v>
      </c>
      <c r="K175" s="96" t="s">
        <v>24</v>
      </c>
      <c r="L175" s="96" t="s">
        <v>984</v>
      </c>
      <c r="M175" s="96" t="s">
        <v>28</v>
      </c>
      <c r="N175" s="96" t="s">
        <v>700</v>
      </c>
      <c r="O175" s="96" t="s">
        <v>433</v>
      </c>
      <c r="P175" s="96" t="s">
        <v>495</v>
      </c>
      <c r="Q175" s="96" t="s">
        <v>24</v>
      </c>
      <c r="R175" s="96" t="s">
        <v>63</v>
      </c>
      <c r="S175" s="96" t="s">
        <v>985</v>
      </c>
      <c r="T175" s="96" t="s">
        <v>24</v>
      </c>
      <c r="U175" s="96" t="s">
        <v>24</v>
      </c>
      <c r="V175" s="96" t="s">
        <v>24</v>
      </c>
    </row>
    <row r="176" spans="1:22">
      <c r="A176" s="96" t="s">
        <v>986</v>
      </c>
      <c r="B176" s="96" t="s">
        <v>51</v>
      </c>
      <c r="C176" s="96" t="s">
        <v>24</v>
      </c>
      <c r="D176" s="96" t="s">
        <v>25</v>
      </c>
      <c r="E176" s="96" t="s">
        <v>571</v>
      </c>
      <c r="F176" s="96" t="s">
        <v>28</v>
      </c>
      <c r="G176" s="96" t="s">
        <v>28</v>
      </c>
      <c r="H176" s="96" t="s">
        <v>28</v>
      </c>
      <c r="I176" s="96" t="s">
        <v>28</v>
      </c>
      <c r="J176" s="96" t="s">
        <v>987</v>
      </c>
      <c r="K176" s="96" t="s">
        <v>24</v>
      </c>
      <c r="L176" s="96" t="s">
        <v>988</v>
      </c>
      <c r="M176" s="96" t="s">
        <v>28</v>
      </c>
      <c r="N176" s="96" t="s">
        <v>700</v>
      </c>
      <c r="O176" s="96" t="s">
        <v>433</v>
      </c>
      <c r="P176" s="96" t="s">
        <v>495</v>
      </c>
      <c r="Q176" s="96" t="s">
        <v>24</v>
      </c>
      <c r="R176" s="96" t="s">
        <v>63</v>
      </c>
      <c r="S176" s="96" t="s">
        <v>985</v>
      </c>
      <c r="T176" s="96" t="s">
        <v>24</v>
      </c>
      <c r="U176" s="96" t="s">
        <v>24</v>
      </c>
      <c r="V176" s="96" t="s">
        <v>24</v>
      </c>
    </row>
    <row r="177" spans="1:22">
      <c r="A177" s="96" t="s">
        <v>989</v>
      </c>
      <c r="B177" s="96" t="s">
        <v>51</v>
      </c>
      <c r="C177" s="96" t="s">
        <v>24</v>
      </c>
      <c r="D177" s="96" t="s">
        <v>25</v>
      </c>
      <c r="E177" s="96" t="s">
        <v>571</v>
      </c>
      <c r="F177" s="96" t="s">
        <v>28</v>
      </c>
      <c r="G177" s="96" t="s">
        <v>28</v>
      </c>
      <c r="H177" s="96" t="s">
        <v>28</v>
      </c>
      <c r="I177" s="96" t="s">
        <v>28</v>
      </c>
      <c r="J177" s="96" t="s">
        <v>990</v>
      </c>
      <c r="K177" s="96" t="s">
        <v>24</v>
      </c>
      <c r="L177" s="96" t="s">
        <v>991</v>
      </c>
      <c r="M177" s="96" t="s">
        <v>28</v>
      </c>
      <c r="N177" s="96" t="s">
        <v>700</v>
      </c>
      <c r="O177" s="96" t="s">
        <v>433</v>
      </c>
      <c r="P177" s="96" t="s">
        <v>495</v>
      </c>
      <c r="Q177" s="96" t="s">
        <v>24</v>
      </c>
      <c r="R177" s="96" t="s">
        <v>63</v>
      </c>
      <c r="S177" s="96" t="s">
        <v>985</v>
      </c>
      <c r="T177" s="96" t="s">
        <v>24</v>
      </c>
      <c r="U177" s="96" t="s">
        <v>24</v>
      </c>
      <c r="V177" s="96" t="s">
        <v>24</v>
      </c>
    </row>
    <row r="178" spans="1:22">
      <c r="A178" s="96" t="s">
        <v>992</v>
      </c>
      <c r="B178" s="96" t="s">
        <v>51</v>
      </c>
      <c r="C178" s="96" t="s">
        <v>24</v>
      </c>
      <c r="D178" s="96" t="s">
        <v>25</v>
      </c>
      <c r="E178" s="96" t="s">
        <v>571</v>
      </c>
      <c r="F178" s="96" t="s">
        <v>28</v>
      </c>
      <c r="G178" s="96" t="s">
        <v>28</v>
      </c>
      <c r="H178" s="96" t="s">
        <v>28</v>
      </c>
      <c r="I178" s="96" t="s">
        <v>28</v>
      </c>
      <c r="J178" s="96" t="s">
        <v>993</v>
      </c>
      <c r="K178" s="96" t="s">
        <v>24</v>
      </c>
      <c r="L178" s="96" t="s">
        <v>994</v>
      </c>
      <c r="M178" s="96" t="s">
        <v>28</v>
      </c>
      <c r="N178" s="96" t="s">
        <v>700</v>
      </c>
      <c r="O178" s="96" t="s">
        <v>433</v>
      </c>
      <c r="P178" s="96" t="s">
        <v>495</v>
      </c>
      <c r="Q178" s="96" t="s">
        <v>24</v>
      </c>
      <c r="R178" s="96" t="s">
        <v>63</v>
      </c>
      <c r="S178" s="96" t="s">
        <v>985</v>
      </c>
      <c r="T178" s="96" t="s">
        <v>24</v>
      </c>
      <c r="U178" s="96" t="s">
        <v>24</v>
      </c>
      <c r="V178" s="96" t="s">
        <v>24</v>
      </c>
    </row>
    <row r="179" spans="1:22">
      <c r="A179" s="96" t="s">
        <v>995</v>
      </c>
      <c r="B179" s="96" t="s">
        <v>51</v>
      </c>
      <c r="C179" s="96" t="s">
        <v>24</v>
      </c>
      <c r="D179" s="96" t="s">
        <v>25</v>
      </c>
      <c r="E179" s="96" t="s">
        <v>571</v>
      </c>
      <c r="F179" s="96" t="s">
        <v>28</v>
      </c>
      <c r="G179" s="96" t="s">
        <v>28</v>
      </c>
      <c r="H179" s="96" t="s">
        <v>28</v>
      </c>
      <c r="I179" s="96" t="s">
        <v>28</v>
      </c>
      <c r="J179" s="96" t="s">
        <v>996</v>
      </c>
      <c r="K179" s="96" t="s">
        <v>24</v>
      </c>
      <c r="L179" s="96" t="s">
        <v>997</v>
      </c>
      <c r="M179" s="96" t="s">
        <v>28</v>
      </c>
      <c r="N179" s="96" t="s">
        <v>700</v>
      </c>
      <c r="O179" s="96" t="s">
        <v>433</v>
      </c>
      <c r="P179" s="96" t="s">
        <v>495</v>
      </c>
      <c r="Q179" s="96" t="s">
        <v>24</v>
      </c>
      <c r="R179" s="96" t="s">
        <v>63</v>
      </c>
      <c r="S179" s="96" t="s">
        <v>985</v>
      </c>
      <c r="T179" s="96" t="s">
        <v>24</v>
      </c>
      <c r="U179" s="96" t="s">
        <v>24</v>
      </c>
      <c r="V179" s="96" t="s">
        <v>24</v>
      </c>
    </row>
    <row r="180" spans="1:22">
      <c r="A180" s="96" t="s">
        <v>998</v>
      </c>
      <c r="B180" s="96" t="s">
        <v>51</v>
      </c>
      <c r="C180" s="96" t="s">
        <v>24</v>
      </c>
      <c r="D180" s="96" t="s">
        <v>25</v>
      </c>
      <c r="E180" s="96" t="s">
        <v>571</v>
      </c>
      <c r="F180" s="96" t="s">
        <v>28</v>
      </c>
      <c r="G180" s="96" t="s">
        <v>28</v>
      </c>
      <c r="H180" s="96" t="s">
        <v>28</v>
      </c>
      <c r="I180" s="96" t="s">
        <v>28</v>
      </c>
      <c r="J180" s="96" t="s">
        <v>999</v>
      </c>
      <c r="K180" s="96" t="s">
        <v>503</v>
      </c>
      <c r="L180" s="96" t="s">
        <v>1000</v>
      </c>
      <c r="M180" s="96" t="s">
        <v>28</v>
      </c>
      <c r="N180" s="96" t="s">
        <v>700</v>
      </c>
      <c r="O180" s="96" t="s">
        <v>420</v>
      </c>
      <c r="P180" s="96" t="s">
        <v>495</v>
      </c>
      <c r="Q180" s="96" t="s">
        <v>24</v>
      </c>
      <c r="R180" s="96" t="s">
        <v>54</v>
      </c>
      <c r="S180" s="96" t="s">
        <v>940</v>
      </c>
      <c r="T180" s="96" t="s">
        <v>24</v>
      </c>
      <c r="U180" s="96" t="s">
        <v>24</v>
      </c>
      <c r="V180" s="96" t="s">
        <v>24</v>
      </c>
    </row>
    <row r="181" spans="1:22">
      <c r="A181" s="96" t="s">
        <v>1001</v>
      </c>
      <c r="B181" s="96" t="s">
        <v>51</v>
      </c>
      <c r="C181" s="96" t="s">
        <v>24</v>
      </c>
      <c r="D181" s="96" t="s">
        <v>25</v>
      </c>
      <c r="E181" s="96" t="s">
        <v>571</v>
      </c>
      <c r="F181" s="96" t="s">
        <v>28</v>
      </c>
      <c r="G181" s="96" t="s">
        <v>28</v>
      </c>
      <c r="H181" s="96" t="s">
        <v>28</v>
      </c>
      <c r="I181" s="96" t="s">
        <v>28</v>
      </c>
      <c r="J181" s="96" t="s">
        <v>1002</v>
      </c>
      <c r="K181" s="96" t="s">
        <v>503</v>
      </c>
      <c r="L181" s="96" t="s">
        <v>1003</v>
      </c>
      <c r="M181" s="96" t="s">
        <v>28</v>
      </c>
      <c r="N181" s="96" t="s">
        <v>700</v>
      </c>
      <c r="O181" s="96" t="s">
        <v>420</v>
      </c>
      <c r="P181" s="96" t="s">
        <v>495</v>
      </c>
      <c r="Q181" s="96" t="s">
        <v>24</v>
      </c>
      <c r="R181" s="96" t="s">
        <v>54</v>
      </c>
      <c r="S181" s="96" t="s">
        <v>940</v>
      </c>
      <c r="T181" s="96" t="s">
        <v>24</v>
      </c>
      <c r="U181" s="96" t="s">
        <v>24</v>
      </c>
      <c r="V181" s="96" t="s">
        <v>24</v>
      </c>
    </row>
    <row r="182" spans="1:22">
      <c r="A182" s="96" t="s">
        <v>1004</v>
      </c>
      <c r="B182" s="96" t="s">
        <v>51</v>
      </c>
      <c r="C182" s="96" t="s">
        <v>24</v>
      </c>
      <c r="D182" s="96" t="s">
        <v>25</v>
      </c>
      <c r="E182" s="96" t="s">
        <v>571</v>
      </c>
      <c r="F182" s="96" t="s">
        <v>28</v>
      </c>
      <c r="G182" s="96" t="s">
        <v>28</v>
      </c>
      <c r="H182" s="96" t="s">
        <v>28</v>
      </c>
      <c r="I182" s="96" t="s">
        <v>28</v>
      </c>
      <c r="J182" s="96" t="s">
        <v>1005</v>
      </c>
      <c r="K182" s="96" t="s">
        <v>24</v>
      </c>
      <c r="L182" s="96" t="s">
        <v>1006</v>
      </c>
      <c r="M182" s="96" t="s">
        <v>28</v>
      </c>
      <c r="N182" s="96" t="s">
        <v>700</v>
      </c>
      <c r="O182" s="96" t="s">
        <v>433</v>
      </c>
      <c r="P182" s="96" t="s">
        <v>495</v>
      </c>
      <c r="Q182" s="96" t="s">
        <v>24</v>
      </c>
      <c r="R182" s="96" t="s">
        <v>63</v>
      </c>
      <c r="S182" s="96" t="s">
        <v>826</v>
      </c>
      <c r="T182" s="96" t="s">
        <v>24</v>
      </c>
      <c r="U182" s="96" t="s">
        <v>24</v>
      </c>
      <c r="V182" s="96" t="s">
        <v>24</v>
      </c>
    </row>
    <row r="183" spans="1:22">
      <c r="A183" s="96" t="s">
        <v>1007</v>
      </c>
      <c r="B183" s="96" t="s">
        <v>51</v>
      </c>
      <c r="C183" s="96" t="s">
        <v>24</v>
      </c>
      <c r="D183" s="96" t="s">
        <v>25</v>
      </c>
      <c r="E183" s="96" t="s">
        <v>571</v>
      </c>
      <c r="F183" s="96" t="s">
        <v>28</v>
      </c>
      <c r="G183" s="96" t="s">
        <v>28</v>
      </c>
      <c r="H183" s="96" t="s">
        <v>28</v>
      </c>
      <c r="I183" s="96" t="s">
        <v>28</v>
      </c>
      <c r="J183" s="96" t="s">
        <v>1008</v>
      </c>
      <c r="K183" s="96" t="s">
        <v>24</v>
      </c>
      <c r="L183" s="96" t="s">
        <v>1009</v>
      </c>
      <c r="M183" s="96" t="s">
        <v>28</v>
      </c>
      <c r="N183" s="96" t="s">
        <v>700</v>
      </c>
      <c r="O183" s="96" t="s">
        <v>433</v>
      </c>
      <c r="P183" s="96" t="s">
        <v>495</v>
      </c>
      <c r="Q183" s="96" t="s">
        <v>24</v>
      </c>
      <c r="R183" s="96" t="s">
        <v>63</v>
      </c>
      <c r="S183" s="96" t="s">
        <v>985</v>
      </c>
      <c r="T183" s="96" t="s">
        <v>24</v>
      </c>
      <c r="U183" s="96" t="s">
        <v>24</v>
      </c>
      <c r="V183" s="96" t="s">
        <v>24</v>
      </c>
    </row>
    <row r="184" spans="1:22">
      <c r="A184" s="96" t="s">
        <v>1010</v>
      </c>
      <c r="B184" s="96" t="s">
        <v>51</v>
      </c>
      <c r="C184" s="96" t="s">
        <v>24</v>
      </c>
      <c r="D184" s="96" t="s">
        <v>25</v>
      </c>
      <c r="E184" s="96" t="s">
        <v>571</v>
      </c>
      <c r="F184" s="96" t="s">
        <v>28</v>
      </c>
      <c r="G184" s="96" t="s">
        <v>28</v>
      </c>
      <c r="H184" s="96" t="s">
        <v>28</v>
      </c>
      <c r="I184" s="96" t="s">
        <v>28</v>
      </c>
      <c r="J184" s="96" t="s">
        <v>1011</v>
      </c>
      <c r="K184" s="96" t="s">
        <v>503</v>
      </c>
      <c r="L184" s="96" t="s">
        <v>1012</v>
      </c>
      <c r="M184" s="96" t="s">
        <v>28</v>
      </c>
      <c r="N184" s="96" t="s">
        <v>700</v>
      </c>
      <c r="O184" s="96" t="s">
        <v>420</v>
      </c>
      <c r="P184" s="96" t="s">
        <v>495</v>
      </c>
      <c r="Q184" s="96" t="s">
        <v>24</v>
      </c>
      <c r="R184" s="96" t="s">
        <v>54</v>
      </c>
      <c r="S184" s="96" t="s">
        <v>940</v>
      </c>
      <c r="T184" s="96" t="s">
        <v>24</v>
      </c>
      <c r="U184" s="96" t="s">
        <v>24</v>
      </c>
      <c r="V184" s="96" t="s">
        <v>24</v>
      </c>
    </row>
    <row r="185" spans="1:22">
      <c r="A185" s="96" t="s">
        <v>1013</v>
      </c>
      <c r="B185" s="96" t="s">
        <v>51</v>
      </c>
      <c r="C185" s="96" t="s">
        <v>24</v>
      </c>
      <c r="D185" s="96" t="s">
        <v>25</v>
      </c>
      <c r="E185" s="96" t="s">
        <v>571</v>
      </c>
      <c r="F185" s="96" t="s">
        <v>28</v>
      </c>
      <c r="G185" s="96" t="s">
        <v>28</v>
      </c>
      <c r="H185" s="96" t="s">
        <v>28</v>
      </c>
      <c r="I185" s="96" t="s">
        <v>28</v>
      </c>
      <c r="J185" s="96" t="s">
        <v>1014</v>
      </c>
      <c r="K185" s="96" t="s">
        <v>503</v>
      </c>
      <c r="L185" s="96" t="s">
        <v>1015</v>
      </c>
      <c r="M185" s="96" t="s">
        <v>28</v>
      </c>
      <c r="N185" s="96" t="s">
        <v>700</v>
      </c>
      <c r="O185" s="96" t="s">
        <v>420</v>
      </c>
      <c r="P185" s="96" t="s">
        <v>495</v>
      </c>
      <c r="Q185" s="96" t="s">
        <v>24</v>
      </c>
      <c r="R185" s="96" t="s">
        <v>54</v>
      </c>
      <c r="S185" s="96" t="s">
        <v>940</v>
      </c>
      <c r="T185" s="96" t="s">
        <v>24</v>
      </c>
      <c r="U185" s="96" t="s">
        <v>24</v>
      </c>
      <c r="V185" s="96" t="s">
        <v>24</v>
      </c>
    </row>
    <row r="186" spans="1:22">
      <c r="A186" s="96" t="s">
        <v>1016</v>
      </c>
      <c r="B186" s="96" t="s">
        <v>51</v>
      </c>
      <c r="C186" s="96" t="s">
        <v>24</v>
      </c>
      <c r="D186" s="96" t="s">
        <v>25</v>
      </c>
      <c r="E186" s="96" t="s">
        <v>571</v>
      </c>
      <c r="F186" s="96" t="s">
        <v>28</v>
      </c>
      <c r="G186" s="96" t="s">
        <v>28</v>
      </c>
      <c r="H186" s="96" t="s">
        <v>28</v>
      </c>
      <c r="I186" s="96" t="s">
        <v>28</v>
      </c>
      <c r="J186" s="96" t="s">
        <v>1017</v>
      </c>
      <c r="K186" s="96" t="s">
        <v>24</v>
      </c>
      <c r="L186" s="96" t="s">
        <v>1018</v>
      </c>
      <c r="M186" s="96" t="s">
        <v>28</v>
      </c>
      <c r="N186" s="96" t="s">
        <v>700</v>
      </c>
      <c r="O186" s="96" t="s">
        <v>433</v>
      </c>
      <c r="P186" s="96" t="s">
        <v>495</v>
      </c>
      <c r="Q186" s="96" t="s">
        <v>24</v>
      </c>
      <c r="R186" s="96" t="s">
        <v>25</v>
      </c>
      <c r="S186" s="96" t="s">
        <v>1019</v>
      </c>
      <c r="T186" s="96" t="s">
        <v>24</v>
      </c>
      <c r="U186" s="96" t="s">
        <v>24</v>
      </c>
      <c r="V186" s="96" t="s">
        <v>24</v>
      </c>
    </row>
    <row r="187" spans="1:22">
      <c r="A187" s="96" t="s">
        <v>1020</v>
      </c>
      <c r="B187" s="96" t="s">
        <v>51</v>
      </c>
      <c r="C187" s="96" t="s">
        <v>24</v>
      </c>
      <c r="D187" s="96" t="s">
        <v>25</v>
      </c>
      <c r="E187" s="96" t="s">
        <v>571</v>
      </c>
      <c r="F187" s="96" t="s">
        <v>28</v>
      </c>
      <c r="G187" s="96" t="s">
        <v>28</v>
      </c>
      <c r="H187" s="96" t="s">
        <v>28</v>
      </c>
      <c r="I187" s="96" t="s">
        <v>28</v>
      </c>
      <c r="J187" s="96" t="s">
        <v>1021</v>
      </c>
      <c r="K187" s="96" t="s">
        <v>24</v>
      </c>
      <c r="L187" s="96" t="s">
        <v>1022</v>
      </c>
      <c r="M187" s="96" t="s">
        <v>28</v>
      </c>
      <c r="N187" s="96" t="s">
        <v>700</v>
      </c>
      <c r="O187" s="96" t="s">
        <v>28</v>
      </c>
      <c r="P187" s="96" t="s">
        <v>28</v>
      </c>
      <c r="Q187" s="96" t="s">
        <v>24</v>
      </c>
      <c r="R187" s="96" t="s">
        <v>28</v>
      </c>
      <c r="S187" s="96" t="s">
        <v>1023</v>
      </c>
      <c r="T187" s="96" t="s">
        <v>24</v>
      </c>
      <c r="U187" s="96" t="s">
        <v>24</v>
      </c>
      <c r="V187" s="96" t="s">
        <v>24</v>
      </c>
    </row>
    <row r="188" spans="1:22">
      <c r="A188" s="96" t="s">
        <v>1024</v>
      </c>
      <c r="B188" s="96" t="s">
        <v>51</v>
      </c>
      <c r="C188" s="96" t="s">
        <v>24</v>
      </c>
      <c r="D188" s="96" t="s">
        <v>25</v>
      </c>
      <c r="E188" s="96" t="s">
        <v>571</v>
      </c>
      <c r="F188" s="96" t="s">
        <v>28</v>
      </c>
      <c r="G188" s="96" t="s">
        <v>28</v>
      </c>
      <c r="H188" s="96" t="s">
        <v>28</v>
      </c>
      <c r="I188" s="96" t="s">
        <v>28</v>
      </c>
      <c r="J188" s="96" t="s">
        <v>1025</v>
      </c>
      <c r="K188" s="96" t="s">
        <v>24</v>
      </c>
      <c r="L188" s="96" t="s">
        <v>1026</v>
      </c>
      <c r="M188" s="96" t="s">
        <v>28</v>
      </c>
      <c r="N188" s="96" t="s">
        <v>700</v>
      </c>
      <c r="O188" s="96" t="s">
        <v>28</v>
      </c>
      <c r="P188" s="96" t="s">
        <v>28</v>
      </c>
      <c r="Q188" s="96" t="s">
        <v>24</v>
      </c>
      <c r="R188" s="96" t="s">
        <v>28</v>
      </c>
      <c r="S188" s="96" t="s">
        <v>1023</v>
      </c>
      <c r="T188" s="96" t="s">
        <v>24</v>
      </c>
      <c r="U188" s="96" t="s">
        <v>24</v>
      </c>
      <c r="V188" s="96" t="s">
        <v>24</v>
      </c>
    </row>
    <row r="189" spans="1:22">
      <c r="A189" s="96" t="s">
        <v>1027</v>
      </c>
      <c r="B189" s="96" t="s">
        <v>51</v>
      </c>
      <c r="C189" s="96" t="s">
        <v>24</v>
      </c>
      <c r="D189" s="96" t="s">
        <v>25</v>
      </c>
      <c r="E189" s="96" t="s">
        <v>571</v>
      </c>
      <c r="F189" s="96" t="s">
        <v>28</v>
      </c>
      <c r="G189" s="96" t="s">
        <v>28</v>
      </c>
      <c r="H189" s="96" t="s">
        <v>28</v>
      </c>
      <c r="I189" s="96" t="s">
        <v>28</v>
      </c>
      <c r="J189" s="96" t="s">
        <v>1028</v>
      </c>
      <c r="K189" s="96" t="s">
        <v>24</v>
      </c>
      <c r="L189" s="96" t="s">
        <v>1029</v>
      </c>
      <c r="M189" s="96" t="s">
        <v>28</v>
      </c>
      <c r="N189" s="96" t="s">
        <v>700</v>
      </c>
      <c r="O189" s="96" t="s">
        <v>28</v>
      </c>
      <c r="P189" s="96" t="s">
        <v>28</v>
      </c>
      <c r="Q189" s="96" t="s">
        <v>24</v>
      </c>
      <c r="R189" s="96" t="s">
        <v>28</v>
      </c>
      <c r="S189" s="96" t="s">
        <v>1023</v>
      </c>
      <c r="T189" s="96" t="s">
        <v>24</v>
      </c>
      <c r="U189" s="96" t="s">
        <v>24</v>
      </c>
      <c r="V189" s="96" t="s">
        <v>24</v>
      </c>
    </row>
    <row r="190" spans="1:22">
      <c r="A190" s="96" t="s">
        <v>1030</v>
      </c>
      <c r="B190" s="96" t="s">
        <v>51</v>
      </c>
      <c r="C190" s="96" t="s">
        <v>24</v>
      </c>
      <c r="D190" s="96" t="s">
        <v>25</v>
      </c>
      <c r="E190" s="96" t="s">
        <v>571</v>
      </c>
      <c r="F190" s="96" t="s">
        <v>28</v>
      </c>
      <c r="G190" s="96" t="s">
        <v>28</v>
      </c>
      <c r="H190" s="96" t="s">
        <v>28</v>
      </c>
      <c r="I190" s="96" t="s">
        <v>28</v>
      </c>
      <c r="J190" s="96" t="s">
        <v>1031</v>
      </c>
      <c r="K190" s="96" t="s">
        <v>774</v>
      </c>
      <c r="L190" s="96" t="s">
        <v>1032</v>
      </c>
      <c r="M190" s="96" t="s">
        <v>28</v>
      </c>
      <c r="N190" s="96" t="s">
        <v>700</v>
      </c>
      <c r="O190" s="96" t="s">
        <v>433</v>
      </c>
      <c r="P190" s="96" t="s">
        <v>495</v>
      </c>
      <c r="Q190" s="96" t="s">
        <v>24</v>
      </c>
      <c r="R190" s="96" t="s">
        <v>63</v>
      </c>
      <c r="S190" s="96" t="s">
        <v>885</v>
      </c>
      <c r="T190" s="96" t="s">
        <v>24</v>
      </c>
      <c r="U190" s="96" t="s">
        <v>24</v>
      </c>
      <c r="V190" s="96" t="s">
        <v>24</v>
      </c>
    </row>
    <row r="191" spans="1:22">
      <c r="A191" s="96" t="s">
        <v>1033</v>
      </c>
      <c r="B191" s="96" t="s">
        <v>51</v>
      </c>
      <c r="C191" s="96" t="s">
        <v>24</v>
      </c>
      <c r="D191" s="96" t="s">
        <v>25</v>
      </c>
      <c r="E191" s="96" t="s">
        <v>571</v>
      </c>
      <c r="F191" s="96" t="s">
        <v>28</v>
      </c>
      <c r="G191" s="96" t="s">
        <v>28</v>
      </c>
      <c r="H191" s="96" t="s">
        <v>28</v>
      </c>
      <c r="I191" s="96" t="s">
        <v>28</v>
      </c>
      <c r="J191" s="96" t="s">
        <v>1034</v>
      </c>
      <c r="K191" s="96" t="s">
        <v>774</v>
      </c>
      <c r="L191" s="96" t="s">
        <v>1035</v>
      </c>
      <c r="M191" s="96" t="s">
        <v>28</v>
      </c>
      <c r="N191" s="96" t="s">
        <v>700</v>
      </c>
      <c r="O191" s="96" t="s">
        <v>433</v>
      </c>
      <c r="P191" s="96" t="s">
        <v>495</v>
      </c>
      <c r="Q191" s="96" t="s">
        <v>24</v>
      </c>
      <c r="R191" s="96" t="s">
        <v>63</v>
      </c>
      <c r="S191" s="96" t="s">
        <v>885</v>
      </c>
      <c r="T191" s="96" t="s">
        <v>24</v>
      </c>
      <c r="U191" s="96" t="s">
        <v>24</v>
      </c>
      <c r="V191" s="96" t="s">
        <v>24</v>
      </c>
    </row>
    <row r="192" spans="1:22">
      <c r="A192" s="96" t="s">
        <v>1036</v>
      </c>
      <c r="B192" s="96" t="s">
        <v>51</v>
      </c>
      <c r="C192" s="96" t="s">
        <v>24</v>
      </c>
      <c r="D192" s="96" t="s">
        <v>25</v>
      </c>
      <c r="E192" s="96" t="s">
        <v>571</v>
      </c>
      <c r="F192" s="96" t="s">
        <v>28</v>
      </c>
      <c r="G192" s="96" t="s">
        <v>28</v>
      </c>
      <c r="H192" s="96" t="s">
        <v>28</v>
      </c>
      <c r="I192" s="96" t="s">
        <v>28</v>
      </c>
      <c r="J192" s="96" t="s">
        <v>1037</v>
      </c>
      <c r="K192" s="96" t="s">
        <v>829</v>
      </c>
      <c r="L192" s="96" t="s">
        <v>1038</v>
      </c>
      <c r="M192" s="96" t="s">
        <v>28</v>
      </c>
      <c r="N192" s="96" t="s">
        <v>700</v>
      </c>
      <c r="O192" s="96" t="s">
        <v>24</v>
      </c>
      <c r="P192" s="96" t="s">
        <v>24</v>
      </c>
      <c r="Q192" s="96" t="s">
        <v>24</v>
      </c>
      <c r="R192" s="96" t="s">
        <v>24</v>
      </c>
      <c r="S192" s="96" t="s">
        <v>24</v>
      </c>
      <c r="T192" s="96" t="s">
        <v>24</v>
      </c>
      <c r="U192" s="96" t="s">
        <v>24</v>
      </c>
      <c r="V192" s="96" t="s">
        <v>24</v>
      </c>
    </row>
    <row r="193" spans="1:22">
      <c r="A193" s="96" t="s">
        <v>1039</v>
      </c>
      <c r="B193" s="96" t="s">
        <v>51</v>
      </c>
      <c r="C193" s="96" t="s">
        <v>24</v>
      </c>
      <c r="D193" s="96" t="s">
        <v>25</v>
      </c>
      <c r="E193" s="96" t="s">
        <v>571</v>
      </c>
      <c r="F193" s="96" t="s">
        <v>28</v>
      </c>
      <c r="G193" s="96" t="s">
        <v>28</v>
      </c>
      <c r="H193" s="96" t="s">
        <v>28</v>
      </c>
      <c r="I193" s="96" t="s">
        <v>28</v>
      </c>
      <c r="J193" s="96" t="s">
        <v>1040</v>
      </c>
      <c r="K193" s="96" t="s">
        <v>829</v>
      </c>
      <c r="L193" s="96" t="s">
        <v>1041</v>
      </c>
      <c r="M193" s="96" t="s">
        <v>28</v>
      </c>
      <c r="N193" s="96" t="s">
        <v>700</v>
      </c>
      <c r="O193" s="96" t="s">
        <v>344</v>
      </c>
      <c r="P193" s="96" t="s">
        <v>495</v>
      </c>
      <c r="Q193" s="96" t="s">
        <v>24</v>
      </c>
      <c r="R193" s="96" t="s">
        <v>25</v>
      </c>
      <c r="S193" s="96" t="s">
        <v>826</v>
      </c>
      <c r="T193" s="96" t="s">
        <v>24</v>
      </c>
      <c r="U193" s="96" t="s">
        <v>24</v>
      </c>
      <c r="V193" s="96" t="s">
        <v>24</v>
      </c>
    </row>
    <row r="194" spans="1:22">
      <c r="A194" s="96" t="s">
        <v>1042</v>
      </c>
      <c r="B194" s="96" t="s">
        <v>51</v>
      </c>
      <c r="C194" s="96" t="s">
        <v>24</v>
      </c>
      <c r="D194" s="96" t="s">
        <v>25</v>
      </c>
      <c r="E194" s="96" t="s">
        <v>571</v>
      </c>
      <c r="F194" s="96" t="s">
        <v>28</v>
      </c>
      <c r="G194" s="96" t="s">
        <v>28</v>
      </c>
      <c r="H194" s="96" t="s">
        <v>28</v>
      </c>
      <c r="I194" s="96" t="s">
        <v>28</v>
      </c>
      <c r="J194" s="96" t="s">
        <v>1043</v>
      </c>
      <c r="K194" s="96" t="s">
        <v>829</v>
      </c>
      <c r="L194" s="96" t="s">
        <v>1044</v>
      </c>
      <c r="M194" s="96" t="s">
        <v>28</v>
      </c>
      <c r="N194" s="96" t="s">
        <v>700</v>
      </c>
      <c r="O194" s="96" t="s">
        <v>433</v>
      </c>
      <c r="P194" s="96" t="s">
        <v>495</v>
      </c>
      <c r="Q194" s="96" t="s">
        <v>24</v>
      </c>
      <c r="R194" s="96" t="s">
        <v>25</v>
      </c>
      <c r="S194" s="96" t="s">
        <v>826</v>
      </c>
      <c r="T194" s="96" t="s">
        <v>24</v>
      </c>
      <c r="U194" s="96" t="s">
        <v>24</v>
      </c>
      <c r="V194" s="96" t="s">
        <v>24</v>
      </c>
    </row>
    <row r="195" spans="1:22">
      <c r="A195" s="96" t="s">
        <v>1045</v>
      </c>
      <c r="B195" s="96" t="s">
        <v>51</v>
      </c>
      <c r="C195" s="96" t="s">
        <v>24</v>
      </c>
      <c r="D195" s="96" t="s">
        <v>25</v>
      </c>
      <c r="E195" s="96" t="s">
        <v>571</v>
      </c>
      <c r="F195" s="96" t="s">
        <v>28</v>
      </c>
      <c r="G195" s="96" t="s">
        <v>28</v>
      </c>
      <c r="H195" s="96" t="s">
        <v>28</v>
      </c>
      <c r="I195" s="96" t="s">
        <v>28</v>
      </c>
      <c r="J195" s="96" t="s">
        <v>1046</v>
      </c>
      <c r="K195" s="96" t="s">
        <v>774</v>
      </c>
      <c r="L195" s="96" t="s">
        <v>1047</v>
      </c>
      <c r="M195" s="96" t="s">
        <v>28</v>
      </c>
      <c r="N195" s="96" t="s">
        <v>700</v>
      </c>
      <c r="O195" s="96" t="s">
        <v>433</v>
      </c>
      <c r="P195" s="96" t="s">
        <v>495</v>
      </c>
      <c r="Q195" s="96" t="s">
        <v>24</v>
      </c>
      <c r="R195" s="96" t="s">
        <v>63</v>
      </c>
      <c r="S195" s="96" t="s">
        <v>885</v>
      </c>
      <c r="T195" s="96" t="s">
        <v>24</v>
      </c>
      <c r="U195" s="96" t="s">
        <v>24</v>
      </c>
      <c r="V195" s="96" t="s">
        <v>24</v>
      </c>
    </row>
    <row r="196" spans="1:22">
      <c r="A196" s="96" t="s">
        <v>1048</v>
      </c>
      <c r="B196" s="96" t="s">
        <v>51</v>
      </c>
      <c r="C196" s="96" t="s">
        <v>24</v>
      </c>
      <c r="D196" s="96" t="s">
        <v>25</v>
      </c>
      <c r="E196" s="96" t="s">
        <v>571</v>
      </c>
      <c r="F196" s="96" t="s">
        <v>28</v>
      </c>
      <c r="G196" s="96" t="s">
        <v>28</v>
      </c>
      <c r="H196" s="96" t="s">
        <v>28</v>
      </c>
      <c r="I196" s="96" t="s">
        <v>28</v>
      </c>
      <c r="J196" s="96" t="s">
        <v>1049</v>
      </c>
      <c r="K196" s="96" t="s">
        <v>24</v>
      </c>
      <c r="L196" s="96" t="s">
        <v>1050</v>
      </c>
      <c r="M196" s="96" t="s">
        <v>28</v>
      </c>
      <c r="N196" s="96" t="s">
        <v>700</v>
      </c>
      <c r="O196" s="96" t="s">
        <v>344</v>
      </c>
      <c r="P196" s="96" t="s">
        <v>495</v>
      </c>
      <c r="Q196" s="96" t="s">
        <v>24</v>
      </c>
      <c r="R196" s="96" t="s">
        <v>25</v>
      </c>
      <c r="S196" s="96" t="s">
        <v>826</v>
      </c>
      <c r="T196" s="96" t="s">
        <v>24</v>
      </c>
      <c r="U196" s="96" t="s">
        <v>24</v>
      </c>
      <c r="V196" s="96" t="s">
        <v>24</v>
      </c>
    </row>
    <row r="197" spans="1:22">
      <c r="A197" s="96" t="s">
        <v>1051</v>
      </c>
      <c r="B197" s="96" t="s">
        <v>51</v>
      </c>
      <c r="C197" s="96" t="s">
        <v>24</v>
      </c>
      <c r="D197" s="96" t="s">
        <v>25</v>
      </c>
      <c r="E197" s="96" t="s">
        <v>571</v>
      </c>
      <c r="F197" s="96" t="s">
        <v>28</v>
      </c>
      <c r="G197" s="96" t="s">
        <v>28</v>
      </c>
      <c r="H197" s="96" t="s">
        <v>28</v>
      </c>
      <c r="I197" s="96" t="s">
        <v>28</v>
      </c>
      <c r="J197" s="96" t="s">
        <v>1052</v>
      </c>
      <c r="K197" s="96" t="s">
        <v>24</v>
      </c>
      <c r="L197" s="96" t="s">
        <v>1053</v>
      </c>
      <c r="M197" s="96" t="s">
        <v>28</v>
      </c>
      <c r="N197" s="96" t="s">
        <v>700</v>
      </c>
      <c r="O197" s="96" t="s">
        <v>344</v>
      </c>
      <c r="P197" s="96" t="s">
        <v>495</v>
      </c>
      <c r="Q197" s="96" t="s">
        <v>24</v>
      </c>
      <c r="R197" s="96" t="s">
        <v>25</v>
      </c>
      <c r="S197" s="96" t="s">
        <v>826</v>
      </c>
      <c r="T197" s="96" t="s">
        <v>24</v>
      </c>
      <c r="U197" s="96" t="s">
        <v>24</v>
      </c>
      <c r="V197" s="96" t="s">
        <v>24</v>
      </c>
    </row>
    <row r="198" spans="1:22">
      <c r="A198" s="96" t="s">
        <v>1054</v>
      </c>
      <c r="B198" s="96" t="s">
        <v>51</v>
      </c>
      <c r="C198" s="96" t="s">
        <v>24</v>
      </c>
      <c r="D198" s="96" t="s">
        <v>25</v>
      </c>
      <c r="E198" s="96" t="s">
        <v>571</v>
      </c>
      <c r="F198" s="96" t="s">
        <v>28</v>
      </c>
      <c r="G198" s="96" t="s">
        <v>28</v>
      </c>
      <c r="H198" s="96" t="s">
        <v>28</v>
      </c>
      <c r="I198" s="96" t="s">
        <v>28</v>
      </c>
      <c r="J198" s="96" t="s">
        <v>1055</v>
      </c>
      <c r="K198" s="96" t="s">
        <v>24</v>
      </c>
      <c r="L198" s="96" t="s">
        <v>1056</v>
      </c>
      <c r="M198" s="96" t="s">
        <v>28</v>
      </c>
      <c r="N198" s="96" t="s">
        <v>700</v>
      </c>
      <c r="O198" s="96" t="s">
        <v>24</v>
      </c>
      <c r="P198" s="96" t="s">
        <v>24</v>
      </c>
      <c r="Q198" s="96" t="s">
        <v>24</v>
      </c>
      <c r="R198" s="96" t="s">
        <v>25</v>
      </c>
      <c r="S198" s="96" t="s">
        <v>826</v>
      </c>
      <c r="T198" s="96" t="s">
        <v>24</v>
      </c>
      <c r="U198" s="96" t="s">
        <v>24</v>
      </c>
      <c r="V198" s="96" t="s">
        <v>24</v>
      </c>
    </row>
    <row r="199" spans="1:22">
      <c r="A199" s="96" t="s">
        <v>1057</v>
      </c>
      <c r="B199" s="96" t="s">
        <v>51</v>
      </c>
      <c r="C199" s="96" t="s">
        <v>24</v>
      </c>
      <c r="D199" s="96" t="s">
        <v>25</v>
      </c>
      <c r="E199" s="96" t="s">
        <v>571</v>
      </c>
      <c r="F199" s="96" t="s">
        <v>28</v>
      </c>
      <c r="G199" s="96" t="s">
        <v>28</v>
      </c>
      <c r="H199" s="96" t="s">
        <v>28</v>
      </c>
      <c r="I199" s="96" t="s">
        <v>28</v>
      </c>
      <c r="J199" s="96" t="s">
        <v>1058</v>
      </c>
      <c r="K199" s="96" t="s">
        <v>774</v>
      </c>
      <c r="L199" s="96" t="s">
        <v>1059</v>
      </c>
      <c r="M199" s="96" t="s">
        <v>28</v>
      </c>
      <c r="N199" s="96" t="s">
        <v>700</v>
      </c>
      <c r="O199" s="96" t="s">
        <v>28</v>
      </c>
      <c r="P199" s="96" t="s">
        <v>28</v>
      </c>
      <c r="Q199" s="96" t="s">
        <v>24</v>
      </c>
      <c r="R199" s="96" t="s">
        <v>28</v>
      </c>
      <c r="S199" s="96" t="s">
        <v>1023</v>
      </c>
      <c r="T199" s="96" t="s">
        <v>24</v>
      </c>
      <c r="U199" s="96" t="s">
        <v>24</v>
      </c>
      <c r="V199" s="96" t="s">
        <v>24</v>
      </c>
    </row>
    <row r="200" spans="1:22">
      <c r="A200" s="96" t="s">
        <v>454</v>
      </c>
      <c r="B200" s="96" t="s">
        <v>24</v>
      </c>
      <c r="C200" s="96" t="s">
        <v>24</v>
      </c>
      <c r="D200" s="96" t="s">
        <v>25</v>
      </c>
      <c r="E200" s="96" t="s">
        <v>571</v>
      </c>
      <c r="F200" s="96" t="s">
        <v>28</v>
      </c>
      <c r="G200" s="96" t="s">
        <v>28</v>
      </c>
      <c r="H200" s="96" t="s">
        <v>28</v>
      </c>
      <c r="I200" s="96" t="s">
        <v>28</v>
      </c>
      <c r="J200" s="96" t="s">
        <v>1060</v>
      </c>
      <c r="K200" s="96" t="s">
        <v>774</v>
      </c>
      <c r="L200" s="96" t="s">
        <v>1061</v>
      </c>
      <c r="M200" s="96" t="s">
        <v>28</v>
      </c>
      <c r="N200" s="96" t="s">
        <v>700</v>
      </c>
      <c r="O200" s="96" t="s">
        <v>344</v>
      </c>
      <c r="P200" s="96" t="s">
        <v>495</v>
      </c>
      <c r="Q200" s="96" t="s">
        <v>24</v>
      </c>
      <c r="R200" s="96" t="s">
        <v>25</v>
      </c>
      <c r="S200" s="96" t="s">
        <v>1062</v>
      </c>
      <c r="T200" s="96" t="s">
        <v>24</v>
      </c>
      <c r="U200" s="96" t="s">
        <v>24</v>
      </c>
      <c r="V200" s="96" t="s">
        <v>24</v>
      </c>
    </row>
    <row r="201" spans="1:22">
      <c r="A201" s="96" t="s">
        <v>1063</v>
      </c>
      <c r="B201" s="96" t="s">
        <v>51</v>
      </c>
      <c r="C201" s="96" t="s">
        <v>24</v>
      </c>
      <c r="D201" s="96" t="s">
        <v>25</v>
      </c>
      <c r="E201" s="96" t="s">
        <v>571</v>
      </c>
      <c r="F201" s="96" t="s">
        <v>28</v>
      </c>
      <c r="G201" s="96" t="s">
        <v>28</v>
      </c>
      <c r="H201" s="96" t="s">
        <v>28</v>
      </c>
      <c r="I201" s="96" t="s">
        <v>28</v>
      </c>
      <c r="J201" s="96" t="s">
        <v>1064</v>
      </c>
      <c r="K201" s="96" t="s">
        <v>774</v>
      </c>
      <c r="L201" s="96" t="s">
        <v>1065</v>
      </c>
      <c r="M201" s="96" t="s">
        <v>28</v>
      </c>
      <c r="N201" s="96" t="s">
        <v>700</v>
      </c>
      <c r="O201" s="96" t="s">
        <v>344</v>
      </c>
      <c r="P201" s="96" t="s">
        <v>495</v>
      </c>
      <c r="Q201" s="96" t="s">
        <v>24</v>
      </c>
      <c r="R201" s="96" t="s">
        <v>25</v>
      </c>
      <c r="S201" s="96" t="s">
        <v>1062</v>
      </c>
      <c r="T201" s="96" t="s">
        <v>24</v>
      </c>
      <c r="U201" s="96" t="s">
        <v>24</v>
      </c>
      <c r="V201" s="96" t="s">
        <v>24</v>
      </c>
    </row>
    <row r="202" spans="1:22">
      <c r="A202" s="96" t="s">
        <v>409</v>
      </c>
      <c r="B202" s="96" t="s">
        <v>51</v>
      </c>
      <c r="C202" s="96" t="s">
        <v>24</v>
      </c>
      <c r="D202" s="96" t="s">
        <v>25</v>
      </c>
      <c r="E202" s="96" t="s">
        <v>770</v>
      </c>
      <c r="F202" s="96" t="s">
        <v>28</v>
      </c>
      <c r="G202" s="96" t="s">
        <v>28</v>
      </c>
      <c r="H202" s="96" t="s">
        <v>28</v>
      </c>
      <c r="I202" s="96" t="s">
        <v>28</v>
      </c>
      <c r="J202" s="96" t="s">
        <v>411</v>
      </c>
      <c r="K202" s="96" t="s">
        <v>412</v>
      </c>
      <c r="L202" s="96" t="s">
        <v>413</v>
      </c>
      <c r="M202" s="96" t="s">
        <v>28</v>
      </c>
      <c r="N202" s="96" t="s">
        <v>24</v>
      </c>
      <c r="O202" s="96" t="s">
        <v>24</v>
      </c>
      <c r="P202" s="96" t="s">
        <v>24</v>
      </c>
      <c r="Q202" s="96" t="s">
        <v>24</v>
      </c>
      <c r="R202" s="96" t="s">
        <v>24</v>
      </c>
      <c r="S202" s="96" t="s">
        <v>24</v>
      </c>
      <c r="T202" s="96" t="s">
        <v>24</v>
      </c>
      <c r="U202" s="96" t="s">
        <v>24</v>
      </c>
      <c r="V202" s="96" t="s">
        <v>24</v>
      </c>
    </row>
    <row r="203" spans="1:22">
      <c r="A203" s="96" t="s">
        <v>414</v>
      </c>
      <c r="B203" s="96" t="s">
        <v>51</v>
      </c>
      <c r="C203" s="96" t="s">
        <v>24</v>
      </c>
      <c r="D203" s="96" t="s">
        <v>25</v>
      </c>
      <c r="E203" s="96" t="s">
        <v>770</v>
      </c>
      <c r="F203" s="96" t="s">
        <v>28</v>
      </c>
      <c r="G203" s="96" t="s">
        <v>28</v>
      </c>
      <c r="H203" s="96" t="s">
        <v>28</v>
      </c>
      <c r="I203" s="96" t="s">
        <v>28</v>
      </c>
      <c r="J203" s="96" t="s">
        <v>415</v>
      </c>
      <c r="K203" s="96" t="s">
        <v>412</v>
      </c>
      <c r="L203" s="96" t="s">
        <v>416</v>
      </c>
      <c r="M203" s="96" t="s">
        <v>28</v>
      </c>
      <c r="N203" s="96" t="s">
        <v>24</v>
      </c>
      <c r="O203" s="96" t="s">
        <v>24</v>
      </c>
      <c r="P203" s="96" t="s">
        <v>24</v>
      </c>
      <c r="Q203" s="96" t="s">
        <v>24</v>
      </c>
      <c r="R203" s="96" t="s">
        <v>24</v>
      </c>
      <c r="S203" s="96" t="s">
        <v>24</v>
      </c>
      <c r="T203" s="96" t="s">
        <v>24</v>
      </c>
      <c r="U203" s="96" t="s">
        <v>24</v>
      </c>
      <c r="V203" s="96" t="s">
        <v>24</v>
      </c>
    </row>
    <row r="204" spans="1:22">
      <c r="A204" s="96" t="s">
        <v>417</v>
      </c>
      <c r="B204" s="96" t="s">
        <v>51</v>
      </c>
      <c r="C204" s="96" t="s">
        <v>24</v>
      </c>
      <c r="D204" s="96" t="s">
        <v>25</v>
      </c>
      <c r="E204" s="96" t="s">
        <v>770</v>
      </c>
      <c r="F204" s="96" t="s">
        <v>28</v>
      </c>
      <c r="G204" s="96" t="s">
        <v>28</v>
      </c>
      <c r="H204" s="96" t="s">
        <v>28</v>
      </c>
      <c r="I204" s="96" t="s">
        <v>28</v>
      </c>
      <c r="J204" s="96" t="s">
        <v>418</v>
      </c>
      <c r="K204" s="96" t="s">
        <v>90</v>
      </c>
      <c r="L204" s="96" t="s">
        <v>419</v>
      </c>
      <c r="M204" s="96" t="s">
        <v>28</v>
      </c>
      <c r="N204" s="96" t="s">
        <v>69</v>
      </c>
      <c r="O204" s="96" t="s">
        <v>420</v>
      </c>
      <c r="P204" s="96" t="s">
        <v>499</v>
      </c>
      <c r="Q204" s="96" t="s">
        <v>24</v>
      </c>
      <c r="R204" s="96" t="s">
        <v>54</v>
      </c>
      <c r="S204" s="96" t="s">
        <v>421</v>
      </c>
      <c r="T204" s="96" t="s">
        <v>24</v>
      </c>
      <c r="U204" s="96" t="s">
        <v>24</v>
      </c>
      <c r="V204" s="96" t="s">
        <v>24</v>
      </c>
    </row>
    <row r="205" spans="1:22">
      <c r="A205" s="96" t="s">
        <v>422</v>
      </c>
      <c r="B205" s="96" t="s">
        <v>51</v>
      </c>
      <c r="C205" s="96" t="s">
        <v>24</v>
      </c>
      <c r="D205" s="96" t="s">
        <v>25</v>
      </c>
      <c r="E205" s="96" t="s">
        <v>770</v>
      </c>
      <c r="F205" s="96" t="s">
        <v>28</v>
      </c>
      <c r="G205" s="96" t="s">
        <v>28</v>
      </c>
      <c r="H205" s="96" t="s">
        <v>28</v>
      </c>
      <c r="I205" s="96" t="s">
        <v>28</v>
      </c>
      <c r="J205" s="96" t="s">
        <v>423</v>
      </c>
      <c r="K205" s="96" t="s">
        <v>24</v>
      </c>
      <c r="L205" s="96" t="s">
        <v>424</v>
      </c>
      <c r="M205" s="96" t="s">
        <v>28</v>
      </c>
      <c r="N205" s="96" t="s">
        <v>69</v>
      </c>
      <c r="O205" s="96" t="s">
        <v>344</v>
      </c>
      <c r="P205" s="96" t="s">
        <v>495</v>
      </c>
      <c r="Q205" s="96" t="s">
        <v>24</v>
      </c>
      <c r="R205" s="96" t="s">
        <v>54</v>
      </c>
      <c r="S205" s="96" t="s">
        <v>421</v>
      </c>
      <c r="T205" s="96" t="s">
        <v>24</v>
      </c>
      <c r="U205" s="96" t="s">
        <v>24</v>
      </c>
      <c r="V205" s="96" t="s">
        <v>24</v>
      </c>
    </row>
    <row r="206" spans="1:22">
      <c r="A206" s="96" t="s">
        <v>426</v>
      </c>
      <c r="B206" s="96" t="s">
        <v>51</v>
      </c>
      <c r="C206" s="96" t="s">
        <v>24</v>
      </c>
      <c r="D206" s="96" t="s">
        <v>25</v>
      </c>
      <c r="E206" s="96" t="s">
        <v>770</v>
      </c>
      <c r="F206" s="96" t="s">
        <v>28</v>
      </c>
      <c r="G206" s="96" t="s">
        <v>28</v>
      </c>
      <c r="H206" s="96" t="s">
        <v>28</v>
      </c>
      <c r="I206" s="96" t="s">
        <v>28</v>
      </c>
      <c r="J206" s="96" t="s">
        <v>427</v>
      </c>
      <c r="K206" s="96" t="s">
        <v>428</v>
      </c>
      <c r="L206" s="96" t="s">
        <v>429</v>
      </c>
      <c r="M206" s="96" t="s">
        <v>28</v>
      </c>
      <c r="N206" s="96" t="s">
        <v>24</v>
      </c>
      <c r="O206" s="96" t="s">
        <v>24</v>
      </c>
      <c r="P206" s="96" t="s">
        <v>24</v>
      </c>
      <c r="Q206" s="96" t="s">
        <v>24</v>
      </c>
      <c r="R206" s="96" t="s">
        <v>24</v>
      </c>
      <c r="S206" s="96" t="s">
        <v>24</v>
      </c>
      <c r="T206" s="96" t="s">
        <v>24</v>
      </c>
      <c r="U206" s="96" t="s">
        <v>24</v>
      </c>
      <c r="V206" s="96" t="s">
        <v>24</v>
      </c>
    </row>
    <row r="207" spans="1:22">
      <c r="A207" s="96" t="s">
        <v>430</v>
      </c>
      <c r="B207" s="96" t="s">
        <v>51</v>
      </c>
      <c r="C207" s="96" t="s">
        <v>24</v>
      </c>
      <c r="D207" s="96" t="s">
        <v>25</v>
      </c>
      <c r="E207" s="96" t="s">
        <v>770</v>
      </c>
      <c r="F207" s="96" t="s">
        <v>28</v>
      </c>
      <c r="G207" s="96" t="s">
        <v>28</v>
      </c>
      <c r="H207" s="96" t="s">
        <v>28</v>
      </c>
      <c r="I207" s="96" t="s">
        <v>28</v>
      </c>
      <c r="J207" s="96" t="s">
        <v>431</v>
      </c>
      <c r="K207" s="96" t="s">
        <v>24</v>
      </c>
      <c r="L207" s="96" t="s">
        <v>432</v>
      </c>
      <c r="M207" s="96" t="s">
        <v>28</v>
      </c>
      <c r="N207" s="96" t="s">
        <v>33</v>
      </c>
      <c r="O207" s="96" t="s">
        <v>433</v>
      </c>
      <c r="P207" s="96" t="s">
        <v>499</v>
      </c>
      <c r="Q207" s="96" t="s">
        <v>24</v>
      </c>
      <c r="R207" s="96" t="s">
        <v>25</v>
      </c>
      <c r="S207" s="96" t="s">
        <v>434</v>
      </c>
      <c r="T207" s="96" t="s">
        <v>24</v>
      </c>
      <c r="U207" s="96" t="s">
        <v>24</v>
      </c>
      <c r="V207" s="96" t="s">
        <v>24</v>
      </c>
    </row>
    <row r="208" spans="1:22">
      <c r="A208" s="96" t="s">
        <v>435</v>
      </c>
      <c r="B208" s="96" t="s">
        <v>51</v>
      </c>
      <c r="C208" s="96" t="s">
        <v>24</v>
      </c>
      <c r="D208" s="96" t="s">
        <v>25</v>
      </c>
      <c r="E208" s="96" t="s">
        <v>770</v>
      </c>
      <c r="F208" s="96" t="s">
        <v>28</v>
      </c>
      <c r="G208" s="96" t="s">
        <v>28</v>
      </c>
      <c r="H208" s="96" t="s">
        <v>28</v>
      </c>
      <c r="I208" s="96" t="s">
        <v>28</v>
      </c>
      <c r="J208" s="96" t="s">
        <v>436</v>
      </c>
      <c r="K208" s="96" t="s">
        <v>24</v>
      </c>
      <c r="L208" s="96" t="s">
        <v>437</v>
      </c>
      <c r="M208" s="96" t="s">
        <v>28</v>
      </c>
      <c r="N208" s="96" t="s">
        <v>24</v>
      </c>
      <c r="O208" s="96" t="s">
        <v>24</v>
      </c>
      <c r="P208" s="96" t="s">
        <v>24</v>
      </c>
      <c r="Q208" s="96" t="s">
        <v>24</v>
      </c>
      <c r="R208" s="96" t="s">
        <v>24</v>
      </c>
      <c r="S208" s="96" t="s">
        <v>24</v>
      </c>
      <c r="T208" s="96" t="s">
        <v>24</v>
      </c>
      <c r="U208" s="96" t="s">
        <v>24</v>
      </c>
      <c r="V208" s="96" t="s">
        <v>24</v>
      </c>
    </row>
    <row r="209" spans="1:22">
      <c r="A209" s="96" t="s">
        <v>438</v>
      </c>
      <c r="B209" s="96" t="s">
        <v>51</v>
      </c>
      <c r="C209" s="96" t="s">
        <v>24</v>
      </c>
      <c r="D209" s="96" t="s">
        <v>25</v>
      </c>
      <c r="E209" s="96" t="s">
        <v>770</v>
      </c>
      <c r="F209" s="96" t="s">
        <v>28</v>
      </c>
      <c r="G209" s="96" t="s">
        <v>28</v>
      </c>
      <c r="H209" s="96" t="s">
        <v>28</v>
      </c>
      <c r="I209" s="96" t="s">
        <v>28</v>
      </c>
      <c r="J209" s="96" t="s">
        <v>439</v>
      </c>
      <c r="K209" s="96" t="s">
        <v>24</v>
      </c>
      <c r="L209" s="96" t="s">
        <v>440</v>
      </c>
      <c r="M209" s="96" t="s">
        <v>28</v>
      </c>
      <c r="N209" s="96" t="s">
        <v>24</v>
      </c>
      <c r="O209" s="96" t="s">
        <v>24</v>
      </c>
      <c r="P209" s="96" t="s">
        <v>24</v>
      </c>
      <c r="Q209" s="96" t="s">
        <v>24</v>
      </c>
      <c r="R209" s="96" t="s">
        <v>24</v>
      </c>
      <c r="S209" s="96" t="s">
        <v>24</v>
      </c>
      <c r="T209" s="96" t="s">
        <v>24</v>
      </c>
      <c r="U209" s="96" t="s">
        <v>24</v>
      </c>
      <c r="V209" s="96" t="s">
        <v>24</v>
      </c>
    </row>
    <row r="210" spans="1:22">
      <c r="A210" s="96" t="s">
        <v>441</v>
      </c>
      <c r="B210" s="96" t="s">
        <v>51</v>
      </c>
      <c r="C210" s="96" t="s">
        <v>24</v>
      </c>
      <c r="D210" s="96" t="s">
        <v>25</v>
      </c>
      <c r="E210" s="96" t="s">
        <v>770</v>
      </c>
      <c r="F210" s="96" t="s">
        <v>28</v>
      </c>
      <c r="G210" s="96" t="s">
        <v>28</v>
      </c>
      <c r="H210" s="96" t="s">
        <v>28</v>
      </c>
      <c r="I210" s="96" t="s">
        <v>28</v>
      </c>
      <c r="J210" s="96" t="s">
        <v>442</v>
      </c>
      <c r="K210" s="96" t="s">
        <v>165</v>
      </c>
      <c r="L210" s="96" t="s">
        <v>443</v>
      </c>
      <c r="M210" s="96" t="s">
        <v>28</v>
      </c>
      <c r="N210" s="96" t="s">
        <v>444</v>
      </c>
      <c r="O210" s="96" t="s">
        <v>28</v>
      </c>
      <c r="P210" s="96" t="s">
        <v>28</v>
      </c>
      <c r="Q210" s="96" t="s">
        <v>24</v>
      </c>
      <c r="R210" s="96" t="s">
        <v>54</v>
      </c>
      <c r="S210" s="96" t="s">
        <v>445</v>
      </c>
      <c r="T210" s="96" t="s">
        <v>24</v>
      </c>
      <c r="U210" s="96" t="s">
        <v>24</v>
      </c>
      <c r="V210" s="96" t="s">
        <v>24</v>
      </c>
    </row>
    <row r="211" spans="1:22">
      <c r="A211" s="96" t="s">
        <v>446</v>
      </c>
      <c r="B211" s="96" t="s">
        <v>51</v>
      </c>
      <c r="C211" s="96" t="s">
        <v>24</v>
      </c>
      <c r="D211" s="96" t="s">
        <v>25</v>
      </c>
      <c r="E211" s="96" t="s">
        <v>770</v>
      </c>
      <c r="F211" s="96" t="s">
        <v>28</v>
      </c>
      <c r="G211" s="96" t="s">
        <v>28</v>
      </c>
      <c r="H211" s="96" t="s">
        <v>28</v>
      </c>
      <c r="I211" s="96" t="s">
        <v>28</v>
      </c>
      <c r="J211" s="96" t="s">
        <v>447</v>
      </c>
      <c r="K211" s="96" t="s">
        <v>24</v>
      </c>
      <c r="L211" s="96" t="s">
        <v>448</v>
      </c>
      <c r="M211" s="96" t="s">
        <v>28</v>
      </c>
      <c r="N211" s="96" t="s">
        <v>444</v>
      </c>
      <c r="O211" s="96" t="s">
        <v>28</v>
      </c>
      <c r="P211" s="96" t="s">
        <v>28</v>
      </c>
      <c r="Q211" s="96" t="s">
        <v>24</v>
      </c>
      <c r="R211" s="96" t="s">
        <v>54</v>
      </c>
      <c r="S211" s="96" t="s">
        <v>445</v>
      </c>
      <c r="T211" s="96" t="s">
        <v>24</v>
      </c>
      <c r="U211" s="96" t="s">
        <v>24</v>
      </c>
      <c r="V211" s="96" t="s">
        <v>24</v>
      </c>
    </row>
    <row r="212" spans="1:22">
      <c r="A212" s="96" t="s">
        <v>1066</v>
      </c>
      <c r="B212" s="96" t="s">
        <v>51</v>
      </c>
      <c r="C212" s="96" t="s">
        <v>24</v>
      </c>
      <c r="D212" s="96" t="s">
        <v>25</v>
      </c>
      <c r="E212" s="96" t="s">
        <v>770</v>
      </c>
      <c r="F212" s="96" t="s">
        <v>28</v>
      </c>
      <c r="G212" s="96" t="s">
        <v>28</v>
      </c>
      <c r="H212" s="96" t="s">
        <v>28</v>
      </c>
      <c r="I212" s="96" t="s">
        <v>28</v>
      </c>
      <c r="J212" s="96" t="s">
        <v>1067</v>
      </c>
      <c r="K212" s="96" t="s">
        <v>24</v>
      </c>
      <c r="L212" s="96" t="s">
        <v>1068</v>
      </c>
      <c r="M212" s="96" t="s">
        <v>28</v>
      </c>
      <c r="N212" s="96" t="s">
        <v>700</v>
      </c>
      <c r="O212" s="96" t="s">
        <v>433</v>
      </c>
      <c r="P212" s="96" t="s">
        <v>499</v>
      </c>
      <c r="Q212" s="96" t="s">
        <v>24</v>
      </c>
      <c r="R212" s="96" t="s">
        <v>63</v>
      </c>
      <c r="S212" s="96" t="s">
        <v>1069</v>
      </c>
      <c r="T212" s="96" t="s">
        <v>24</v>
      </c>
      <c r="U212" s="96" t="s">
        <v>24</v>
      </c>
      <c r="V212" s="96" t="s">
        <v>24</v>
      </c>
    </row>
    <row r="213" spans="1:22">
      <c r="A213" s="96" t="s">
        <v>449</v>
      </c>
      <c r="B213" s="96" t="s">
        <v>51</v>
      </c>
      <c r="C213" s="96" t="s">
        <v>24</v>
      </c>
      <c r="D213" s="96" t="s">
        <v>25</v>
      </c>
      <c r="E213" s="96" t="s">
        <v>770</v>
      </c>
      <c r="F213" s="96" t="s">
        <v>28</v>
      </c>
      <c r="G213" s="96" t="s">
        <v>28</v>
      </c>
      <c r="H213" s="96" t="s">
        <v>28</v>
      </c>
      <c r="I213" s="96" t="s">
        <v>28</v>
      </c>
      <c r="J213" s="96" t="s">
        <v>450</v>
      </c>
      <c r="K213" s="96" t="s">
        <v>24</v>
      </c>
      <c r="L213" s="96" t="s">
        <v>451</v>
      </c>
      <c r="M213" s="96" t="s">
        <v>28</v>
      </c>
      <c r="N213" s="96" t="s">
        <v>452</v>
      </c>
      <c r="O213" s="96" t="s">
        <v>433</v>
      </c>
      <c r="P213" s="96" t="s">
        <v>499</v>
      </c>
      <c r="Q213" s="96" t="s">
        <v>24</v>
      </c>
      <c r="R213" s="96" t="s">
        <v>25</v>
      </c>
      <c r="S213" s="96" t="s">
        <v>453</v>
      </c>
      <c r="T213" s="96" t="s">
        <v>24</v>
      </c>
      <c r="U213" s="96" t="s">
        <v>24</v>
      </c>
      <c r="V213" s="96" t="s">
        <v>24</v>
      </c>
    </row>
    <row r="214" spans="1:22">
      <c r="A214" s="96" t="s">
        <v>1070</v>
      </c>
      <c r="B214" s="96" t="s">
        <v>51</v>
      </c>
      <c r="C214" s="96" t="s">
        <v>24</v>
      </c>
      <c r="D214" s="96" t="s">
        <v>25</v>
      </c>
      <c r="E214" s="96" t="s">
        <v>571</v>
      </c>
      <c r="F214" s="96" t="s">
        <v>28</v>
      </c>
      <c r="G214" s="96" t="s">
        <v>28</v>
      </c>
      <c r="H214" s="96" t="s">
        <v>28</v>
      </c>
      <c r="I214" s="96" t="s">
        <v>28</v>
      </c>
      <c r="J214" s="96" t="s">
        <v>1071</v>
      </c>
      <c r="K214" s="96" t="s">
        <v>24</v>
      </c>
      <c r="L214" s="96" t="s">
        <v>1072</v>
      </c>
      <c r="M214" s="96" t="s">
        <v>28</v>
      </c>
      <c r="N214" s="96" t="s">
        <v>664</v>
      </c>
      <c r="O214" s="96" t="s">
        <v>433</v>
      </c>
      <c r="P214" s="96" t="s">
        <v>499</v>
      </c>
      <c r="Q214" s="96" t="s">
        <v>24</v>
      </c>
      <c r="R214" s="96" t="s">
        <v>54</v>
      </c>
      <c r="S214" s="96" t="s">
        <v>1073</v>
      </c>
      <c r="T214" s="96" t="s">
        <v>24</v>
      </c>
      <c r="U214" s="96" t="s">
        <v>24</v>
      </c>
      <c r="V214" s="96" t="s">
        <v>24</v>
      </c>
    </row>
    <row r="215" spans="1:22">
      <c r="A215" s="96" t="s">
        <v>1074</v>
      </c>
      <c r="B215" s="96" t="s">
        <v>51</v>
      </c>
      <c r="C215" s="96" t="s">
        <v>24</v>
      </c>
      <c r="D215" s="96" t="s">
        <v>25</v>
      </c>
      <c r="E215" s="96" t="s">
        <v>770</v>
      </c>
      <c r="F215" s="96" t="s">
        <v>28</v>
      </c>
      <c r="G215" s="96" t="s">
        <v>28</v>
      </c>
      <c r="H215" s="96" t="s">
        <v>28</v>
      </c>
      <c r="I215" s="96" t="s">
        <v>28</v>
      </c>
      <c r="J215" s="96" t="s">
        <v>1075</v>
      </c>
      <c r="K215" s="96" t="s">
        <v>1076</v>
      </c>
      <c r="L215" s="96" t="s">
        <v>1077</v>
      </c>
      <c r="M215" s="96" t="s">
        <v>28</v>
      </c>
      <c r="N215" s="96" t="s">
        <v>700</v>
      </c>
      <c r="O215" s="96" t="s">
        <v>433</v>
      </c>
      <c r="P215" s="96" t="s">
        <v>499</v>
      </c>
      <c r="Q215" s="96" t="s">
        <v>24</v>
      </c>
      <c r="R215" s="96" t="s">
        <v>63</v>
      </c>
      <c r="S215" s="96" t="s">
        <v>944</v>
      </c>
      <c r="T215" s="96" t="s">
        <v>24</v>
      </c>
      <c r="U215" s="96" t="s">
        <v>24</v>
      </c>
      <c r="V215" s="96" t="s">
        <v>24</v>
      </c>
    </row>
    <row r="216" spans="1:22">
      <c r="A216" s="96" t="s">
        <v>454</v>
      </c>
      <c r="B216" s="96" t="s">
        <v>51</v>
      </c>
      <c r="C216" s="96" t="s">
        <v>24</v>
      </c>
      <c r="D216" s="96" t="s">
        <v>25</v>
      </c>
      <c r="E216" s="96" t="s">
        <v>571</v>
      </c>
      <c r="F216" s="96" t="s">
        <v>28</v>
      </c>
      <c r="G216" s="96" t="s">
        <v>28</v>
      </c>
      <c r="H216" s="96" t="s">
        <v>28</v>
      </c>
      <c r="I216" s="96" t="s">
        <v>28</v>
      </c>
      <c r="J216" s="96" t="s">
        <v>455</v>
      </c>
      <c r="K216" s="96" t="s">
        <v>24</v>
      </c>
      <c r="L216" s="96" t="s">
        <v>456</v>
      </c>
      <c r="M216" s="96" t="s">
        <v>28</v>
      </c>
      <c r="N216" s="96" t="s">
        <v>33</v>
      </c>
      <c r="O216" s="96" t="s">
        <v>420</v>
      </c>
      <c r="P216" s="96" t="s">
        <v>499</v>
      </c>
      <c r="Q216" s="96" t="s">
        <v>24</v>
      </c>
      <c r="R216" s="96" t="s">
        <v>63</v>
      </c>
      <c r="S216" s="96" t="s">
        <v>434</v>
      </c>
      <c r="T216" s="96" t="s">
        <v>24</v>
      </c>
      <c r="U216" s="96" t="s">
        <v>24</v>
      </c>
      <c r="V216" s="96" t="s">
        <v>24</v>
      </c>
    </row>
    <row r="217" spans="1:22">
      <c r="A217" s="96" t="s">
        <v>454</v>
      </c>
      <c r="B217" s="96" t="s">
        <v>51</v>
      </c>
      <c r="C217" s="96" t="s">
        <v>24</v>
      </c>
      <c r="D217" s="96" t="s">
        <v>25</v>
      </c>
      <c r="E217" s="96" t="s">
        <v>571</v>
      </c>
      <c r="F217" s="96" t="s">
        <v>28</v>
      </c>
      <c r="G217" s="96" t="s">
        <v>28</v>
      </c>
      <c r="H217" s="96" t="s">
        <v>28</v>
      </c>
      <c r="I217" s="96" t="s">
        <v>28</v>
      </c>
      <c r="J217" s="96" t="s">
        <v>457</v>
      </c>
      <c r="K217" s="96" t="s">
        <v>24</v>
      </c>
      <c r="L217" s="96" t="s">
        <v>458</v>
      </c>
      <c r="M217" s="96" t="s">
        <v>28</v>
      </c>
      <c r="N217" s="96" t="s">
        <v>33</v>
      </c>
      <c r="O217" s="96" t="s">
        <v>433</v>
      </c>
      <c r="P217" s="96" t="s">
        <v>499</v>
      </c>
      <c r="Q217" s="96" t="s">
        <v>24</v>
      </c>
      <c r="R217" s="96" t="s">
        <v>63</v>
      </c>
      <c r="S217" s="96" t="s">
        <v>434</v>
      </c>
      <c r="T217" s="96" t="s">
        <v>24</v>
      </c>
      <c r="U217" s="96" t="s">
        <v>24</v>
      </c>
      <c r="V217" s="96" t="s">
        <v>24</v>
      </c>
    </row>
    <row r="218" spans="1:22">
      <c r="A218" s="96" t="s">
        <v>459</v>
      </c>
      <c r="B218" s="96" t="s">
        <v>51</v>
      </c>
      <c r="C218" s="96" t="s">
        <v>24</v>
      </c>
      <c r="D218" s="96" t="s">
        <v>25</v>
      </c>
      <c r="E218" s="96" t="s">
        <v>538</v>
      </c>
      <c r="F218" s="96" t="s">
        <v>28</v>
      </c>
      <c r="G218" s="96" t="s">
        <v>28</v>
      </c>
      <c r="H218" s="96" t="s">
        <v>28</v>
      </c>
      <c r="I218" s="96" t="s">
        <v>28</v>
      </c>
      <c r="J218" s="96" t="s">
        <v>461</v>
      </c>
      <c r="K218" s="96" t="s">
        <v>24</v>
      </c>
      <c r="L218" s="96" t="s">
        <v>462</v>
      </c>
      <c r="M218" s="96" t="s">
        <v>28</v>
      </c>
      <c r="N218" s="96" t="s">
        <v>24</v>
      </c>
      <c r="O218" s="96" t="s">
        <v>24</v>
      </c>
      <c r="P218" s="96" t="s">
        <v>24</v>
      </c>
      <c r="Q218" s="96" t="s">
        <v>24</v>
      </c>
      <c r="R218" s="96" t="s">
        <v>54</v>
      </c>
      <c r="S218" s="96" t="s">
        <v>24</v>
      </c>
      <c r="T218" s="96" t="s">
        <v>24</v>
      </c>
      <c r="U218" s="96" t="s">
        <v>24</v>
      </c>
      <c r="V218" s="96" t="s">
        <v>24</v>
      </c>
    </row>
    <row r="219" spans="1:22">
      <c r="A219" s="96" t="s">
        <v>464</v>
      </c>
      <c r="B219" s="96" t="s">
        <v>51</v>
      </c>
      <c r="C219" s="96" t="s">
        <v>24</v>
      </c>
      <c r="D219" s="96" t="s">
        <v>25</v>
      </c>
      <c r="E219" s="96" t="s">
        <v>538</v>
      </c>
      <c r="F219" s="96" t="s">
        <v>28</v>
      </c>
      <c r="G219" s="96" t="s">
        <v>28</v>
      </c>
      <c r="H219" s="96" t="s">
        <v>28</v>
      </c>
      <c r="I219" s="96" t="s">
        <v>28</v>
      </c>
      <c r="J219" s="96" t="s">
        <v>465</v>
      </c>
      <c r="K219" s="96" t="s">
        <v>24</v>
      </c>
      <c r="L219" s="96" t="s">
        <v>466</v>
      </c>
      <c r="M219" s="96" t="s">
        <v>28</v>
      </c>
      <c r="N219" s="96" t="s">
        <v>24</v>
      </c>
      <c r="O219" s="96" t="s">
        <v>24</v>
      </c>
      <c r="P219" s="96" t="s">
        <v>24</v>
      </c>
      <c r="Q219" s="96" t="s">
        <v>24</v>
      </c>
      <c r="R219" s="96" t="s">
        <v>54</v>
      </c>
      <c r="S219" s="96" t="s">
        <v>24</v>
      </c>
      <c r="T219" s="96" t="s">
        <v>24</v>
      </c>
      <c r="U219" s="96" t="s">
        <v>24</v>
      </c>
      <c r="V219" s="96" t="s">
        <v>24</v>
      </c>
    </row>
    <row r="220" spans="1:22">
      <c r="A220" s="96" t="s">
        <v>467</v>
      </c>
      <c r="B220" s="96" t="s">
        <v>51</v>
      </c>
      <c r="C220" s="96" t="s">
        <v>24</v>
      </c>
      <c r="D220" s="96" t="s">
        <v>25</v>
      </c>
      <c r="E220" s="96" t="s">
        <v>538</v>
      </c>
      <c r="F220" s="96" t="s">
        <v>28</v>
      </c>
      <c r="G220" s="96" t="s">
        <v>28</v>
      </c>
      <c r="H220" s="96" t="s">
        <v>28</v>
      </c>
      <c r="I220" s="96" t="s">
        <v>28</v>
      </c>
      <c r="J220" s="96" t="s">
        <v>468</v>
      </c>
      <c r="K220" s="96" t="s">
        <v>24</v>
      </c>
      <c r="L220" s="96" t="s">
        <v>469</v>
      </c>
      <c r="M220" s="96" t="s">
        <v>28</v>
      </c>
      <c r="N220" s="96" t="s">
        <v>24</v>
      </c>
      <c r="O220" s="96" t="s">
        <v>24</v>
      </c>
      <c r="P220" s="96" t="s">
        <v>24</v>
      </c>
      <c r="Q220" s="96" t="s">
        <v>24</v>
      </c>
      <c r="R220" s="96" t="s">
        <v>54</v>
      </c>
      <c r="S220" s="96" t="s">
        <v>24</v>
      </c>
      <c r="T220" s="96" t="s">
        <v>24</v>
      </c>
      <c r="U220" s="96" t="s">
        <v>24</v>
      </c>
      <c r="V220" s="96" t="s">
        <v>24</v>
      </c>
    </row>
    <row r="221" spans="1:22">
      <c r="A221" s="96" t="s">
        <v>1078</v>
      </c>
      <c r="B221" s="96" t="s">
        <v>51</v>
      </c>
      <c r="C221" s="96" t="s">
        <v>24</v>
      </c>
      <c r="D221" s="96" t="s">
        <v>25</v>
      </c>
      <c r="E221" s="96" t="s">
        <v>538</v>
      </c>
      <c r="F221" s="96" t="s">
        <v>28</v>
      </c>
      <c r="G221" s="96" t="s">
        <v>28</v>
      </c>
      <c r="H221" s="96" t="s">
        <v>28</v>
      </c>
      <c r="I221" s="96" t="s">
        <v>28</v>
      </c>
      <c r="J221" s="96" t="s">
        <v>1079</v>
      </c>
      <c r="K221" s="96" t="s">
        <v>24</v>
      </c>
      <c r="L221" s="96" t="s">
        <v>1080</v>
      </c>
      <c r="M221" s="96" t="s">
        <v>28</v>
      </c>
      <c r="N221" s="96" t="s">
        <v>700</v>
      </c>
      <c r="O221" s="96" t="s">
        <v>28</v>
      </c>
      <c r="P221" s="96" t="s">
        <v>28</v>
      </c>
      <c r="Q221" s="96" t="s">
        <v>24</v>
      </c>
      <c r="R221" s="96" t="s">
        <v>28</v>
      </c>
      <c r="S221" s="96" t="s">
        <v>1023</v>
      </c>
      <c r="T221" s="96" t="s">
        <v>24</v>
      </c>
      <c r="U221" s="96" t="s">
        <v>24</v>
      </c>
      <c r="V221" s="96" t="s">
        <v>24</v>
      </c>
    </row>
    <row r="222" spans="1:22">
      <c r="A222" s="96" t="s">
        <v>1081</v>
      </c>
      <c r="B222" s="96" t="s">
        <v>51</v>
      </c>
      <c r="C222" s="96" t="s">
        <v>24</v>
      </c>
      <c r="D222" s="96" t="s">
        <v>25</v>
      </c>
      <c r="E222" s="96" t="s">
        <v>538</v>
      </c>
      <c r="F222" s="96" t="s">
        <v>28</v>
      </c>
      <c r="G222" s="96" t="s">
        <v>28</v>
      </c>
      <c r="H222" s="96" t="s">
        <v>28</v>
      </c>
      <c r="I222" s="96" t="s">
        <v>28</v>
      </c>
      <c r="J222" s="96" t="s">
        <v>1082</v>
      </c>
      <c r="K222" s="96" t="s">
        <v>24</v>
      </c>
      <c r="L222" s="96" t="s">
        <v>1083</v>
      </c>
      <c r="M222" s="96" t="s">
        <v>28</v>
      </c>
      <c r="N222" s="96" t="s">
        <v>700</v>
      </c>
      <c r="O222" s="96" t="s">
        <v>28</v>
      </c>
      <c r="P222" s="96" t="s">
        <v>28</v>
      </c>
      <c r="Q222" s="96" t="s">
        <v>24</v>
      </c>
      <c r="R222" s="96" t="s">
        <v>28</v>
      </c>
      <c r="S222" s="96" t="s">
        <v>1023</v>
      </c>
      <c r="T222" s="96" t="s">
        <v>24</v>
      </c>
      <c r="U222" s="96" t="s">
        <v>24</v>
      </c>
      <c r="V222" s="96" t="s">
        <v>24</v>
      </c>
    </row>
    <row r="223" spans="1:22">
      <c r="A223" s="96" t="s">
        <v>1084</v>
      </c>
      <c r="B223" s="96" t="s">
        <v>51</v>
      </c>
      <c r="C223" s="96" t="s">
        <v>24</v>
      </c>
      <c r="D223" s="96" t="s">
        <v>25</v>
      </c>
      <c r="E223" s="96" t="s">
        <v>538</v>
      </c>
      <c r="F223" s="96" t="s">
        <v>28</v>
      </c>
      <c r="G223" s="96" t="s">
        <v>28</v>
      </c>
      <c r="H223" s="96" t="s">
        <v>28</v>
      </c>
      <c r="I223" s="96" t="s">
        <v>28</v>
      </c>
      <c r="J223" s="96" t="s">
        <v>1085</v>
      </c>
      <c r="K223" s="96" t="s">
        <v>24</v>
      </c>
      <c r="L223" s="96" t="s">
        <v>1086</v>
      </c>
      <c r="M223" s="96" t="s">
        <v>28</v>
      </c>
      <c r="N223" s="96" t="s">
        <v>700</v>
      </c>
      <c r="O223" s="96" t="s">
        <v>28</v>
      </c>
      <c r="P223" s="96" t="s">
        <v>28</v>
      </c>
      <c r="Q223" s="96" t="s">
        <v>24</v>
      </c>
      <c r="R223" s="96" t="s">
        <v>28</v>
      </c>
      <c r="S223" s="96" t="s">
        <v>24</v>
      </c>
      <c r="T223" s="96" t="s">
        <v>24</v>
      </c>
      <c r="U223" s="96" t="s">
        <v>24</v>
      </c>
      <c r="V223" s="96" t="s">
        <v>24</v>
      </c>
    </row>
    <row r="224" spans="1:22">
      <c r="A224" s="96" t="s">
        <v>1087</v>
      </c>
      <c r="B224" s="96" t="s">
        <v>51</v>
      </c>
      <c r="C224" s="96" t="s">
        <v>24</v>
      </c>
      <c r="D224" s="96" t="s">
        <v>25</v>
      </c>
      <c r="E224" s="96" t="s">
        <v>538</v>
      </c>
      <c r="F224" s="96" t="s">
        <v>28</v>
      </c>
      <c r="G224" s="96" t="s">
        <v>28</v>
      </c>
      <c r="H224" s="96" t="s">
        <v>28</v>
      </c>
      <c r="I224" s="96" t="s">
        <v>28</v>
      </c>
      <c r="J224" s="96" t="s">
        <v>1088</v>
      </c>
      <c r="K224" s="96" t="s">
        <v>24</v>
      </c>
      <c r="L224" s="96" t="s">
        <v>1089</v>
      </c>
      <c r="M224" s="96" t="s">
        <v>28</v>
      </c>
      <c r="N224" s="96" t="s">
        <v>700</v>
      </c>
      <c r="O224" s="96" t="s">
        <v>28</v>
      </c>
      <c r="P224" s="96" t="s">
        <v>28</v>
      </c>
      <c r="Q224" s="96" t="s">
        <v>24</v>
      </c>
      <c r="R224" s="96" t="s">
        <v>28</v>
      </c>
      <c r="S224" s="96" t="s">
        <v>1023</v>
      </c>
      <c r="T224" s="96" t="s">
        <v>24</v>
      </c>
      <c r="U224" s="96" t="s">
        <v>24</v>
      </c>
      <c r="V224" s="96" t="s">
        <v>24</v>
      </c>
    </row>
    <row r="225" spans="1:22">
      <c r="A225" s="96" t="s">
        <v>470</v>
      </c>
      <c r="B225" s="96" t="s">
        <v>51</v>
      </c>
      <c r="C225" s="96" t="s">
        <v>24</v>
      </c>
      <c r="D225" s="96" t="s">
        <v>25</v>
      </c>
      <c r="E225" s="96" t="s">
        <v>538</v>
      </c>
      <c r="F225" s="96" t="s">
        <v>28</v>
      </c>
      <c r="G225" s="96" t="s">
        <v>28</v>
      </c>
      <c r="H225" s="96" t="s">
        <v>28</v>
      </c>
      <c r="I225" s="96" t="s">
        <v>28</v>
      </c>
      <c r="J225" s="96" t="s">
        <v>472</v>
      </c>
      <c r="K225" s="96" t="s">
        <v>24</v>
      </c>
      <c r="L225" s="96" t="s">
        <v>473</v>
      </c>
      <c r="M225" s="96" t="s">
        <v>28</v>
      </c>
      <c r="N225" s="96" t="s">
        <v>444</v>
      </c>
      <c r="O225" s="96" t="s">
        <v>28</v>
      </c>
      <c r="P225" s="96" t="s">
        <v>28</v>
      </c>
      <c r="Q225" s="96" t="s">
        <v>24</v>
      </c>
      <c r="R225" s="96" t="s">
        <v>54</v>
      </c>
      <c r="S225" s="96" t="s">
        <v>445</v>
      </c>
      <c r="T225" s="96" t="s">
        <v>24</v>
      </c>
      <c r="U225" s="96" t="s">
        <v>24</v>
      </c>
      <c r="V225" s="96" t="s">
        <v>24</v>
      </c>
    </row>
    <row r="226" spans="1:22">
      <c r="A226" s="96" t="s">
        <v>1090</v>
      </c>
      <c r="B226" s="96" t="s">
        <v>51</v>
      </c>
      <c r="C226" s="96" t="s">
        <v>24</v>
      </c>
      <c r="D226" s="96" t="s">
        <v>25</v>
      </c>
      <c r="E226" s="96" t="s">
        <v>538</v>
      </c>
      <c r="F226" s="96" t="s">
        <v>28</v>
      </c>
      <c r="G226" s="96" t="s">
        <v>28</v>
      </c>
      <c r="H226" s="96" t="s">
        <v>28</v>
      </c>
      <c r="I226" s="96" t="s">
        <v>28</v>
      </c>
      <c r="J226" s="96" t="s">
        <v>1091</v>
      </c>
      <c r="K226" s="96" t="s">
        <v>24</v>
      </c>
      <c r="L226" s="96" t="s">
        <v>1092</v>
      </c>
      <c r="M226" s="96" t="s">
        <v>28</v>
      </c>
      <c r="N226" s="96" t="s">
        <v>700</v>
      </c>
      <c r="O226" s="96" t="s">
        <v>433</v>
      </c>
      <c r="P226" s="96" t="s">
        <v>495</v>
      </c>
      <c r="Q226" s="96" t="s">
        <v>24</v>
      </c>
      <c r="R226" s="96" t="s">
        <v>63</v>
      </c>
      <c r="S226" s="96" t="s">
        <v>985</v>
      </c>
      <c r="T226" s="96" t="s">
        <v>24</v>
      </c>
      <c r="U226" s="96" t="s">
        <v>24</v>
      </c>
      <c r="V226" s="96" t="s">
        <v>24</v>
      </c>
    </row>
    <row r="227" spans="1:22">
      <c r="A227" s="96" t="s">
        <v>1093</v>
      </c>
      <c r="B227" s="96" t="s">
        <v>51</v>
      </c>
      <c r="C227" s="96" t="s">
        <v>24</v>
      </c>
      <c r="D227" s="96" t="s">
        <v>25</v>
      </c>
      <c r="E227" s="96" t="s">
        <v>538</v>
      </c>
      <c r="F227" s="96" t="s">
        <v>28</v>
      </c>
      <c r="G227" s="96" t="s">
        <v>28</v>
      </c>
      <c r="H227" s="96" t="s">
        <v>28</v>
      </c>
      <c r="I227" s="96" t="s">
        <v>28</v>
      </c>
      <c r="J227" s="96" t="s">
        <v>1094</v>
      </c>
      <c r="K227" s="96" t="s">
        <v>503</v>
      </c>
      <c r="L227" s="96" t="s">
        <v>1095</v>
      </c>
      <c r="M227" s="96" t="s">
        <v>28</v>
      </c>
      <c r="N227" s="96" t="s">
        <v>700</v>
      </c>
      <c r="O227" s="96" t="s">
        <v>1096</v>
      </c>
      <c r="P227" s="96" t="s">
        <v>495</v>
      </c>
      <c r="Q227" s="96" t="s">
        <v>24</v>
      </c>
      <c r="R227" s="96" t="s">
        <v>54</v>
      </c>
      <c r="S227" s="96" t="s">
        <v>940</v>
      </c>
      <c r="T227" s="96" t="s">
        <v>24</v>
      </c>
      <c r="U227" s="96" t="s">
        <v>24</v>
      </c>
      <c r="V227" s="96" t="s">
        <v>24</v>
      </c>
    </row>
    <row r="228" spans="1:22">
      <c r="A228" s="96" t="s">
        <v>1097</v>
      </c>
      <c r="B228" s="96" t="s">
        <v>51</v>
      </c>
      <c r="C228" s="96" t="s">
        <v>24</v>
      </c>
      <c r="D228" s="96" t="s">
        <v>25</v>
      </c>
      <c r="E228" s="96" t="s">
        <v>538</v>
      </c>
      <c r="F228" s="96" t="s">
        <v>28</v>
      </c>
      <c r="G228" s="96" t="s">
        <v>28</v>
      </c>
      <c r="H228" s="96" t="s">
        <v>28</v>
      </c>
      <c r="I228" s="96" t="s">
        <v>28</v>
      </c>
      <c r="J228" s="96" t="s">
        <v>1098</v>
      </c>
      <c r="K228" s="96" t="s">
        <v>503</v>
      </c>
      <c r="L228" s="96" t="s">
        <v>1099</v>
      </c>
      <c r="M228" s="96" t="s">
        <v>28</v>
      </c>
      <c r="N228" s="96" t="s">
        <v>700</v>
      </c>
      <c r="O228" s="96" t="s">
        <v>1096</v>
      </c>
      <c r="P228" s="96" t="s">
        <v>495</v>
      </c>
      <c r="Q228" s="96" t="s">
        <v>24</v>
      </c>
      <c r="R228" s="96" t="s">
        <v>54</v>
      </c>
      <c r="S228" s="96" t="s">
        <v>940</v>
      </c>
      <c r="T228" s="96" t="s">
        <v>24</v>
      </c>
      <c r="U228" s="96" t="s">
        <v>24</v>
      </c>
      <c r="V228" s="96" t="s">
        <v>24</v>
      </c>
    </row>
    <row r="229" spans="1:22">
      <c r="A229" s="96" t="s">
        <v>1100</v>
      </c>
      <c r="B229" s="96" t="s">
        <v>51</v>
      </c>
      <c r="C229" s="96" t="s">
        <v>24</v>
      </c>
      <c r="D229" s="96" t="s">
        <v>25</v>
      </c>
      <c r="E229" s="96" t="s">
        <v>538</v>
      </c>
      <c r="F229" s="96" t="s">
        <v>28</v>
      </c>
      <c r="G229" s="96" t="s">
        <v>28</v>
      </c>
      <c r="H229" s="96" t="s">
        <v>28</v>
      </c>
      <c r="I229" s="96" t="s">
        <v>28</v>
      </c>
      <c r="J229" s="96" t="s">
        <v>1101</v>
      </c>
      <c r="K229" s="96" t="s">
        <v>503</v>
      </c>
      <c r="L229" s="96" t="s">
        <v>1102</v>
      </c>
      <c r="M229" s="96" t="s">
        <v>28</v>
      </c>
      <c r="N229" s="96" t="s">
        <v>700</v>
      </c>
      <c r="O229" s="96" t="s">
        <v>1096</v>
      </c>
      <c r="P229" s="96" t="s">
        <v>495</v>
      </c>
      <c r="Q229" s="96" t="s">
        <v>24</v>
      </c>
      <c r="R229" s="96" t="s">
        <v>54</v>
      </c>
      <c r="S229" s="96" t="s">
        <v>940</v>
      </c>
      <c r="T229" s="96" t="s">
        <v>24</v>
      </c>
      <c r="U229" s="96" t="s">
        <v>24</v>
      </c>
      <c r="V229" s="96" t="s">
        <v>24</v>
      </c>
    </row>
    <row r="230" spans="1:22">
      <c r="A230" s="96" t="s">
        <v>1103</v>
      </c>
      <c r="B230" s="96" t="s">
        <v>51</v>
      </c>
      <c r="C230" s="96" t="s">
        <v>24</v>
      </c>
      <c r="D230" s="96" t="s">
        <v>25</v>
      </c>
      <c r="E230" s="96" t="s">
        <v>538</v>
      </c>
      <c r="F230" s="96" t="s">
        <v>28</v>
      </c>
      <c r="G230" s="96" t="s">
        <v>28</v>
      </c>
      <c r="H230" s="96" t="s">
        <v>28</v>
      </c>
      <c r="I230" s="96" t="s">
        <v>28</v>
      </c>
      <c r="J230" s="96" t="s">
        <v>1104</v>
      </c>
      <c r="K230" s="96" t="s">
        <v>24</v>
      </c>
      <c r="L230" s="96" t="s">
        <v>24</v>
      </c>
      <c r="M230" s="96" t="s">
        <v>24</v>
      </c>
      <c r="N230" s="96" t="s">
        <v>700</v>
      </c>
      <c r="O230" s="96" t="s">
        <v>24</v>
      </c>
      <c r="P230" s="96" t="s">
        <v>24</v>
      </c>
      <c r="Q230" s="96" t="s">
        <v>24</v>
      </c>
      <c r="R230" s="96" t="s">
        <v>25</v>
      </c>
      <c r="S230" s="96" t="s">
        <v>826</v>
      </c>
      <c r="T230" s="96" t="s">
        <v>24</v>
      </c>
      <c r="U230" s="96" t="s">
        <v>24</v>
      </c>
      <c r="V230" s="96" t="s">
        <v>24</v>
      </c>
    </row>
    <row r="231" spans="1:22">
      <c r="A231" s="96" t="s">
        <v>1105</v>
      </c>
      <c r="B231" s="96" t="s">
        <v>51</v>
      </c>
      <c r="C231" s="96" t="s">
        <v>24</v>
      </c>
      <c r="D231" s="96" t="s">
        <v>25</v>
      </c>
      <c r="E231" s="96" t="s">
        <v>538</v>
      </c>
      <c r="F231" s="96" t="s">
        <v>28</v>
      </c>
      <c r="G231" s="96" t="s">
        <v>28</v>
      </c>
      <c r="H231" s="96" t="s">
        <v>28</v>
      </c>
      <c r="I231" s="96" t="s">
        <v>28</v>
      </c>
      <c r="J231" s="96" t="s">
        <v>1106</v>
      </c>
      <c r="K231" s="96" t="s">
        <v>503</v>
      </c>
      <c r="L231" s="96" t="s">
        <v>1107</v>
      </c>
      <c r="M231" s="96" t="s">
        <v>28</v>
      </c>
      <c r="N231" s="96" t="s">
        <v>700</v>
      </c>
      <c r="O231" s="96" t="s">
        <v>1096</v>
      </c>
      <c r="P231" s="96" t="s">
        <v>495</v>
      </c>
      <c r="Q231" s="96" t="s">
        <v>24</v>
      </c>
      <c r="R231" s="96" t="s">
        <v>54</v>
      </c>
      <c r="S231" s="96" t="s">
        <v>940</v>
      </c>
      <c r="T231" s="96" t="s">
        <v>24</v>
      </c>
      <c r="U231" s="96" t="s">
        <v>24</v>
      </c>
      <c r="V231" s="96" t="s">
        <v>24</v>
      </c>
    </row>
    <row r="232" spans="1:22">
      <c r="A232" s="96" t="s">
        <v>1108</v>
      </c>
      <c r="B232" s="96" t="s">
        <v>51</v>
      </c>
      <c r="C232" s="96" t="s">
        <v>24</v>
      </c>
      <c r="D232" s="96" t="s">
        <v>25</v>
      </c>
      <c r="E232" s="96" t="s">
        <v>538</v>
      </c>
      <c r="F232" s="96" t="s">
        <v>28</v>
      </c>
      <c r="G232" s="96" t="s">
        <v>28</v>
      </c>
      <c r="H232" s="96" t="s">
        <v>28</v>
      </c>
      <c r="I232" s="96" t="s">
        <v>28</v>
      </c>
      <c r="J232" s="96" t="s">
        <v>1109</v>
      </c>
      <c r="K232" s="96" t="s">
        <v>24</v>
      </c>
      <c r="L232" s="96" t="s">
        <v>24</v>
      </c>
      <c r="M232" s="96" t="s">
        <v>24</v>
      </c>
      <c r="N232" s="96" t="s">
        <v>700</v>
      </c>
      <c r="O232" s="96" t="s">
        <v>24</v>
      </c>
      <c r="P232" s="96" t="s">
        <v>24</v>
      </c>
      <c r="Q232" s="96" t="s">
        <v>24</v>
      </c>
      <c r="R232" s="96" t="s">
        <v>25</v>
      </c>
      <c r="S232" s="96" t="s">
        <v>826</v>
      </c>
      <c r="T232" s="96" t="s">
        <v>24</v>
      </c>
      <c r="U232" s="96" t="s">
        <v>24</v>
      </c>
      <c r="V232" s="96" t="s">
        <v>24</v>
      </c>
    </row>
    <row r="233" spans="1:22">
      <c r="A233" s="96" t="s">
        <v>1110</v>
      </c>
      <c r="B233" s="96" t="s">
        <v>51</v>
      </c>
      <c r="C233" s="96" t="s">
        <v>24</v>
      </c>
      <c r="D233" s="96" t="s">
        <v>25</v>
      </c>
      <c r="E233" s="96" t="s">
        <v>538</v>
      </c>
      <c r="F233" s="96" t="s">
        <v>28</v>
      </c>
      <c r="G233" s="96" t="s">
        <v>28</v>
      </c>
      <c r="H233" s="96" t="s">
        <v>28</v>
      </c>
      <c r="I233" s="96" t="s">
        <v>28</v>
      </c>
      <c r="J233" s="96" t="s">
        <v>1111</v>
      </c>
      <c r="K233" s="96" t="s">
        <v>24</v>
      </c>
      <c r="L233" s="96" t="s">
        <v>1112</v>
      </c>
      <c r="M233" s="96" t="s">
        <v>28</v>
      </c>
      <c r="N233" s="96" t="s">
        <v>700</v>
      </c>
      <c r="O233" s="96" t="s">
        <v>433</v>
      </c>
      <c r="P233" s="96" t="s">
        <v>495</v>
      </c>
      <c r="Q233" s="96" t="s">
        <v>24</v>
      </c>
      <c r="R233" s="96" t="s">
        <v>63</v>
      </c>
      <c r="S233" s="96" t="s">
        <v>1113</v>
      </c>
      <c r="T233" s="96" t="s">
        <v>24</v>
      </c>
      <c r="U233" s="96" t="s">
        <v>24</v>
      </c>
      <c r="V233" s="96" t="s">
        <v>24</v>
      </c>
    </row>
    <row r="234" spans="1:22">
      <c r="A234" s="96" t="s">
        <v>1114</v>
      </c>
      <c r="B234" s="96" t="s">
        <v>51</v>
      </c>
      <c r="C234" s="96" t="s">
        <v>24</v>
      </c>
      <c r="D234" s="96" t="s">
        <v>25</v>
      </c>
      <c r="E234" s="96" t="s">
        <v>538</v>
      </c>
      <c r="F234" s="96" t="s">
        <v>28</v>
      </c>
      <c r="G234" s="96" t="s">
        <v>28</v>
      </c>
      <c r="H234" s="96" t="s">
        <v>28</v>
      </c>
      <c r="I234" s="96" t="s">
        <v>28</v>
      </c>
      <c r="J234" s="96" t="s">
        <v>1115</v>
      </c>
      <c r="K234" s="96" t="s">
        <v>24</v>
      </c>
      <c r="L234" s="96" t="s">
        <v>1116</v>
      </c>
      <c r="M234" s="96" t="s">
        <v>28</v>
      </c>
      <c r="N234" s="96" t="s">
        <v>700</v>
      </c>
      <c r="O234" s="96" t="s">
        <v>433</v>
      </c>
      <c r="P234" s="96" t="s">
        <v>499</v>
      </c>
      <c r="Q234" s="96" t="s">
        <v>24</v>
      </c>
      <c r="R234" s="96" t="s">
        <v>54</v>
      </c>
      <c r="S234" s="96" t="s">
        <v>1117</v>
      </c>
      <c r="T234" s="96" t="s">
        <v>24</v>
      </c>
      <c r="U234" s="96" t="s">
        <v>24</v>
      </c>
      <c r="V234" s="96" t="s">
        <v>24</v>
      </c>
    </row>
    <row r="235" spans="1:22">
      <c r="A235" s="96" t="s">
        <v>1118</v>
      </c>
      <c r="B235" s="96" t="s">
        <v>51</v>
      </c>
      <c r="C235" s="96" t="s">
        <v>24</v>
      </c>
      <c r="D235" s="96" t="s">
        <v>25</v>
      </c>
      <c r="E235" s="96" t="s">
        <v>538</v>
      </c>
      <c r="F235" s="96" t="s">
        <v>28</v>
      </c>
      <c r="G235" s="96" t="s">
        <v>28</v>
      </c>
      <c r="H235" s="96" t="s">
        <v>28</v>
      </c>
      <c r="I235" s="96" t="s">
        <v>28</v>
      </c>
      <c r="J235" s="96" t="s">
        <v>1119</v>
      </c>
      <c r="K235" s="96" t="s">
        <v>24</v>
      </c>
      <c r="L235" s="96" t="s">
        <v>1120</v>
      </c>
      <c r="M235" s="96" t="s">
        <v>28</v>
      </c>
      <c r="N235" s="96" t="s">
        <v>700</v>
      </c>
      <c r="O235" s="96" t="s">
        <v>1096</v>
      </c>
      <c r="P235" s="96" t="s">
        <v>495</v>
      </c>
      <c r="Q235" s="96" t="s">
        <v>24</v>
      </c>
      <c r="R235" s="96" t="s">
        <v>63</v>
      </c>
      <c r="S235" s="96" t="s">
        <v>985</v>
      </c>
      <c r="T235" s="96" t="s">
        <v>24</v>
      </c>
      <c r="U235" s="96" t="s">
        <v>24</v>
      </c>
      <c r="V235" s="96" t="s">
        <v>24</v>
      </c>
    </row>
    <row r="236" spans="1:22">
      <c r="A236" s="96" t="s">
        <v>1121</v>
      </c>
      <c r="B236" s="96" t="s">
        <v>51</v>
      </c>
      <c r="C236" s="96" t="s">
        <v>24</v>
      </c>
      <c r="D236" s="96" t="s">
        <v>25</v>
      </c>
      <c r="E236" s="96" t="s">
        <v>538</v>
      </c>
      <c r="F236" s="96" t="s">
        <v>28</v>
      </c>
      <c r="G236" s="96" t="s">
        <v>28</v>
      </c>
      <c r="H236" s="96" t="s">
        <v>28</v>
      </c>
      <c r="I236" s="96" t="s">
        <v>28</v>
      </c>
      <c r="J236" s="96" t="s">
        <v>1122</v>
      </c>
      <c r="K236" s="96" t="s">
        <v>24</v>
      </c>
      <c r="L236" s="96" t="s">
        <v>24</v>
      </c>
      <c r="M236" s="96" t="s">
        <v>24</v>
      </c>
      <c r="N236" s="96" t="s">
        <v>700</v>
      </c>
      <c r="O236" s="96" t="s">
        <v>24</v>
      </c>
      <c r="P236" s="96" t="s">
        <v>24</v>
      </c>
      <c r="Q236" s="96" t="s">
        <v>24</v>
      </c>
      <c r="R236" s="96" t="s">
        <v>25</v>
      </c>
      <c r="S236" s="96" t="s">
        <v>826</v>
      </c>
      <c r="T236" s="96" t="s">
        <v>24</v>
      </c>
      <c r="U236" s="96" t="s">
        <v>24</v>
      </c>
      <c r="V236" s="96" t="s">
        <v>24</v>
      </c>
    </row>
    <row r="237" spans="1:22">
      <c r="A237" s="96" t="s">
        <v>1123</v>
      </c>
      <c r="B237" s="96" t="s">
        <v>51</v>
      </c>
      <c r="C237" s="96" t="s">
        <v>24</v>
      </c>
      <c r="D237" s="96" t="s">
        <v>25</v>
      </c>
      <c r="E237" s="96" t="s">
        <v>538</v>
      </c>
      <c r="F237" s="96" t="s">
        <v>28</v>
      </c>
      <c r="G237" s="96" t="s">
        <v>28</v>
      </c>
      <c r="H237" s="96" t="s">
        <v>28</v>
      </c>
      <c r="I237" s="96" t="s">
        <v>28</v>
      </c>
      <c r="J237" s="96" t="s">
        <v>1124</v>
      </c>
      <c r="K237" s="96" t="s">
        <v>24</v>
      </c>
      <c r="L237" s="96" t="s">
        <v>24</v>
      </c>
      <c r="M237" s="96" t="s">
        <v>24</v>
      </c>
      <c r="N237" s="96" t="s">
        <v>700</v>
      </c>
      <c r="O237" s="96" t="s">
        <v>24</v>
      </c>
      <c r="P237" s="96" t="s">
        <v>24</v>
      </c>
      <c r="Q237" s="96" t="s">
        <v>24</v>
      </c>
      <c r="R237" s="96" t="s">
        <v>25</v>
      </c>
      <c r="S237" s="96" t="s">
        <v>826</v>
      </c>
      <c r="T237" s="96" t="s">
        <v>24</v>
      </c>
      <c r="U237" s="96" t="s">
        <v>24</v>
      </c>
      <c r="V237" s="96" t="s">
        <v>24</v>
      </c>
    </row>
    <row r="238" spans="1:22">
      <c r="A238" s="96" t="s">
        <v>1125</v>
      </c>
      <c r="B238" s="96" t="s">
        <v>51</v>
      </c>
      <c r="C238" s="96" t="s">
        <v>24</v>
      </c>
      <c r="D238" s="96" t="s">
        <v>25</v>
      </c>
      <c r="E238" s="96" t="s">
        <v>538</v>
      </c>
      <c r="F238" s="96" t="s">
        <v>28</v>
      </c>
      <c r="G238" s="96" t="s">
        <v>28</v>
      </c>
      <c r="H238" s="96" t="s">
        <v>28</v>
      </c>
      <c r="I238" s="96" t="s">
        <v>28</v>
      </c>
      <c r="J238" s="96" t="s">
        <v>1126</v>
      </c>
      <c r="K238" s="96" t="s">
        <v>24</v>
      </c>
      <c r="L238" s="96" t="s">
        <v>1127</v>
      </c>
      <c r="M238" s="96" t="s">
        <v>28</v>
      </c>
      <c r="N238" s="96" t="s">
        <v>700</v>
      </c>
      <c r="O238" s="96" t="s">
        <v>344</v>
      </c>
      <c r="P238" s="96" t="s">
        <v>495</v>
      </c>
      <c r="Q238" s="96" t="s">
        <v>24</v>
      </c>
      <c r="R238" s="96" t="s">
        <v>25</v>
      </c>
      <c r="S238" s="96" t="s">
        <v>826</v>
      </c>
      <c r="T238" s="96" t="s">
        <v>24</v>
      </c>
      <c r="U238" s="96" t="s">
        <v>24</v>
      </c>
      <c r="V238" s="96" t="s">
        <v>24</v>
      </c>
    </row>
    <row r="239" spans="1:22">
      <c r="A239" s="96" t="s">
        <v>1128</v>
      </c>
      <c r="B239" s="96" t="s">
        <v>51</v>
      </c>
      <c r="C239" s="96" t="s">
        <v>24</v>
      </c>
      <c r="D239" s="96" t="s">
        <v>25</v>
      </c>
      <c r="E239" s="96" t="s">
        <v>538</v>
      </c>
      <c r="F239" s="96" t="s">
        <v>28</v>
      </c>
      <c r="G239" s="96" t="s">
        <v>28</v>
      </c>
      <c r="H239" s="96" t="s">
        <v>28</v>
      </c>
      <c r="I239" s="96" t="s">
        <v>28</v>
      </c>
      <c r="J239" s="96" t="s">
        <v>1129</v>
      </c>
      <c r="K239" s="96" t="s">
        <v>774</v>
      </c>
      <c r="L239" s="96" t="s">
        <v>1130</v>
      </c>
      <c r="M239" s="96" t="s">
        <v>28</v>
      </c>
      <c r="N239" s="96" t="s">
        <v>700</v>
      </c>
      <c r="O239" s="96" t="s">
        <v>433</v>
      </c>
      <c r="P239" s="96" t="s">
        <v>495</v>
      </c>
      <c r="Q239" s="96" t="s">
        <v>24</v>
      </c>
      <c r="R239" s="96" t="s">
        <v>25</v>
      </c>
      <c r="S239" s="96" t="s">
        <v>826</v>
      </c>
      <c r="T239" s="96" t="s">
        <v>24</v>
      </c>
      <c r="U239" s="96" t="s">
        <v>24</v>
      </c>
      <c r="V239" s="96" t="s">
        <v>24</v>
      </c>
    </row>
    <row r="240" spans="1:22">
      <c r="A240" s="96" t="s">
        <v>1131</v>
      </c>
      <c r="B240" s="96" t="s">
        <v>51</v>
      </c>
      <c r="C240" s="96" t="s">
        <v>24</v>
      </c>
      <c r="D240" s="96" t="s">
        <v>25</v>
      </c>
      <c r="E240" s="96" t="s">
        <v>538</v>
      </c>
      <c r="F240" s="96" t="s">
        <v>28</v>
      </c>
      <c r="G240" s="96" t="s">
        <v>28</v>
      </c>
      <c r="H240" s="96" t="s">
        <v>28</v>
      </c>
      <c r="I240" s="96" t="s">
        <v>28</v>
      </c>
      <c r="J240" s="96" t="s">
        <v>1132</v>
      </c>
      <c r="K240" s="96" t="s">
        <v>24</v>
      </c>
      <c r="L240" s="96" t="s">
        <v>1133</v>
      </c>
      <c r="M240" s="96" t="s">
        <v>28</v>
      </c>
      <c r="N240" s="96" t="s">
        <v>700</v>
      </c>
      <c r="O240" s="96" t="s">
        <v>344</v>
      </c>
      <c r="P240" s="96" t="s">
        <v>495</v>
      </c>
      <c r="Q240" s="96" t="s">
        <v>24</v>
      </c>
      <c r="R240" s="96" t="s">
        <v>25</v>
      </c>
      <c r="S240" s="96" t="s">
        <v>826</v>
      </c>
      <c r="T240" s="96" t="s">
        <v>24</v>
      </c>
      <c r="U240" s="96" t="s">
        <v>24</v>
      </c>
      <c r="V240" s="96" t="s">
        <v>24</v>
      </c>
    </row>
    <row r="241" spans="1:22">
      <c r="A241" s="96" t="s">
        <v>474</v>
      </c>
      <c r="B241" s="96" t="s">
        <v>51</v>
      </c>
      <c r="C241" s="96" t="s">
        <v>24</v>
      </c>
      <c r="D241" s="96" t="s">
        <v>25</v>
      </c>
      <c r="E241" s="96" t="s">
        <v>561</v>
      </c>
      <c r="F241" s="96" t="s">
        <v>28</v>
      </c>
      <c r="G241" s="96" t="s">
        <v>28</v>
      </c>
      <c r="H241" s="96" t="s">
        <v>28</v>
      </c>
      <c r="I241" s="96" t="s">
        <v>28</v>
      </c>
      <c r="J241" s="96" t="s">
        <v>476</v>
      </c>
      <c r="K241" s="96" t="s">
        <v>24</v>
      </c>
      <c r="L241" s="96" t="s">
        <v>477</v>
      </c>
      <c r="M241" s="96" t="s">
        <v>28</v>
      </c>
      <c r="N241" s="96" t="s">
        <v>24</v>
      </c>
      <c r="O241" s="96" t="s">
        <v>24</v>
      </c>
      <c r="P241" s="96" t="s">
        <v>24</v>
      </c>
      <c r="Q241" s="96" t="s">
        <v>24</v>
      </c>
      <c r="R241" s="96" t="s">
        <v>24</v>
      </c>
      <c r="S241" s="96" t="s">
        <v>24</v>
      </c>
      <c r="T241" s="96" t="s">
        <v>24</v>
      </c>
      <c r="U241" s="96" t="s">
        <v>24</v>
      </c>
      <c r="V241" s="96" t="s">
        <v>24</v>
      </c>
    </row>
    <row r="242" spans="1:22">
      <c r="A242" s="96" t="s">
        <v>1134</v>
      </c>
      <c r="B242" s="96" t="s">
        <v>51</v>
      </c>
      <c r="C242" s="96" t="s">
        <v>24</v>
      </c>
      <c r="D242" s="96" t="s">
        <v>25</v>
      </c>
      <c r="E242" s="96" t="s">
        <v>561</v>
      </c>
      <c r="F242" s="96" t="s">
        <v>28</v>
      </c>
      <c r="G242" s="96" t="s">
        <v>28</v>
      </c>
      <c r="H242" s="96" t="s">
        <v>28</v>
      </c>
      <c r="I242" s="96" t="s">
        <v>28</v>
      </c>
      <c r="J242" s="96" t="s">
        <v>1135</v>
      </c>
      <c r="K242" s="96" t="s">
        <v>774</v>
      </c>
      <c r="L242" s="96" t="s">
        <v>1136</v>
      </c>
      <c r="M242" s="96" t="s">
        <v>28</v>
      </c>
      <c r="N242" s="96" t="s">
        <v>700</v>
      </c>
      <c r="O242" s="96" t="s">
        <v>433</v>
      </c>
      <c r="P242" s="96" t="s">
        <v>495</v>
      </c>
      <c r="Q242" s="96" t="s">
        <v>24</v>
      </c>
      <c r="R242" s="96" t="s">
        <v>63</v>
      </c>
      <c r="S242" s="96" t="s">
        <v>826</v>
      </c>
      <c r="T242" s="96" t="s">
        <v>24</v>
      </c>
      <c r="U242" s="96" t="s">
        <v>24</v>
      </c>
      <c r="V242" s="96" t="s">
        <v>24</v>
      </c>
    </row>
    <row r="243" spans="1:22">
      <c r="A243" s="96" t="s">
        <v>1137</v>
      </c>
      <c r="B243" s="96" t="s">
        <v>51</v>
      </c>
      <c r="C243" s="96" t="s">
        <v>24</v>
      </c>
      <c r="D243" s="96" t="s">
        <v>25</v>
      </c>
      <c r="E243" s="96" t="s">
        <v>561</v>
      </c>
      <c r="F243" s="96" t="s">
        <v>28</v>
      </c>
      <c r="G243" s="96" t="s">
        <v>28</v>
      </c>
      <c r="H243" s="96" t="s">
        <v>28</v>
      </c>
      <c r="I243" s="96" t="s">
        <v>28</v>
      </c>
      <c r="J243" s="96" t="s">
        <v>1138</v>
      </c>
      <c r="K243" s="96" t="s">
        <v>774</v>
      </c>
      <c r="L243" s="96" t="s">
        <v>1139</v>
      </c>
      <c r="M243" s="96" t="s">
        <v>28</v>
      </c>
      <c r="N243" s="96" t="s">
        <v>700</v>
      </c>
      <c r="O243" s="96" t="s">
        <v>433</v>
      </c>
      <c r="P243" s="96" t="s">
        <v>495</v>
      </c>
      <c r="Q243" s="96" t="s">
        <v>24</v>
      </c>
      <c r="R243" s="96" t="s">
        <v>63</v>
      </c>
      <c r="S243" s="96" t="s">
        <v>1140</v>
      </c>
      <c r="T243" s="96" t="s">
        <v>24</v>
      </c>
      <c r="U243" s="96" t="s">
        <v>24</v>
      </c>
      <c r="V243" s="96" t="s">
        <v>24</v>
      </c>
    </row>
    <row r="244" spans="1:22">
      <c r="A244" s="96" t="s">
        <v>1141</v>
      </c>
      <c r="B244" s="96" t="s">
        <v>51</v>
      </c>
      <c r="C244" s="96" t="s">
        <v>24</v>
      </c>
      <c r="D244" s="96" t="s">
        <v>25</v>
      </c>
      <c r="E244" s="96" t="s">
        <v>561</v>
      </c>
      <c r="F244" s="96" t="s">
        <v>28</v>
      </c>
      <c r="G244" s="96" t="s">
        <v>28</v>
      </c>
      <c r="H244" s="96" t="s">
        <v>28</v>
      </c>
      <c r="I244" s="96" t="s">
        <v>28</v>
      </c>
      <c r="J244" s="96" t="s">
        <v>1142</v>
      </c>
      <c r="K244" s="96" t="s">
        <v>774</v>
      </c>
      <c r="L244" s="96" t="s">
        <v>1143</v>
      </c>
      <c r="M244" s="96" t="s">
        <v>28</v>
      </c>
      <c r="N244" s="96" t="s">
        <v>700</v>
      </c>
      <c r="O244" s="96" t="s">
        <v>433</v>
      </c>
      <c r="P244" s="96" t="s">
        <v>495</v>
      </c>
      <c r="Q244" s="96" t="s">
        <v>24</v>
      </c>
      <c r="R244" s="96" t="s">
        <v>25</v>
      </c>
      <c r="S244" s="96" t="s">
        <v>1144</v>
      </c>
      <c r="T244" s="96" t="s">
        <v>24</v>
      </c>
      <c r="U244" s="96" t="s">
        <v>24</v>
      </c>
      <c r="V244" s="96" t="s">
        <v>24</v>
      </c>
    </row>
    <row r="245" spans="1:22">
      <c r="A245" s="96" t="s">
        <v>1145</v>
      </c>
      <c r="B245" s="96" t="s">
        <v>51</v>
      </c>
      <c r="C245" s="96" t="s">
        <v>24</v>
      </c>
      <c r="D245" s="96" t="s">
        <v>25</v>
      </c>
      <c r="E245" s="96" t="s">
        <v>561</v>
      </c>
      <c r="F245" s="96" t="s">
        <v>28</v>
      </c>
      <c r="G245" s="96" t="s">
        <v>28</v>
      </c>
      <c r="H245" s="96" t="s">
        <v>28</v>
      </c>
      <c r="I245" s="96" t="s">
        <v>28</v>
      </c>
      <c r="J245" s="96" t="s">
        <v>1146</v>
      </c>
      <c r="K245" s="96" t="s">
        <v>1147</v>
      </c>
      <c r="L245" s="96" t="s">
        <v>1148</v>
      </c>
      <c r="M245" s="96" t="s">
        <v>28</v>
      </c>
      <c r="N245" s="96" t="s">
        <v>1147</v>
      </c>
      <c r="O245" s="96" t="s">
        <v>433</v>
      </c>
      <c r="P245" s="96" t="s">
        <v>495</v>
      </c>
      <c r="Q245" s="96" t="s">
        <v>24</v>
      </c>
      <c r="R245" s="96" t="s">
        <v>54</v>
      </c>
      <c r="S245" s="96" t="s">
        <v>1149</v>
      </c>
      <c r="T245" s="96" t="s">
        <v>24</v>
      </c>
      <c r="U245" s="96" t="s">
        <v>24</v>
      </c>
      <c r="V245" s="96" t="s">
        <v>24</v>
      </c>
    </row>
    <row r="246" spans="1:22">
      <c r="A246" s="96" t="s">
        <v>1150</v>
      </c>
      <c r="B246" s="96" t="s">
        <v>51</v>
      </c>
      <c r="C246" s="96" t="s">
        <v>24</v>
      </c>
      <c r="D246" s="96" t="s">
        <v>25</v>
      </c>
      <c r="E246" s="96" t="s">
        <v>561</v>
      </c>
      <c r="F246" s="96" t="s">
        <v>28</v>
      </c>
      <c r="G246" s="96" t="s">
        <v>28</v>
      </c>
      <c r="H246" s="96" t="s">
        <v>28</v>
      </c>
      <c r="I246" s="96" t="s">
        <v>28</v>
      </c>
      <c r="J246" s="96" t="s">
        <v>942</v>
      </c>
      <c r="K246" s="96" t="s">
        <v>774</v>
      </c>
      <c r="L246" s="96" t="s">
        <v>943</v>
      </c>
      <c r="M246" s="96" t="s">
        <v>28</v>
      </c>
      <c r="N246" s="96" t="s">
        <v>700</v>
      </c>
      <c r="O246" s="96" t="s">
        <v>433</v>
      </c>
      <c r="P246" s="96" t="s">
        <v>495</v>
      </c>
      <c r="Q246" s="96" t="s">
        <v>24</v>
      </c>
      <c r="R246" s="96" t="s">
        <v>63</v>
      </c>
      <c r="S246" s="96" t="s">
        <v>944</v>
      </c>
      <c r="T246" s="96" t="s">
        <v>24</v>
      </c>
      <c r="U246" s="96" t="s">
        <v>24</v>
      </c>
      <c r="V246" s="96" t="s">
        <v>24</v>
      </c>
    </row>
    <row r="247" spans="1:22">
      <c r="A247" s="96" t="s">
        <v>1151</v>
      </c>
      <c r="B247" s="96" t="s">
        <v>51</v>
      </c>
      <c r="C247" s="96" t="s">
        <v>24</v>
      </c>
      <c r="D247" s="96" t="s">
        <v>25</v>
      </c>
      <c r="E247" s="96" t="s">
        <v>561</v>
      </c>
      <c r="F247" s="96" t="s">
        <v>28</v>
      </c>
      <c r="G247" s="96" t="s">
        <v>28</v>
      </c>
      <c r="H247" s="96" t="s">
        <v>28</v>
      </c>
      <c r="I247" s="96" t="s">
        <v>28</v>
      </c>
      <c r="J247" s="96" t="s">
        <v>1152</v>
      </c>
      <c r="K247" s="96" t="s">
        <v>774</v>
      </c>
      <c r="L247" s="96" t="s">
        <v>1153</v>
      </c>
      <c r="M247" s="96" t="s">
        <v>28</v>
      </c>
      <c r="N247" s="96" t="s">
        <v>700</v>
      </c>
      <c r="O247" s="96" t="s">
        <v>433</v>
      </c>
      <c r="P247" s="96" t="s">
        <v>495</v>
      </c>
      <c r="Q247" s="96" t="s">
        <v>24</v>
      </c>
      <c r="R247" s="96" t="s">
        <v>63</v>
      </c>
      <c r="S247" s="96" t="s">
        <v>826</v>
      </c>
      <c r="T247" s="96" t="s">
        <v>24</v>
      </c>
      <c r="U247" s="96" t="s">
        <v>24</v>
      </c>
      <c r="V247" s="96" t="s">
        <v>24</v>
      </c>
    </row>
    <row r="248" spans="1:22">
      <c r="A248" s="96" t="s">
        <v>1154</v>
      </c>
      <c r="B248" s="96" t="s">
        <v>51</v>
      </c>
      <c r="C248" s="96" t="s">
        <v>24</v>
      </c>
      <c r="D248" s="96" t="s">
        <v>25</v>
      </c>
      <c r="E248" s="96" t="s">
        <v>561</v>
      </c>
      <c r="F248" s="96" t="s">
        <v>28</v>
      </c>
      <c r="G248" s="96" t="s">
        <v>28</v>
      </c>
      <c r="H248" s="96" t="s">
        <v>28</v>
      </c>
      <c r="I248" s="96" t="s">
        <v>28</v>
      </c>
      <c r="J248" s="96" t="s">
        <v>1155</v>
      </c>
      <c r="K248" s="96" t="s">
        <v>24</v>
      </c>
      <c r="L248" s="96" t="s">
        <v>1156</v>
      </c>
      <c r="M248" s="96" t="s">
        <v>28</v>
      </c>
      <c r="N248" s="96" t="s">
        <v>700</v>
      </c>
      <c r="O248" s="96" t="s">
        <v>28</v>
      </c>
      <c r="P248" s="96" t="s">
        <v>28</v>
      </c>
      <c r="Q248" s="96" t="s">
        <v>24</v>
      </c>
      <c r="R248" s="96" t="s">
        <v>28</v>
      </c>
      <c r="S248" s="96" t="s">
        <v>28</v>
      </c>
      <c r="T248" s="96" t="s">
        <v>24</v>
      </c>
      <c r="U248" s="96" t="s">
        <v>24</v>
      </c>
      <c r="V248" s="96" t="s">
        <v>24</v>
      </c>
    </row>
    <row r="249" spans="1:22">
      <c r="A249" s="96" t="s">
        <v>1157</v>
      </c>
      <c r="B249" s="96" t="s">
        <v>51</v>
      </c>
      <c r="C249" s="96" t="s">
        <v>24</v>
      </c>
      <c r="D249" s="96" t="s">
        <v>25</v>
      </c>
      <c r="E249" s="96" t="s">
        <v>571</v>
      </c>
      <c r="F249" s="96" t="s">
        <v>28</v>
      </c>
      <c r="G249" s="96" t="s">
        <v>28</v>
      </c>
      <c r="H249" s="96" t="s">
        <v>28</v>
      </c>
      <c r="I249" s="96" t="s">
        <v>28</v>
      </c>
      <c r="J249" s="96" t="s">
        <v>1158</v>
      </c>
      <c r="K249" s="96" t="s">
        <v>774</v>
      </c>
      <c r="L249" s="96" t="s">
        <v>1159</v>
      </c>
      <c r="M249" s="96" t="s">
        <v>28</v>
      </c>
      <c r="N249" s="96" t="s">
        <v>700</v>
      </c>
      <c r="O249" s="96" t="s">
        <v>344</v>
      </c>
      <c r="P249" s="96" t="s">
        <v>495</v>
      </c>
      <c r="Q249" s="96" t="s">
        <v>24</v>
      </c>
      <c r="R249" s="96" t="s">
        <v>63</v>
      </c>
      <c r="S249" s="96" t="s">
        <v>1160</v>
      </c>
      <c r="T249" s="96" t="s">
        <v>24</v>
      </c>
      <c r="U249" s="96" t="s">
        <v>24</v>
      </c>
      <c r="V249" s="96" t="s">
        <v>24</v>
      </c>
    </row>
    <row r="250" spans="1:22">
      <c r="A250" s="96" t="s">
        <v>1161</v>
      </c>
      <c r="B250" s="96" t="s">
        <v>51</v>
      </c>
      <c r="C250" s="96" t="s">
        <v>24</v>
      </c>
      <c r="D250" s="96" t="s">
        <v>25</v>
      </c>
      <c r="E250" s="96" t="s">
        <v>571</v>
      </c>
      <c r="F250" s="96" t="s">
        <v>28</v>
      </c>
      <c r="G250" s="96" t="s">
        <v>28</v>
      </c>
      <c r="H250" s="96" t="s">
        <v>28</v>
      </c>
      <c r="I250" s="96" t="s">
        <v>28</v>
      </c>
      <c r="J250" s="96" t="s">
        <v>1162</v>
      </c>
      <c r="K250" s="96" t="s">
        <v>24</v>
      </c>
      <c r="L250" s="96" t="s">
        <v>1163</v>
      </c>
      <c r="M250" s="96" t="s">
        <v>28</v>
      </c>
      <c r="N250" s="96" t="s">
        <v>700</v>
      </c>
      <c r="O250" s="96" t="s">
        <v>433</v>
      </c>
      <c r="P250" s="96" t="s">
        <v>499</v>
      </c>
      <c r="Q250" s="96" t="s">
        <v>24</v>
      </c>
      <c r="R250" s="96" t="s">
        <v>54</v>
      </c>
      <c r="S250" s="96" t="s">
        <v>1164</v>
      </c>
      <c r="T250" s="96" t="s">
        <v>24</v>
      </c>
      <c r="U250" s="96" t="s">
        <v>24</v>
      </c>
      <c r="V250" s="96" t="s">
        <v>24</v>
      </c>
    </row>
    <row r="251" spans="1:22">
      <c r="A251" s="96" t="s">
        <v>1165</v>
      </c>
      <c r="B251" s="96" t="s">
        <v>51</v>
      </c>
      <c r="C251" s="96" t="s">
        <v>24</v>
      </c>
      <c r="D251" s="96" t="s">
        <v>25</v>
      </c>
      <c r="E251" s="96" t="s">
        <v>571</v>
      </c>
      <c r="F251" s="96" t="s">
        <v>28</v>
      </c>
      <c r="G251" s="96" t="s">
        <v>28</v>
      </c>
      <c r="H251" s="96" t="s">
        <v>28</v>
      </c>
      <c r="I251" s="96" t="s">
        <v>28</v>
      </c>
      <c r="J251" s="96" t="s">
        <v>1166</v>
      </c>
      <c r="K251" s="96" t="s">
        <v>24</v>
      </c>
      <c r="L251" s="96" t="s">
        <v>1167</v>
      </c>
      <c r="M251" s="96" t="s">
        <v>28</v>
      </c>
      <c r="N251" s="96" t="s">
        <v>700</v>
      </c>
      <c r="O251" s="96" t="s">
        <v>433</v>
      </c>
      <c r="P251" s="96" t="s">
        <v>499</v>
      </c>
      <c r="Q251" s="96" t="s">
        <v>24</v>
      </c>
      <c r="R251" s="96" t="s">
        <v>54</v>
      </c>
      <c r="S251" s="96" t="s">
        <v>1164</v>
      </c>
      <c r="T251" s="96" t="s">
        <v>24</v>
      </c>
      <c r="U251" s="96" t="s">
        <v>24</v>
      </c>
      <c r="V251" s="96" t="s">
        <v>24</v>
      </c>
    </row>
    <row r="252" spans="1:22">
      <c r="A252" s="96" t="s">
        <v>1168</v>
      </c>
      <c r="B252" s="96" t="s">
        <v>51</v>
      </c>
      <c r="C252" s="96" t="s">
        <v>874</v>
      </c>
      <c r="D252" s="96" t="s">
        <v>25</v>
      </c>
      <c r="E252" s="96" t="s">
        <v>571</v>
      </c>
      <c r="F252" s="96" t="s">
        <v>28</v>
      </c>
      <c r="G252" s="96" t="s">
        <v>28</v>
      </c>
      <c r="H252" s="96" t="s">
        <v>28</v>
      </c>
      <c r="I252" s="96" t="s">
        <v>28</v>
      </c>
      <c r="J252" s="96" t="s">
        <v>1169</v>
      </c>
      <c r="K252" s="96" t="s">
        <v>24</v>
      </c>
      <c r="L252" s="96" t="s">
        <v>1170</v>
      </c>
      <c r="M252" s="96" t="s">
        <v>28</v>
      </c>
      <c r="N252" s="96" t="s">
        <v>700</v>
      </c>
      <c r="O252" s="96" t="s">
        <v>28</v>
      </c>
      <c r="P252" s="96" t="s">
        <v>28</v>
      </c>
      <c r="Q252" s="96" t="s">
        <v>24</v>
      </c>
      <c r="R252" s="96" t="s">
        <v>63</v>
      </c>
      <c r="S252" s="96" t="s">
        <v>24</v>
      </c>
      <c r="T252" s="96" t="s">
        <v>24</v>
      </c>
      <c r="U252" s="96" t="s">
        <v>24</v>
      </c>
      <c r="V252" s="96" t="s">
        <v>24</v>
      </c>
    </row>
    <row r="253" spans="1:22">
      <c r="A253" s="96" t="s">
        <v>1171</v>
      </c>
      <c r="B253" s="96" t="s">
        <v>51</v>
      </c>
      <c r="C253" s="96" t="s">
        <v>24</v>
      </c>
      <c r="D253" s="96" t="s">
        <v>25</v>
      </c>
      <c r="E253" s="96" t="s">
        <v>571</v>
      </c>
      <c r="F253" s="96" t="s">
        <v>28</v>
      </c>
      <c r="G253" s="96" t="s">
        <v>28</v>
      </c>
      <c r="H253" s="96" t="s">
        <v>28</v>
      </c>
      <c r="I253" s="96" t="s">
        <v>28</v>
      </c>
      <c r="J253" s="96" t="s">
        <v>1172</v>
      </c>
      <c r="K253" s="96" t="s">
        <v>24</v>
      </c>
      <c r="L253" s="96" t="s">
        <v>24</v>
      </c>
      <c r="M253" s="96" t="s">
        <v>24</v>
      </c>
      <c r="N253" s="96" t="s">
        <v>700</v>
      </c>
      <c r="O253" s="96" t="s">
        <v>24</v>
      </c>
      <c r="P253" s="96" t="s">
        <v>24</v>
      </c>
      <c r="Q253" s="96" t="s">
        <v>24</v>
      </c>
      <c r="R253" s="96" t="s">
        <v>25</v>
      </c>
      <c r="S253" s="96" t="s">
        <v>1173</v>
      </c>
      <c r="T253" s="96" t="s">
        <v>24</v>
      </c>
      <c r="U253" s="96" t="s">
        <v>24</v>
      </c>
      <c r="V253" s="96" t="s">
        <v>24</v>
      </c>
    </row>
    <row r="254" spans="1:22">
      <c r="A254" s="96" t="s">
        <v>478</v>
      </c>
      <c r="B254" s="96" t="s">
        <v>51</v>
      </c>
      <c r="C254" s="96" t="s">
        <v>24</v>
      </c>
      <c r="D254" s="96" t="s">
        <v>25</v>
      </c>
      <c r="E254" s="96" t="s">
        <v>571</v>
      </c>
      <c r="F254" s="96" t="s">
        <v>28</v>
      </c>
      <c r="G254" s="96" t="s">
        <v>28</v>
      </c>
      <c r="H254" s="96" t="s">
        <v>28</v>
      </c>
      <c r="I254" s="96" t="s">
        <v>28</v>
      </c>
      <c r="J254" s="96" t="s">
        <v>480</v>
      </c>
      <c r="K254" s="96" t="s">
        <v>24</v>
      </c>
      <c r="L254" s="96" t="s">
        <v>481</v>
      </c>
      <c r="M254" s="96" t="s">
        <v>28</v>
      </c>
      <c r="N254" s="96" t="s">
        <v>444</v>
      </c>
      <c r="O254" s="96" t="s">
        <v>28</v>
      </c>
      <c r="P254" s="96" t="s">
        <v>28</v>
      </c>
      <c r="Q254" s="96" t="s">
        <v>24</v>
      </c>
      <c r="R254" s="96" t="s">
        <v>54</v>
      </c>
      <c r="S254" s="96" t="s">
        <v>445</v>
      </c>
      <c r="T254" s="96" t="s">
        <v>24</v>
      </c>
      <c r="U254" s="96" t="s">
        <v>24</v>
      </c>
      <c r="V254" s="96" t="s">
        <v>24</v>
      </c>
    </row>
    <row r="255" spans="1:22">
      <c r="A255" s="96" t="s">
        <v>1174</v>
      </c>
      <c r="B255" s="96" t="s">
        <v>51</v>
      </c>
      <c r="C255" s="96" t="s">
        <v>24</v>
      </c>
      <c r="D255" s="96" t="s">
        <v>25</v>
      </c>
      <c r="E255" s="96" t="s">
        <v>571</v>
      </c>
      <c r="F255" s="96" t="s">
        <v>28</v>
      </c>
      <c r="G255" s="96" t="s">
        <v>28</v>
      </c>
      <c r="H255" s="96" t="s">
        <v>28</v>
      </c>
      <c r="I255" s="96" t="s">
        <v>28</v>
      </c>
      <c r="J255" s="96" t="s">
        <v>1175</v>
      </c>
      <c r="K255" s="96" t="s">
        <v>24</v>
      </c>
      <c r="L255" s="96" t="s">
        <v>1176</v>
      </c>
      <c r="M255" s="96" t="s">
        <v>28</v>
      </c>
      <c r="N255" s="96" t="s">
        <v>700</v>
      </c>
      <c r="O255" s="96" t="s">
        <v>433</v>
      </c>
      <c r="P255" s="96" t="s">
        <v>495</v>
      </c>
      <c r="Q255" s="96" t="s">
        <v>24</v>
      </c>
      <c r="R255" s="96" t="s">
        <v>63</v>
      </c>
      <c r="S255" s="96" t="s">
        <v>985</v>
      </c>
      <c r="T255" s="96" t="s">
        <v>24</v>
      </c>
      <c r="U255" s="96" t="s">
        <v>24</v>
      </c>
      <c r="V255" s="96" t="s">
        <v>24</v>
      </c>
    </row>
    <row r="256" spans="1:22">
      <c r="A256" s="96" t="s">
        <v>1177</v>
      </c>
      <c r="B256" s="96" t="s">
        <v>51</v>
      </c>
      <c r="C256" s="96" t="s">
        <v>24</v>
      </c>
      <c r="D256" s="96" t="s">
        <v>25</v>
      </c>
      <c r="E256" s="96" t="s">
        <v>571</v>
      </c>
      <c r="F256" s="96" t="s">
        <v>28</v>
      </c>
      <c r="G256" s="96" t="s">
        <v>28</v>
      </c>
      <c r="H256" s="96" t="s">
        <v>28</v>
      </c>
      <c r="I256" s="96" t="s">
        <v>28</v>
      </c>
      <c r="J256" s="96" t="s">
        <v>1178</v>
      </c>
      <c r="K256" s="96" t="s">
        <v>24</v>
      </c>
      <c r="L256" s="96" t="s">
        <v>1179</v>
      </c>
      <c r="M256" s="96" t="s">
        <v>28</v>
      </c>
      <c r="N256" s="96" t="s">
        <v>700</v>
      </c>
      <c r="O256" s="96" t="s">
        <v>433</v>
      </c>
      <c r="P256" s="96" t="s">
        <v>495</v>
      </c>
      <c r="Q256" s="96" t="s">
        <v>24</v>
      </c>
      <c r="R256" s="96" t="s">
        <v>63</v>
      </c>
      <c r="S256" s="96" t="s">
        <v>985</v>
      </c>
      <c r="T256" s="96" t="s">
        <v>24</v>
      </c>
      <c r="U256" s="96" t="s">
        <v>24</v>
      </c>
      <c r="V256" s="96" t="s">
        <v>24</v>
      </c>
    </row>
    <row r="257" spans="1:22">
      <c r="A257" s="96" t="s">
        <v>1180</v>
      </c>
      <c r="B257" s="96" t="s">
        <v>51</v>
      </c>
      <c r="C257" s="96" t="s">
        <v>24</v>
      </c>
      <c r="D257" s="96" t="s">
        <v>25</v>
      </c>
      <c r="E257" s="96" t="s">
        <v>571</v>
      </c>
      <c r="F257" s="96" t="s">
        <v>28</v>
      </c>
      <c r="G257" s="96" t="s">
        <v>28</v>
      </c>
      <c r="H257" s="96" t="s">
        <v>28</v>
      </c>
      <c r="I257" s="96" t="s">
        <v>28</v>
      </c>
      <c r="J257" s="96" t="s">
        <v>1181</v>
      </c>
      <c r="K257" s="96" t="s">
        <v>503</v>
      </c>
      <c r="L257" s="96" t="s">
        <v>1182</v>
      </c>
      <c r="M257" s="96" t="s">
        <v>28</v>
      </c>
      <c r="N257" s="96" t="s">
        <v>700</v>
      </c>
      <c r="O257" s="96" t="s">
        <v>1096</v>
      </c>
      <c r="P257" s="96" t="s">
        <v>495</v>
      </c>
      <c r="Q257" s="96" t="s">
        <v>24</v>
      </c>
      <c r="R257" s="96" t="s">
        <v>54</v>
      </c>
      <c r="S257" s="96" t="s">
        <v>940</v>
      </c>
      <c r="T257" s="96" t="s">
        <v>24</v>
      </c>
      <c r="U257" s="96" t="s">
        <v>24</v>
      </c>
      <c r="V257" s="96" t="s">
        <v>24</v>
      </c>
    </row>
    <row r="258" spans="1:22">
      <c r="A258" s="96" t="s">
        <v>1183</v>
      </c>
      <c r="B258" s="96" t="s">
        <v>51</v>
      </c>
      <c r="C258" s="96" t="s">
        <v>24</v>
      </c>
      <c r="D258" s="96" t="s">
        <v>25</v>
      </c>
      <c r="E258" s="96" t="s">
        <v>571</v>
      </c>
      <c r="F258" s="96" t="s">
        <v>28</v>
      </c>
      <c r="G258" s="96" t="s">
        <v>28</v>
      </c>
      <c r="H258" s="96" t="s">
        <v>28</v>
      </c>
      <c r="I258" s="96" t="s">
        <v>28</v>
      </c>
      <c r="J258" s="96" t="s">
        <v>1184</v>
      </c>
      <c r="K258" s="96" t="s">
        <v>24</v>
      </c>
      <c r="L258" s="96" t="s">
        <v>1185</v>
      </c>
      <c r="M258" s="96" t="s">
        <v>28</v>
      </c>
      <c r="N258" s="96" t="s">
        <v>700</v>
      </c>
      <c r="O258" s="96" t="s">
        <v>433</v>
      </c>
      <c r="P258" s="96" t="s">
        <v>495</v>
      </c>
      <c r="Q258" s="96" t="s">
        <v>24</v>
      </c>
      <c r="R258" s="96" t="s">
        <v>63</v>
      </c>
      <c r="S258" s="96" t="s">
        <v>1186</v>
      </c>
      <c r="T258" s="96" t="s">
        <v>24</v>
      </c>
      <c r="U258" s="96" t="s">
        <v>24</v>
      </c>
      <c r="V258" s="96" t="s">
        <v>24</v>
      </c>
    </row>
    <row r="259" spans="1:22">
      <c r="A259" s="96" t="s">
        <v>1187</v>
      </c>
      <c r="B259" s="96" t="s">
        <v>51</v>
      </c>
      <c r="C259" s="96" t="s">
        <v>24</v>
      </c>
      <c r="D259" s="96" t="s">
        <v>25</v>
      </c>
      <c r="E259" s="96" t="s">
        <v>571</v>
      </c>
      <c r="F259" s="96" t="s">
        <v>28</v>
      </c>
      <c r="G259" s="96" t="s">
        <v>28</v>
      </c>
      <c r="H259" s="96" t="s">
        <v>28</v>
      </c>
      <c r="I259" s="96" t="s">
        <v>28</v>
      </c>
      <c r="J259" s="96" t="s">
        <v>1188</v>
      </c>
      <c r="K259" s="96" t="s">
        <v>24</v>
      </c>
      <c r="L259" s="96" t="s">
        <v>1189</v>
      </c>
      <c r="M259" s="96" t="s">
        <v>28</v>
      </c>
      <c r="N259" s="96" t="s">
        <v>700</v>
      </c>
      <c r="O259" s="96" t="s">
        <v>433</v>
      </c>
      <c r="P259" s="96" t="s">
        <v>495</v>
      </c>
      <c r="Q259" s="96" t="s">
        <v>24</v>
      </c>
      <c r="R259" s="96" t="s">
        <v>63</v>
      </c>
      <c r="S259" s="96" t="s">
        <v>1186</v>
      </c>
      <c r="T259" s="96" t="s">
        <v>24</v>
      </c>
      <c r="U259" s="96" t="s">
        <v>24</v>
      </c>
      <c r="V259" s="96" t="s">
        <v>24</v>
      </c>
    </row>
    <row r="260" spans="1:22">
      <c r="A260" s="96" t="s">
        <v>1190</v>
      </c>
      <c r="B260" s="96" t="s">
        <v>51</v>
      </c>
      <c r="C260" s="96" t="s">
        <v>24</v>
      </c>
      <c r="D260" s="96" t="s">
        <v>25</v>
      </c>
      <c r="E260" s="96" t="s">
        <v>571</v>
      </c>
      <c r="F260" s="96" t="s">
        <v>28</v>
      </c>
      <c r="G260" s="96" t="s">
        <v>28</v>
      </c>
      <c r="H260" s="96" t="s">
        <v>28</v>
      </c>
      <c r="I260" s="96" t="s">
        <v>28</v>
      </c>
      <c r="J260" s="96" t="s">
        <v>1191</v>
      </c>
      <c r="K260" s="96" t="s">
        <v>24</v>
      </c>
      <c r="L260" s="96" t="s">
        <v>1192</v>
      </c>
      <c r="M260" s="96" t="s">
        <v>28</v>
      </c>
      <c r="N260" s="96" t="s">
        <v>700</v>
      </c>
      <c r="O260" s="96" t="s">
        <v>433</v>
      </c>
      <c r="P260" s="96" t="s">
        <v>495</v>
      </c>
      <c r="Q260" s="96" t="s">
        <v>24</v>
      </c>
      <c r="R260" s="96" t="s">
        <v>63</v>
      </c>
      <c r="S260" s="96" t="s">
        <v>1186</v>
      </c>
      <c r="T260" s="96" t="s">
        <v>24</v>
      </c>
      <c r="U260" s="96" t="s">
        <v>24</v>
      </c>
      <c r="V260" s="96" t="s">
        <v>24</v>
      </c>
    </row>
    <row r="261" spans="1:22">
      <c r="A261" s="96" t="s">
        <v>1193</v>
      </c>
      <c r="B261" s="96" t="s">
        <v>51</v>
      </c>
      <c r="C261" s="96" t="s">
        <v>24</v>
      </c>
      <c r="D261" s="96" t="s">
        <v>25</v>
      </c>
      <c r="E261" s="96" t="s">
        <v>571</v>
      </c>
      <c r="F261" s="96" t="s">
        <v>28</v>
      </c>
      <c r="G261" s="96" t="s">
        <v>28</v>
      </c>
      <c r="H261" s="96" t="s">
        <v>28</v>
      </c>
      <c r="I261" s="96" t="s">
        <v>28</v>
      </c>
      <c r="J261" s="96" t="s">
        <v>1194</v>
      </c>
      <c r="K261" s="96" t="s">
        <v>24</v>
      </c>
      <c r="L261" s="96" t="s">
        <v>1195</v>
      </c>
      <c r="M261" s="96" t="s">
        <v>28</v>
      </c>
      <c r="N261" s="96" t="s">
        <v>700</v>
      </c>
      <c r="O261" s="96" t="s">
        <v>433</v>
      </c>
      <c r="P261" s="96" t="s">
        <v>495</v>
      </c>
      <c r="Q261" s="96" t="s">
        <v>24</v>
      </c>
      <c r="R261" s="96" t="s">
        <v>63</v>
      </c>
      <c r="S261" s="96" t="s">
        <v>985</v>
      </c>
      <c r="T261" s="96" t="s">
        <v>24</v>
      </c>
      <c r="U261" s="96" t="s">
        <v>24</v>
      </c>
      <c r="V261" s="96" t="s">
        <v>24</v>
      </c>
    </row>
    <row r="262" spans="1:22">
      <c r="A262" s="96" t="s">
        <v>1196</v>
      </c>
      <c r="B262" s="96" t="s">
        <v>51</v>
      </c>
      <c r="C262" s="96" t="s">
        <v>24</v>
      </c>
      <c r="D262" s="96" t="s">
        <v>25</v>
      </c>
      <c r="E262" s="96" t="s">
        <v>571</v>
      </c>
      <c r="F262" s="96" t="s">
        <v>28</v>
      </c>
      <c r="G262" s="96" t="s">
        <v>28</v>
      </c>
      <c r="H262" s="96" t="s">
        <v>28</v>
      </c>
      <c r="I262" s="96" t="s">
        <v>28</v>
      </c>
      <c r="J262" s="96" t="s">
        <v>1197</v>
      </c>
      <c r="K262" s="96" t="s">
        <v>24</v>
      </c>
      <c r="L262" s="96" t="s">
        <v>1198</v>
      </c>
      <c r="M262" s="96" t="s">
        <v>28</v>
      </c>
      <c r="N262" s="96" t="s">
        <v>700</v>
      </c>
      <c r="O262" s="96" t="s">
        <v>1199</v>
      </c>
      <c r="P262" s="96" t="s">
        <v>495</v>
      </c>
      <c r="Q262" s="96" t="s">
        <v>24</v>
      </c>
      <c r="R262" s="96" t="s">
        <v>25</v>
      </c>
      <c r="S262" s="96" t="s">
        <v>1200</v>
      </c>
      <c r="T262" s="96" t="s">
        <v>24</v>
      </c>
      <c r="U262" s="96" t="s">
        <v>24</v>
      </c>
      <c r="V262" s="96" t="s">
        <v>24</v>
      </c>
    </row>
    <row r="263" spans="1:22">
      <c r="A263" s="96" t="s">
        <v>1201</v>
      </c>
      <c r="B263" s="96" t="s">
        <v>51</v>
      </c>
      <c r="C263" s="96" t="s">
        <v>24</v>
      </c>
      <c r="D263" s="96" t="s">
        <v>25</v>
      </c>
      <c r="E263" s="96" t="s">
        <v>571</v>
      </c>
      <c r="F263" s="96" t="s">
        <v>28</v>
      </c>
      <c r="G263" s="96" t="s">
        <v>28</v>
      </c>
      <c r="H263" s="96" t="s">
        <v>28</v>
      </c>
      <c r="I263" s="96" t="s">
        <v>28</v>
      </c>
      <c r="J263" s="96" t="s">
        <v>1202</v>
      </c>
      <c r="K263" s="96" t="s">
        <v>24</v>
      </c>
      <c r="L263" s="96" t="s">
        <v>1203</v>
      </c>
      <c r="M263" s="96" t="s">
        <v>28</v>
      </c>
      <c r="N263" s="96" t="s">
        <v>700</v>
      </c>
      <c r="O263" s="96" t="s">
        <v>433</v>
      </c>
      <c r="P263" s="96" t="s">
        <v>495</v>
      </c>
      <c r="Q263" s="96" t="s">
        <v>24</v>
      </c>
      <c r="R263" s="96" t="s">
        <v>1204</v>
      </c>
      <c r="S263" s="96" t="s">
        <v>1019</v>
      </c>
      <c r="T263" s="96" t="s">
        <v>24</v>
      </c>
      <c r="U263" s="96" t="s">
        <v>24</v>
      </c>
      <c r="V263" s="96" t="s">
        <v>24</v>
      </c>
    </row>
    <row r="264" spans="1:22">
      <c r="A264" s="96" t="s">
        <v>482</v>
      </c>
      <c r="B264" s="96" t="s">
        <v>51</v>
      </c>
      <c r="C264" s="96" t="s">
        <v>24</v>
      </c>
      <c r="D264" s="96" t="s">
        <v>25</v>
      </c>
      <c r="E264" s="96" t="s">
        <v>571</v>
      </c>
      <c r="F264" s="96" t="s">
        <v>28</v>
      </c>
      <c r="G264" s="96" t="s">
        <v>28</v>
      </c>
      <c r="H264" s="96" t="s">
        <v>28</v>
      </c>
      <c r="I264" s="96" t="s">
        <v>28</v>
      </c>
      <c r="J264" s="96" t="s">
        <v>483</v>
      </c>
      <c r="K264" s="96" t="s">
        <v>24</v>
      </c>
      <c r="L264" s="96" t="s">
        <v>484</v>
      </c>
      <c r="M264" s="96" t="s">
        <v>28</v>
      </c>
      <c r="N264" s="96" t="s">
        <v>24</v>
      </c>
      <c r="O264" s="96" t="s">
        <v>24</v>
      </c>
      <c r="P264" s="96" t="s">
        <v>24</v>
      </c>
      <c r="Q264" s="96" t="s">
        <v>24</v>
      </c>
      <c r="R264" s="96" t="s">
        <v>54</v>
      </c>
      <c r="S264" s="96" t="s">
        <v>24</v>
      </c>
      <c r="T264" s="96" t="s">
        <v>24</v>
      </c>
      <c r="U264" s="96" t="s">
        <v>24</v>
      </c>
      <c r="V264" s="96" t="s">
        <v>24</v>
      </c>
    </row>
    <row r="265" spans="1:22">
      <c r="A265" s="96" t="s">
        <v>485</v>
      </c>
      <c r="B265" s="96" t="s">
        <v>51</v>
      </c>
      <c r="C265" s="96" t="s">
        <v>24</v>
      </c>
      <c r="D265" s="96" t="s">
        <v>25</v>
      </c>
      <c r="E265" s="96" t="s">
        <v>571</v>
      </c>
      <c r="F265" s="96" t="s">
        <v>28</v>
      </c>
      <c r="G265" s="96" t="s">
        <v>28</v>
      </c>
      <c r="H265" s="96" t="s">
        <v>28</v>
      </c>
      <c r="I265" s="96" t="s">
        <v>28</v>
      </c>
      <c r="J265" s="96" t="s">
        <v>486</v>
      </c>
      <c r="K265" s="96" t="s">
        <v>24</v>
      </c>
      <c r="L265" s="96" t="s">
        <v>487</v>
      </c>
      <c r="M265" s="96" t="s">
        <v>28</v>
      </c>
      <c r="N265" s="96" t="s">
        <v>24</v>
      </c>
      <c r="O265" s="96" t="s">
        <v>24</v>
      </c>
      <c r="P265" s="96" t="s">
        <v>24</v>
      </c>
      <c r="Q265" s="96" t="s">
        <v>24</v>
      </c>
      <c r="R265" s="96" t="s">
        <v>54</v>
      </c>
      <c r="S265" s="96" t="s">
        <v>24</v>
      </c>
      <c r="T265" s="96" t="s">
        <v>24</v>
      </c>
      <c r="U265" s="96" t="s">
        <v>24</v>
      </c>
      <c r="V265" s="96" t="s">
        <v>24</v>
      </c>
    </row>
    <row r="266" spans="1:22">
      <c r="A266" s="96" t="s">
        <v>1205</v>
      </c>
      <c r="B266" s="96" t="s">
        <v>51</v>
      </c>
      <c r="C266" s="96" t="s">
        <v>24</v>
      </c>
      <c r="D266" s="96" t="s">
        <v>25</v>
      </c>
      <c r="E266" s="96" t="s">
        <v>571</v>
      </c>
      <c r="F266" s="96" t="s">
        <v>28</v>
      </c>
      <c r="G266" s="96" t="s">
        <v>28</v>
      </c>
      <c r="H266" s="96" t="s">
        <v>28</v>
      </c>
      <c r="I266" s="96" t="s">
        <v>28</v>
      </c>
      <c r="J266" s="96" t="s">
        <v>1206</v>
      </c>
      <c r="K266" s="96" t="s">
        <v>24</v>
      </c>
      <c r="L266" s="96" t="s">
        <v>24</v>
      </c>
      <c r="M266" s="96" t="s">
        <v>24</v>
      </c>
      <c r="N266" s="96" t="s">
        <v>700</v>
      </c>
      <c r="O266" s="96" t="s">
        <v>24</v>
      </c>
      <c r="P266" s="96" t="s">
        <v>24</v>
      </c>
      <c r="Q266" s="96" t="s">
        <v>24</v>
      </c>
      <c r="R266" s="96" t="s">
        <v>24</v>
      </c>
      <c r="S266" s="96" t="s">
        <v>24</v>
      </c>
      <c r="T266" s="96" t="s">
        <v>24</v>
      </c>
      <c r="U266" s="96" t="s">
        <v>24</v>
      </c>
      <c r="V266" s="96" t="s">
        <v>24</v>
      </c>
    </row>
    <row r="267" spans="1:22">
      <c r="A267" s="96" t="s">
        <v>1207</v>
      </c>
      <c r="B267" s="96" t="s">
        <v>51</v>
      </c>
      <c r="C267" s="96" t="s">
        <v>24</v>
      </c>
      <c r="D267" s="96" t="s">
        <v>25</v>
      </c>
      <c r="E267" s="96" t="s">
        <v>571</v>
      </c>
      <c r="F267" s="96" t="s">
        <v>28</v>
      </c>
      <c r="G267" s="96" t="s">
        <v>28</v>
      </c>
      <c r="H267" s="96" t="s">
        <v>28</v>
      </c>
      <c r="I267" s="96" t="s">
        <v>28</v>
      </c>
      <c r="J267" s="96" t="s">
        <v>1208</v>
      </c>
      <c r="K267" s="96" t="s">
        <v>774</v>
      </c>
      <c r="L267" s="96" t="s">
        <v>1209</v>
      </c>
      <c r="M267" s="96" t="s">
        <v>28</v>
      </c>
      <c r="N267" s="96" t="s">
        <v>700</v>
      </c>
      <c r="O267" s="96" t="s">
        <v>433</v>
      </c>
      <c r="P267" s="96" t="s">
        <v>495</v>
      </c>
      <c r="Q267" s="96" t="s">
        <v>24</v>
      </c>
      <c r="R267" s="96" t="s">
        <v>25</v>
      </c>
      <c r="S267" s="96" t="s">
        <v>434</v>
      </c>
      <c r="T267" s="96" t="s">
        <v>24</v>
      </c>
      <c r="U267" s="96" t="s">
        <v>24</v>
      </c>
      <c r="V267" s="96" t="s">
        <v>24</v>
      </c>
    </row>
    <row r="268" spans="1:22">
      <c r="A268" s="96" t="s">
        <v>1210</v>
      </c>
      <c r="B268" s="96" t="s">
        <v>51</v>
      </c>
      <c r="C268" s="96" t="s">
        <v>874</v>
      </c>
      <c r="D268" s="96" t="s">
        <v>25</v>
      </c>
      <c r="E268" s="96" t="s">
        <v>571</v>
      </c>
      <c r="F268" s="96" t="s">
        <v>28</v>
      </c>
      <c r="G268" s="96" t="s">
        <v>28</v>
      </c>
      <c r="H268" s="96" t="s">
        <v>28</v>
      </c>
      <c r="I268" s="96" t="s">
        <v>28</v>
      </c>
      <c r="J268" s="96" t="s">
        <v>1211</v>
      </c>
      <c r="K268" s="96" t="s">
        <v>24</v>
      </c>
      <c r="L268" s="96" t="s">
        <v>1212</v>
      </c>
      <c r="M268" s="96" t="s">
        <v>28</v>
      </c>
      <c r="N268" s="96" t="s">
        <v>700</v>
      </c>
      <c r="O268" s="96" t="s">
        <v>28</v>
      </c>
      <c r="P268" s="96" t="s">
        <v>28</v>
      </c>
      <c r="Q268" s="96" t="s">
        <v>24</v>
      </c>
      <c r="R268" s="96" t="s">
        <v>54</v>
      </c>
      <c r="S268" s="96" t="s">
        <v>1213</v>
      </c>
      <c r="T268" s="96" t="s">
        <v>24</v>
      </c>
      <c r="U268" s="96" t="s">
        <v>24</v>
      </c>
      <c r="V268" s="96" t="s">
        <v>24</v>
      </c>
    </row>
    <row r="269" spans="1:22">
      <c r="A269" s="96" t="s">
        <v>1214</v>
      </c>
      <c r="B269" s="96" t="s">
        <v>51</v>
      </c>
      <c r="C269" s="96" t="s">
        <v>24</v>
      </c>
      <c r="D269" s="96" t="s">
        <v>25</v>
      </c>
      <c r="E269" s="96" t="s">
        <v>571</v>
      </c>
      <c r="F269" s="96" t="s">
        <v>28</v>
      </c>
      <c r="G269" s="96" t="s">
        <v>28</v>
      </c>
      <c r="H269" s="96" t="s">
        <v>28</v>
      </c>
      <c r="I269" s="96" t="s">
        <v>28</v>
      </c>
      <c r="J269" s="96" t="s">
        <v>1215</v>
      </c>
      <c r="K269" s="96" t="s">
        <v>24</v>
      </c>
      <c r="L269" s="96" t="s">
        <v>1216</v>
      </c>
      <c r="M269" s="96" t="s">
        <v>28</v>
      </c>
      <c r="N269" s="96" t="s">
        <v>700</v>
      </c>
      <c r="O269" s="96" t="s">
        <v>344</v>
      </c>
      <c r="P269" s="96" t="s">
        <v>495</v>
      </c>
      <c r="Q269" s="96" t="s">
        <v>24</v>
      </c>
      <c r="R269" s="96" t="s">
        <v>63</v>
      </c>
      <c r="S269" s="96" t="s">
        <v>1217</v>
      </c>
      <c r="T269" s="96" t="s">
        <v>24</v>
      </c>
      <c r="U269" s="96" t="s">
        <v>24</v>
      </c>
      <c r="V269" s="96" t="s">
        <v>24</v>
      </c>
    </row>
    <row r="270" spans="1:22">
      <c r="A270" s="96" t="s">
        <v>1218</v>
      </c>
      <c r="B270" s="96" t="s">
        <v>51</v>
      </c>
      <c r="C270" s="96" t="s">
        <v>24</v>
      </c>
      <c r="D270" s="96" t="s">
        <v>25</v>
      </c>
      <c r="E270" s="96" t="s">
        <v>571</v>
      </c>
      <c r="F270" s="96" t="s">
        <v>28</v>
      </c>
      <c r="G270" s="96" t="s">
        <v>28</v>
      </c>
      <c r="H270" s="96" t="s">
        <v>28</v>
      </c>
      <c r="I270" s="96" t="s">
        <v>28</v>
      </c>
      <c r="J270" s="96" t="s">
        <v>1219</v>
      </c>
      <c r="K270" s="96" t="s">
        <v>24</v>
      </c>
      <c r="L270" s="96" t="s">
        <v>1220</v>
      </c>
      <c r="M270" s="96" t="s">
        <v>28</v>
      </c>
      <c r="N270" s="96" t="s">
        <v>700</v>
      </c>
      <c r="O270" s="96" t="s">
        <v>344</v>
      </c>
      <c r="P270" s="96" t="s">
        <v>495</v>
      </c>
      <c r="Q270" s="96" t="s">
        <v>24</v>
      </c>
      <c r="R270" s="96" t="s">
        <v>63</v>
      </c>
      <c r="S270" s="96" t="s">
        <v>1217</v>
      </c>
      <c r="T270" s="96" t="s">
        <v>24</v>
      </c>
      <c r="U270" s="96" t="s">
        <v>24</v>
      </c>
      <c r="V270" s="96" t="s">
        <v>24</v>
      </c>
    </row>
    <row r="271" spans="1:22">
      <c r="A271" s="96" t="s">
        <v>1221</v>
      </c>
      <c r="B271" s="96" t="s">
        <v>51</v>
      </c>
      <c r="C271" s="96" t="s">
        <v>24</v>
      </c>
      <c r="D271" s="96" t="s">
        <v>25</v>
      </c>
      <c r="E271" s="96" t="s">
        <v>571</v>
      </c>
      <c r="F271" s="96" t="s">
        <v>28</v>
      </c>
      <c r="G271" s="96" t="s">
        <v>28</v>
      </c>
      <c r="H271" s="96" t="s">
        <v>28</v>
      </c>
      <c r="I271" s="96" t="s">
        <v>28</v>
      </c>
      <c r="J271" s="96" t="s">
        <v>1222</v>
      </c>
      <c r="K271" s="96" t="s">
        <v>24</v>
      </c>
      <c r="L271" s="96" t="s">
        <v>1223</v>
      </c>
      <c r="M271" s="96" t="s">
        <v>28</v>
      </c>
      <c r="N271" s="96" t="s">
        <v>700</v>
      </c>
      <c r="O271" s="96" t="s">
        <v>344</v>
      </c>
      <c r="P271" s="96" t="s">
        <v>495</v>
      </c>
      <c r="Q271" s="96" t="s">
        <v>24</v>
      </c>
      <c r="R271" s="96" t="s">
        <v>63</v>
      </c>
      <c r="S271" s="96" t="s">
        <v>1217</v>
      </c>
      <c r="T271" s="96" t="s">
        <v>24</v>
      </c>
      <c r="U271" s="96" t="s">
        <v>24</v>
      </c>
      <c r="V271" s="96" t="s">
        <v>24</v>
      </c>
    </row>
    <row r="272" spans="1:22">
      <c r="A272" s="96" t="s">
        <v>1224</v>
      </c>
      <c r="B272" s="96" t="s">
        <v>51</v>
      </c>
      <c r="C272" s="96" t="s">
        <v>24</v>
      </c>
      <c r="D272" s="96" t="s">
        <v>25</v>
      </c>
      <c r="E272" s="96" t="s">
        <v>571</v>
      </c>
      <c r="F272" s="96" t="s">
        <v>28</v>
      </c>
      <c r="G272" s="96" t="s">
        <v>28</v>
      </c>
      <c r="H272" s="96" t="s">
        <v>28</v>
      </c>
      <c r="I272" s="96" t="s">
        <v>28</v>
      </c>
      <c r="J272" s="96" t="s">
        <v>1225</v>
      </c>
      <c r="K272" s="96" t="s">
        <v>24</v>
      </c>
      <c r="L272" s="96" t="s">
        <v>1226</v>
      </c>
      <c r="M272" s="96" t="s">
        <v>28</v>
      </c>
      <c r="N272" s="96" t="s">
        <v>700</v>
      </c>
      <c r="O272" s="96" t="s">
        <v>344</v>
      </c>
      <c r="P272" s="96" t="s">
        <v>495</v>
      </c>
      <c r="Q272" s="96" t="s">
        <v>24</v>
      </c>
      <c r="R272" s="96" t="s">
        <v>63</v>
      </c>
      <c r="S272" s="96" t="s">
        <v>1217</v>
      </c>
      <c r="T272" s="96" t="s">
        <v>24</v>
      </c>
      <c r="U272" s="96" t="s">
        <v>24</v>
      </c>
      <c r="V272" s="96" t="s">
        <v>24</v>
      </c>
    </row>
    <row r="273" spans="1:22">
      <c r="A273" s="96" t="s">
        <v>1227</v>
      </c>
      <c r="B273" s="96" t="s">
        <v>51</v>
      </c>
      <c r="C273" s="96" t="s">
        <v>24</v>
      </c>
      <c r="D273" s="96" t="s">
        <v>25</v>
      </c>
      <c r="E273" s="96" t="s">
        <v>571</v>
      </c>
      <c r="F273" s="96" t="s">
        <v>28</v>
      </c>
      <c r="G273" s="96" t="s">
        <v>28</v>
      </c>
      <c r="H273" s="96" t="s">
        <v>28</v>
      </c>
      <c r="I273" s="96" t="s">
        <v>28</v>
      </c>
      <c r="J273" s="96" t="s">
        <v>1228</v>
      </c>
      <c r="K273" s="96" t="s">
        <v>24</v>
      </c>
      <c r="L273" s="96" t="s">
        <v>1229</v>
      </c>
      <c r="M273" s="96" t="s">
        <v>28</v>
      </c>
      <c r="N273" s="96" t="s">
        <v>700</v>
      </c>
      <c r="O273" s="96" t="s">
        <v>344</v>
      </c>
      <c r="P273" s="96" t="s">
        <v>495</v>
      </c>
      <c r="Q273" s="96" t="s">
        <v>24</v>
      </c>
      <c r="R273" s="96" t="s">
        <v>63</v>
      </c>
      <c r="S273" s="96" t="s">
        <v>1217</v>
      </c>
      <c r="T273" s="96" t="s">
        <v>24</v>
      </c>
      <c r="U273" s="96" t="s">
        <v>24</v>
      </c>
      <c r="V273" s="96" t="s">
        <v>24</v>
      </c>
    </row>
    <row r="274" spans="1:22">
      <c r="A274" s="96" t="s">
        <v>1230</v>
      </c>
      <c r="B274" s="96" t="s">
        <v>51</v>
      </c>
      <c r="C274" s="96" t="s">
        <v>24</v>
      </c>
      <c r="D274" s="96" t="s">
        <v>25</v>
      </c>
      <c r="E274" s="96" t="s">
        <v>571</v>
      </c>
      <c r="F274" s="96" t="s">
        <v>28</v>
      </c>
      <c r="G274" s="96" t="s">
        <v>28</v>
      </c>
      <c r="H274" s="96" t="s">
        <v>28</v>
      </c>
      <c r="I274" s="96" t="s">
        <v>28</v>
      </c>
      <c r="J274" s="96" t="s">
        <v>1231</v>
      </c>
      <c r="K274" s="96" t="s">
        <v>24</v>
      </c>
      <c r="L274" s="96" t="s">
        <v>1232</v>
      </c>
      <c r="M274" s="96" t="s">
        <v>28</v>
      </c>
      <c r="N274" s="96" t="s">
        <v>700</v>
      </c>
      <c r="O274" s="96" t="s">
        <v>344</v>
      </c>
      <c r="P274" s="96" t="s">
        <v>495</v>
      </c>
      <c r="Q274" s="96" t="s">
        <v>24</v>
      </c>
      <c r="R274" s="96" t="s">
        <v>63</v>
      </c>
      <c r="S274" s="96" t="s">
        <v>1217</v>
      </c>
      <c r="T274" s="96" t="s">
        <v>24</v>
      </c>
      <c r="U274" s="96" t="s">
        <v>24</v>
      </c>
      <c r="V274" s="96" t="s">
        <v>24</v>
      </c>
    </row>
    <row r="275" spans="1:22">
      <c r="A275" s="96" t="s">
        <v>1233</v>
      </c>
      <c r="B275" s="96" t="s">
        <v>51</v>
      </c>
      <c r="C275" s="96" t="s">
        <v>24</v>
      </c>
      <c r="D275" s="96" t="s">
        <v>25</v>
      </c>
      <c r="E275" s="96" t="s">
        <v>571</v>
      </c>
      <c r="F275" s="96" t="s">
        <v>28</v>
      </c>
      <c r="G275" s="96" t="s">
        <v>28</v>
      </c>
      <c r="H275" s="96" t="s">
        <v>28</v>
      </c>
      <c r="I275" s="96" t="s">
        <v>28</v>
      </c>
      <c r="J275" s="96" t="s">
        <v>1234</v>
      </c>
      <c r="K275" s="96" t="s">
        <v>24</v>
      </c>
      <c r="L275" s="96" t="s">
        <v>1235</v>
      </c>
      <c r="M275" s="96" t="s">
        <v>28</v>
      </c>
      <c r="N275" s="96" t="s">
        <v>700</v>
      </c>
      <c r="O275" s="96" t="s">
        <v>344</v>
      </c>
      <c r="P275" s="96" t="s">
        <v>495</v>
      </c>
      <c r="Q275" s="96" t="s">
        <v>24</v>
      </c>
      <c r="R275" s="96" t="s">
        <v>63</v>
      </c>
      <c r="S275" s="96" t="s">
        <v>1236</v>
      </c>
      <c r="T275" s="96" t="s">
        <v>24</v>
      </c>
      <c r="U275" s="96" t="s">
        <v>24</v>
      </c>
      <c r="V275" s="96" t="s">
        <v>24</v>
      </c>
    </row>
    <row r="276" spans="1:22">
      <c r="A276" s="96" t="s">
        <v>1237</v>
      </c>
      <c r="B276" s="96" t="s">
        <v>51</v>
      </c>
      <c r="C276" s="96" t="s">
        <v>24</v>
      </c>
      <c r="D276" s="96" t="s">
        <v>25</v>
      </c>
      <c r="E276" s="96" t="s">
        <v>571</v>
      </c>
      <c r="F276" s="96" t="s">
        <v>28</v>
      </c>
      <c r="G276" s="96" t="s">
        <v>28</v>
      </c>
      <c r="H276" s="96" t="s">
        <v>28</v>
      </c>
      <c r="I276" s="96" t="s">
        <v>28</v>
      </c>
      <c r="J276" s="96" t="s">
        <v>1238</v>
      </c>
      <c r="K276" s="96" t="s">
        <v>24</v>
      </c>
      <c r="L276" s="96" t="s">
        <v>1239</v>
      </c>
      <c r="M276" s="96" t="s">
        <v>28</v>
      </c>
      <c r="N276" s="96" t="s">
        <v>700</v>
      </c>
      <c r="O276" s="96" t="s">
        <v>344</v>
      </c>
      <c r="P276" s="96" t="s">
        <v>495</v>
      </c>
      <c r="Q276" s="96" t="s">
        <v>24</v>
      </c>
      <c r="R276" s="96" t="s">
        <v>63</v>
      </c>
      <c r="S276" s="96" t="s">
        <v>1240</v>
      </c>
      <c r="T276" s="96" t="s">
        <v>24</v>
      </c>
      <c r="U276" s="96" t="s">
        <v>24</v>
      </c>
      <c r="V276" s="96" t="s">
        <v>24</v>
      </c>
    </row>
    <row r="277" spans="1:22">
      <c r="A277" s="96" t="s">
        <v>1241</v>
      </c>
      <c r="B277" s="96" t="s">
        <v>51</v>
      </c>
      <c r="C277" s="96" t="s">
        <v>24</v>
      </c>
      <c r="D277" s="96" t="s">
        <v>25</v>
      </c>
      <c r="E277" s="96" t="s">
        <v>571</v>
      </c>
      <c r="F277" s="96" t="s">
        <v>28</v>
      </c>
      <c r="G277" s="96" t="s">
        <v>28</v>
      </c>
      <c r="H277" s="96" t="s">
        <v>28</v>
      </c>
      <c r="I277" s="96" t="s">
        <v>28</v>
      </c>
      <c r="J277" s="96" t="s">
        <v>1242</v>
      </c>
      <c r="K277" s="96" t="s">
        <v>24</v>
      </c>
      <c r="L277" s="96" t="s">
        <v>1243</v>
      </c>
      <c r="M277" s="96" t="s">
        <v>28</v>
      </c>
      <c r="N277" s="96" t="s">
        <v>700</v>
      </c>
      <c r="O277" s="96" t="s">
        <v>344</v>
      </c>
      <c r="P277" s="96" t="s">
        <v>495</v>
      </c>
      <c r="Q277" s="96" t="s">
        <v>24</v>
      </c>
      <c r="R277" s="96" t="s">
        <v>63</v>
      </c>
      <c r="S277" s="96" t="s">
        <v>1240</v>
      </c>
      <c r="T277" s="96" t="s">
        <v>24</v>
      </c>
      <c r="U277" s="96" t="s">
        <v>24</v>
      </c>
      <c r="V277" s="96" t="s">
        <v>24</v>
      </c>
    </row>
    <row r="278" spans="1:22">
      <c r="A278" s="96" t="s">
        <v>1244</v>
      </c>
      <c r="B278" s="96" t="s">
        <v>51</v>
      </c>
      <c r="C278" s="96" t="s">
        <v>24</v>
      </c>
      <c r="D278" s="96" t="s">
        <v>25</v>
      </c>
      <c r="E278" s="96" t="s">
        <v>571</v>
      </c>
      <c r="F278" s="96" t="s">
        <v>28</v>
      </c>
      <c r="G278" s="96" t="s">
        <v>28</v>
      </c>
      <c r="H278" s="96" t="s">
        <v>28</v>
      </c>
      <c r="I278" s="96" t="s">
        <v>28</v>
      </c>
      <c r="J278" s="96" t="s">
        <v>1245</v>
      </c>
      <c r="K278" s="96" t="s">
        <v>24</v>
      </c>
      <c r="L278" s="96" t="s">
        <v>1246</v>
      </c>
      <c r="M278" s="96" t="s">
        <v>28</v>
      </c>
      <c r="N278" s="96" t="s">
        <v>700</v>
      </c>
      <c r="O278" s="96" t="s">
        <v>344</v>
      </c>
      <c r="P278" s="96" t="s">
        <v>495</v>
      </c>
      <c r="Q278" s="96" t="s">
        <v>24</v>
      </c>
      <c r="R278" s="96" t="s">
        <v>63</v>
      </c>
      <c r="S278" s="96" t="s">
        <v>1240</v>
      </c>
      <c r="T278" s="96" t="s">
        <v>24</v>
      </c>
      <c r="U278" s="96" t="s">
        <v>24</v>
      </c>
      <c r="V278" s="96" t="s">
        <v>24</v>
      </c>
    </row>
    <row r="279" spans="1:22">
      <c r="A279" s="96" t="s">
        <v>1247</v>
      </c>
      <c r="B279" s="96" t="s">
        <v>51</v>
      </c>
      <c r="C279" s="96" t="s">
        <v>24</v>
      </c>
      <c r="D279" s="96" t="s">
        <v>25</v>
      </c>
      <c r="E279" s="96" t="s">
        <v>571</v>
      </c>
      <c r="F279" s="96" t="s">
        <v>28</v>
      </c>
      <c r="G279" s="96" t="s">
        <v>28</v>
      </c>
      <c r="H279" s="96" t="s">
        <v>28</v>
      </c>
      <c r="I279" s="96" t="s">
        <v>28</v>
      </c>
      <c r="J279" s="96" t="s">
        <v>1248</v>
      </c>
      <c r="K279" s="96" t="s">
        <v>24</v>
      </c>
      <c r="L279" s="96" t="s">
        <v>24</v>
      </c>
      <c r="M279" s="96" t="s">
        <v>24</v>
      </c>
      <c r="N279" s="96" t="s">
        <v>700</v>
      </c>
      <c r="O279" s="96" t="s">
        <v>24</v>
      </c>
      <c r="P279" s="96" t="s">
        <v>24</v>
      </c>
      <c r="Q279" s="96" t="s">
        <v>24</v>
      </c>
      <c r="R279" s="96" t="s">
        <v>24</v>
      </c>
      <c r="S279" s="96" t="s">
        <v>24</v>
      </c>
      <c r="T279" s="96" t="s">
        <v>24</v>
      </c>
      <c r="U279" s="96" t="s">
        <v>24</v>
      </c>
      <c r="V279" s="96" t="s">
        <v>24</v>
      </c>
    </row>
    <row r="284" spans="1:22">
      <c r="B284" s="95" t="s">
        <v>1249</v>
      </c>
    </row>
    <row r="285" spans="1:22">
      <c r="D285" s="97"/>
    </row>
    <row r="286" spans="1:22">
      <c r="B286" s="95" t="s">
        <v>571</v>
      </c>
      <c r="C286" s="95">
        <f>COUNTIF(E:E, B286)</f>
        <v>162</v>
      </c>
      <c r="D286" s="97">
        <f>(C286/278)</f>
        <v>0.58273381294964033</v>
      </c>
      <c r="E286" s="98">
        <v>0.53</v>
      </c>
      <c r="F286" s="98">
        <v>0.44</v>
      </c>
    </row>
    <row r="287" spans="1:22">
      <c r="B287" s="95" t="s">
        <v>561</v>
      </c>
      <c r="C287" s="95">
        <f>COUNTIF(E:E, B287)</f>
        <v>41</v>
      </c>
      <c r="D287" s="97">
        <f t="shared" ref="D287:D289" si="0">(C287/278)</f>
        <v>0.14748201438848921</v>
      </c>
      <c r="E287" s="98">
        <v>0.19</v>
      </c>
      <c r="F287" s="98">
        <v>0.25</v>
      </c>
    </row>
    <row r="288" spans="1:22">
      <c r="B288" s="95" t="s">
        <v>538</v>
      </c>
      <c r="C288" s="95">
        <f>COUNTIF(E:E, B288)</f>
        <v>49</v>
      </c>
      <c r="D288" s="97">
        <f t="shared" si="0"/>
        <v>0.17625899280575538</v>
      </c>
      <c r="E288" s="98">
        <v>0.21</v>
      </c>
      <c r="F288" s="98">
        <v>0.25</v>
      </c>
    </row>
    <row r="289" spans="2:6">
      <c r="B289" s="95" t="s">
        <v>770</v>
      </c>
      <c r="C289" s="95">
        <f>COUNTIF(E:E, B289)</f>
        <v>26</v>
      </c>
      <c r="D289" s="97">
        <f t="shared" si="0"/>
        <v>9.3525179856115109E-2</v>
      </c>
      <c r="E289" s="98">
        <v>7.0000000000000007E-2</v>
      </c>
      <c r="F289" s="98">
        <v>0.06</v>
      </c>
    </row>
    <row r="290" spans="2:6">
      <c r="D290" s="98">
        <f>SUM(D286:D289)</f>
        <v>1</v>
      </c>
      <c r="E290" s="98">
        <f>SUM(E286:E289)</f>
        <v>1</v>
      </c>
      <c r="F290" s="98">
        <f>SUM(F286:F289)</f>
        <v>1</v>
      </c>
    </row>
    <row r="294" spans="2:6">
      <c r="B294" s="95" t="s">
        <v>1250</v>
      </c>
    </row>
    <row r="295" spans="2:6">
      <c r="B295" s="95" t="s">
        <v>517</v>
      </c>
      <c r="C295" s="98">
        <f>COUNTIF(P:P,"Dynamic")/221</f>
        <v>0.25791855203619912</v>
      </c>
      <c r="D295" s="98">
        <f>COUNTIF(P:P,"Static")/221</f>
        <v>0.74208144796380093</v>
      </c>
      <c r="E295" s="95">
        <f>SUM(C295:D295)</f>
        <v>1</v>
      </c>
    </row>
    <row r="296" spans="2:6">
      <c r="B296" s="95" t="s">
        <v>1251</v>
      </c>
      <c r="C296" s="98">
        <f>42/75</f>
        <v>0.56000000000000005</v>
      </c>
      <c r="D296" s="98">
        <f>33/75</f>
        <v>0.44</v>
      </c>
      <c r="E296" s="95">
        <f t="shared" ref="E296:E297" si="1">SUM(C296:D296)</f>
        <v>1</v>
      </c>
    </row>
    <row r="297" spans="2:6">
      <c r="B297" s="95" t="s">
        <v>1252</v>
      </c>
      <c r="C297" s="98">
        <f>17/32</f>
        <v>0.53125</v>
      </c>
      <c r="D297" s="98">
        <f>15/32</f>
        <v>0.46875</v>
      </c>
      <c r="E297" s="95">
        <f t="shared" si="1"/>
        <v>1</v>
      </c>
    </row>
    <row r="314" spans="2:3">
      <c r="B314" s="95" t="s">
        <v>1253</v>
      </c>
    </row>
    <row r="315" spans="2:3">
      <c r="B315" s="95" t="s">
        <v>517</v>
      </c>
      <c r="C315" s="95">
        <v>278</v>
      </c>
    </row>
    <row r="316" spans="2:3">
      <c r="B316" s="95" t="s">
        <v>1251</v>
      </c>
      <c r="C316" s="95">
        <v>92</v>
      </c>
    </row>
    <row r="317" spans="2:3">
      <c r="B317" s="95" t="s">
        <v>1254</v>
      </c>
      <c r="C317" s="95">
        <f>C316-51</f>
        <v>41</v>
      </c>
    </row>
    <row r="318" spans="2:3">
      <c r="B318" s="95" t="s">
        <v>1255</v>
      </c>
      <c r="C318" s="95">
        <f>C317-5</f>
        <v>36</v>
      </c>
    </row>
    <row r="319" spans="2:3">
      <c r="B319" s="95" t="s">
        <v>1256</v>
      </c>
      <c r="C319" s="95">
        <f>C318-3</f>
        <v>33</v>
      </c>
    </row>
  </sheetData>
  <autoFilter ref="A1:V279" xr:uid="{00000000-0001-0000-0000-000000000000}"/>
  <pageMargins left="0.7" right="0.7" top="0.75" bottom="0.75" header="0.3" footer="0.3"/>
  <ignoredErrors>
    <ignoredError sqref="A1:W1 A275:D275 A268:B268 D268 A37:D37 A36:D36 T36:W36 A13:D13 A12:D12 T12:W12 A9:D9 A2:D2 T2:W2 A34:D34 A33:D33 T33:W33 A267:D267 T267:W267 A280:W281 A276:D276 T276:W276 A152:D152 A86:D86 F86:O86 A87:D87 F87:O87 A88:D88 F88:O88 A89:D89 F89:O89 A90:D90 F90:O90 A91:D91 F91:O91 A92:D92 F92:W92 A93:D93 F93:O93 A94:D94 F94:O94 A95:D95 F95:O95 A96:D96 F96:O96 A97:D97 F97:O97 A98:D98 F98:O98 A99:D99 F99:O99 A100:D100 F100:O100 A101:D101 F101:O101 A102:D102 F102:O102 A103:D103 F103:O103 A104:D104 F104:O104 A105:D105 F105:O105 A106:D106 F106:W106 A107:D107 F107:O107 A108:D108 F108:O108 A109:D109 F109:O109 A110:D110 F110:O110 A111:D111 F111:O111 A112:D112 F112:O112 A113:D113 F113:O113 A114:D114 F114:O114 A115:D115 F115:W115 A116:D116 F116:W116 A117:D117 F117:O117 A118:D118 F118:O118 A119:D119 F119:O119 A120:D120 F120:O120 A121:D121 F121:O121 A122:D122 F122:O122 A123:D123 F123:O123 A124:D124 F124:O124 A125:D125 F125:O125 A126:D126 F126:O126 A127:D127 F127:O127 A128:D128 F128:O128 A129:D129 F129:O129 A130:D130 F130:O130 A131:D131 F131:O131 A132:D132 F132:O132 A133:D133 F133:O133 A134:D134 F134:O134 A135:D135 F135:O135 A201:D201 A153:D153 F153:O153 A136:D139 F136:O136 A140:D140 F140:W140 A141:D141 F141:W141 A142:D142 F142:W142 A143:D143 F143:O143 A144:D144 F144:O144 A145:D145 F145:O145 A146:D146 F146:O146 A147:D147 F147:O147 A148:D148 F148:O148 A149:D149 F149:O149 A150:D150 F150:O150 A151:D151 F151:O151 F152:O152 A154:D154 F154:O154 A155:D189 F156:O156 A266:D266 A240:D240 F240:O240 A241:D241 F241:W241 A242:D242 F242:O242 A243:D243 F243:O243 A244:D244 F244:O244 A245:D245 F245:O245 A246:D246 F246:O246 A247:D247 F247:O247 A248:D248 F248:W248 A249:D249 F249:O249 A250:D250 F250:O250 A251:D251 F251:O251 A252:D252 F252:W252 A253:D253 F253:W253 A254:D254 F254:W254 A255:D255 F255:O255 A256:D256 F256:O256 A257:D257 F257:O257 A258:D258 F258:O258 A259:D259 F259:O259 A260:D260 F260:O260 A261:D261 F261:O261 A262:D262 F262:O262 A263:D263 F263:O263 A264:D264 F264:W264 A265:D265 F265:W265 F266:W266 F267:O267 F268:W268 A269:D269 F269:O269 A270:D270 F270:O270 A271:D271 F271:O271 A272:D272 F272:O272 A273:D273 F273:O273 A274:D274 F274:O274 F275:O275 F276:O276 A277:D277 F277:O277 A278:D278 F278:O278 A279:D279 F279:W279 A239:D239 A225:D225 F225:W225 A226:D226 F226:O226 A227:D227 F227:O227 A228:D228 F228:O228 A229:D229 F229:O229 A230:D230 F230:W230 A231:D231 F231:O231 A232:D232 F232:W232 A233:D233 F233:O233 A234:D234 F234:O234 A235:D235 F235:O235 A236:D236 F236:W236 A237:D237 F237:W237 A238:D238 F238:O238 F239:O239 A224:D224 A221:D221 F221:W221 A222:D222 F222:W222 A223:D223 F223:W223 F224:W224 A220:D220 A218:D218 F218:W218 A219:D219 F219:W219 F220:W220 A217:D217 A202:D202 F202:W202 A203:D203 F203:W203 A204:D204 F204:O204 A205:D205 F205:O205 A206:D206 F206:W206 A207:D207 F207:O207 A208:D208 F208:W208 A209:D209 F209:W209 A210:D210 F210:W210 A211:D211 F211:W211 A212:D212 F212:O212 A213:D213 F213:O213 A214:D214 F214:O214 A215:D215 F215:O215 A216:D216 F216:O216 F217:O217 F2:O2 A3:D3 F3:O3 A4:D4 F4:O4 A5:D5 F5:W5 A6:D6 F6:O6 A7:D7 F7:O7 A8:D8 F8:O8 A85:D85 F85:O85 A84:D84 F84:O84 A83:D83 F83:O83 A82:D82 F82:O82 A81:D81 F81:O81 A80:D80 F80:O80 A79:D79 F79:O79 A78:D78 F78:W78 A77:D77 F77:O77 A76:D76 F76:W76 A75:D75 F75:O75 A74:D74 F74:O74 A73:D73 F73:O73 A72:D72 F72:O72 A71:D71 F71:O71 A70:D70 F70:W70 A69:D69 F69:O69 A68:D68 F68:O68 A67:D67 F67:O67 A66:D66 F66:O66 A65:D65 F65:W65 A64:D64 F64:W64 A63:D63 F63:O63 A62:D62 F62:O62 A61:D61 F61:W61 A60:D60 F60:O60 A59:D59 F59:O59 A58:D58 F58:O58 A57:D57 F57:O57 A56:D56 F56:O56 A55:D55 F55:O55 A54:D54 F54:O54 A53:D53 F53:O53 A52:D52 F52:O52 A51:D51 F51:O51 A50:D50 F50:W50 A49:D49 F49:O49 A48:D48 F48:O48 A47:D47 F47:O47 A46:D46 F46:O46 A45:D45 F45:W45 A44:D44 F44:O44 A43:D43 F43:O43 A42:D42 F42:O42 A41:D41 F41:W41 A40:D40 F40:W40 A39:D39 F39:W39 A38:D38 F38:W38 F37:O37 F36:O36 A35:D35 F35:O35 F34:O34 F33:O33 A32:D32 F32:O32 A31:D31 F31:O31 A30:D30 F30:O30 A29:D29 F29:O29 A28:D28 F28:O28 A27:D27 F27:O27 A26:D26 F26:O26 A25:D25 F25:O25 A24:D24 F24:O24 A23:D23 F23:O23 A22:D22 F22:O22 A21:D21 F21:O21 A20:D20 F20:O20 A19:D19 F19:O19 A18:D18 F18:O18 A17:D17 F17:O17 A16:D16 F16:O16 A15:D15 F15:O15 A14:D14 F14:O14 F13:O13 F12:O12 A11:D11 F11:O11 A10:D10 F10:O10 F9:O9 A190:D190 F190:O190 A191:D191 F191:O191 A192:D192 F192:W192 A193:D193 F193:O193 A194:D194 F194:O194 A195:D195 F195:O195 A196:D196 F196:O196 A197:D197 F197:O197 A198:D198 F198:W198 A199:D199 F199:W199 A200:D200 F200:O200 F201:O201 Q251:W251 Q250:W250 Q234:W234 Q217:W217 Q216:W216 Q215:W215 Q214:W214 Q213:W213 Q212:W212 Q207:W207 Q204:W204 F155:O155 Q155:W155 Q143:W143 Q111:W111 Q110:W110 Q108:W108 Q107:W107 Q105:W105 Q104:W104 Q103:W103 Q102:W102 Q101:W101 Q100:W100 Q99:W99 Q98:W98 Q95:W95 Q90:W90 Q89:W89 Q85:W85 Q81:W81 Q77:W77 Q75:W75 Q74:W74 Q71:W71 Q68:W68 Q67:W67 Q66:W66 Q60:W60 Q59:W59 Q58:W58 Q57:W57 Q56:W56 Q55:W55 Q54:W54 Q49:W49 Q48:W48 Q47:W47 Q46:W46 Q44:W44 Q43:W43 Q42:W42 Q36:R36 Q32:W32 Q31:W31 Q4:W4 Q3:W3 Q2:R2 Q278:W278 Q277:W277 Q276:R276 Q275:W275 Q274:W274 Q273:W273 Q272:W272 Q271:W271 Q270:W270 Q269:W269 Q267:R267 Q263:W263 Q262:W262 Q261:W261 Q260:W260 Q259:W259 Q258:W258 Q257:W257 Q256:W256 Q255:W255 Q249:W249 Q247:W247 Q246:W246 Q245:W245 Q244:W244 Q243:W243 Q242:W242 Q240:W240 Q239:W239 Q238:W238 Q235:W235 Q233:W233 Q231:W231 Q229:W229 Q228:W228 Q227:W227 Q226:W226 Q205:W205 Q201:W201 Q200:W200 Q197:W197 Q196:W196 Q195:W195 Q194:W194 Q193:W193 Q191:W191 Q190:W190 F187:W189 F186:O186 Q186:W186 F185:O185 Q185:W185 F184:O184 Q184:W184 F183:O183 Q183:W183 F182:O182 Q182:W182 F181:O181 Q181:W181 F180:O180 Q180:W180 F179:O179 Q179:W179 F178:O178 Q178:W178 F177:O177 Q177:W177 F176:O176 Q176:W176 F175:O175 Q175:W175 F174:O174 Q174:W174 F173:O173 Q173:W173 F172:O172 Q172:W172 F171:O171 Q171:W171 F170:O170 Q170:W170 F169:O169 Q169:W169 F168:W168 F167:O167 Q167:W167 F166:O166 Q166:W166 F165:O165 Q165:W165 F164:O164 Q164:W164 F163:O163 Q163:W163 F162:O162 Q162:W162 F161:O161 Q161:W161 F160:W160 F159:O159 Q159:W159 F158:O158 Q158:W158 F157:O157 Q157:W157 Q156:W156 Q154:W154 Q153:W153 Q152:W152 Q151:W151 Q150:W150 Q149:W149 Q148:W148 Q147:W147 Q146:W146 Q145:W145 Q144:W144 F139:O139 Q139:W139 F138:O138 Q138:W138 F137:O137 Q137:W137 Q136:W136 Q135:W135 Q134:W134 Q133:W133 Q132:W132 Q131:W131 Q130:W130 Q129:W129 Q128:W128 Q127:W127 Q126:W126 Q125:W125 Q124:W124 Q123:W123 Q122:W122 Q121:W121 Q120:W120 Q119:W119 Q118:W118 Q117:W117 Q114:W114 Q113:W113 Q112:W112 Q109:W109 Q97:W97 Q96:W96 Q94:W94 Q93:W93 Q91:W91 Q88:W88 Q87:W87 Q86:W86 Q84:W84 Q83:W83 Q82:W82 Q80:W80 Q79:W79 Q73:W73 Q72:W72 Q69:W69 Q63:W63 Q62:W62 Q53:W53 Q52:W52 Q51:W51 Q37:W37 Q35:W35 Q34:W34 Q33:R33 Q30:W30 Q29:W29 Q28:W28 Q27:W27 Q26:W26 Q25:W25 Q24:W24 Q23:W23 Q22:W22 Q21:W21 Q20:W20 Q19:W19 Q18:W18 Q17:W17 Q16:W16 Q15:W15 Q14:W14 Q13:W13 Q12:R12 Q11:W11 Q10:W10 Q9:W9 Q8:W8 Q7:W7 Q6:W6" numberStoredAsText="1"/>
  </ignoredErrors>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F39DA-6A89-493E-BFC0-AACACC131D4A}">
  <dimension ref="A1:T66"/>
  <sheetViews>
    <sheetView topLeftCell="A31" workbookViewId="0">
      <selection activeCell="E67" sqref="E67"/>
    </sheetView>
  </sheetViews>
  <sheetFormatPr defaultColWidth="8.875" defaultRowHeight="15.95"/>
  <cols>
    <col min="1" max="1" width="4" customWidth="1"/>
    <col min="2" max="2" width="22" customWidth="1"/>
    <col min="3" max="3" width="45.625" customWidth="1"/>
    <col min="4" max="4" width="21.375" customWidth="1"/>
    <col min="5" max="5" width="31.125" customWidth="1"/>
    <col min="6" max="6" width="13" customWidth="1"/>
    <col min="7" max="7" width="14.5" customWidth="1"/>
    <col min="8" max="8" width="10.125" customWidth="1"/>
    <col min="9" max="9" width="11.625" customWidth="1"/>
    <col min="10" max="10" width="10.125" customWidth="1"/>
    <col min="11" max="11" width="7.625" customWidth="1"/>
    <col min="13" max="13" width="12.875" customWidth="1"/>
    <col min="14" max="14" width="14.625" customWidth="1"/>
    <col min="18" max="18" width="18.375" customWidth="1"/>
    <col min="20" max="20" width="18.125" customWidth="1"/>
  </cols>
  <sheetData>
    <row r="1" spans="1:20" ht="44.1">
      <c r="A1" s="67" t="s">
        <v>0</v>
      </c>
      <c r="B1" s="67" t="s">
        <v>518</v>
      </c>
      <c r="C1" s="67" t="s">
        <v>519</v>
      </c>
      <c r="D1" s="67" t="s">
        <v>520</v>
      </c>
      <c r="E1" s="67" t="s">
        <v>521</v>
      </c>
      <c r="F1" s="67" t="s">
        <v>522</v>
      </c>
      <c r="G1" s="67" t="s">
        <v>523</v>
      </c>
      <c r="H1" s="67" t="s">
        <v>524</v>
      </c>
      <c r="I1" s="67" t="s">
        <v>525</v>
      </c>
      <c r="J1" s="67" t="s">
        <v>526</v>
      </c>
      <c r="K1" s="68" t="s">
        <v>527</v>
      </c>
      <c r="L1" s="69" t="s">
        <v>1257</v>
      </c>
      <c r="M1" s="69" t="s">
        <v>1258</v>
      </c>
      <c r="N1" s="69" t="s">
        <v>529</v>
      </c>
      <c r="O1" s="69" t="s">
        <v>1259</v>
      </c>
      <c r="P1" s="69" t="s">
        <v>1260</v>
      </c>
      <c r="Q1" s="69" t="s">
        <v>1261</v>
      </c>
      <c r="R1" s="92"/>
      <c r="S1" s="70"/>
      <c r="T1" s="92" t="s">
        <v>1262</v>
      </c>
    </row>
    <row r="2" spans="1:20" ht="84.95">
      <c r="A2" s="71">
        <v>10</v>
      </c>
      <c r="B2" s="72" t="s">
        <v>406</v>
      </c>
      <c r="C2" s="71" t="s">
        <v>408</v>
      </c>
      <c r="D2" s="71" t="s">
        <v>597</v>
      </c>
      <c r="E2" s="71" t="s">
        <v>598</v>
      </c>
      <c r="F2" s="71" t="s">
        <v>534</v>
      </c>
      <c r="G2" s="71" t="s">
        <v>535</v>
      </c>
      <c r="H2" s="71" t="s">
        <v>536</v>
      </c>
      <c r="I2" s="71" t="s">
        <v>499</v>
      </c>
      <c r="J2" s="71" t="s">
        <v>537</v>
      </c>
      <c r="K2" s="72" t="s">
        <v>35</v>
      </c>
      <c r="L2" s="73" t="s">
        <v>35</v>
      </c>
      <c r="M2" s="74" t="s">
        <v>561</v>
      </c>
      <c r="N2" s="75" t="s">
        <v>1263</v>
      </c>
      <c r="O2" s="76" t="s">
        <v>28</v>
      </c>
      <c r="P2" s="76" t="s">
        <v>28</v>
      </c>
      <c r="Q2" s="76" t="s">
        <v>28</v>
      </c>
      <c r="R2" s="71"/>
      <c r="S2" s="70"/>
      <c r="T2" s="91" t="s">
        <v>1264</v>
      </c>
    </row>
    <row r="3" spans="1:20" ht="80.099999999999994">
      <c r="A3" s="71">
        <v>22</v>
      </c>
      <c r="B3" s="72" t="s">
        <v>285</v>
      </c>
      <c r="C3" s="71" t="s">
        <v>286</v>
      </c>
      <c r="D3" s="71" t="s">
        <v>1265</v>
      </c>
      <c r="E3" s="71" t="s">
        <v>1266</v>
      </c>
      <c r="F3" s="71" t="s">
        <v>554</v>
      </c>
      <c r="G3" s="71" t="s">
        <v>586</v>
      </c>
      <c r="H3" s="71" t="s">
        <v>580</v>
      </c>
      <c r="I3" s="71" t="s">
        <v>495</v>
      </c>
      <c r="J3" s="71" t="s">
        <v>566</v>
      </c>
      <c r="K3" s="72" t="s">
        <v>35</v>
      </c>
      <c r="L3" s="73" t="s">
        <v>35</v>
      </c>
      <c r="M3" s="74" t="s">
        <v>571</v>
      </c>
      <c r="N3" s="75" t="s">
        <v>599</v>
      </c>
      <c r="O3" s="76" t="s">
        <v>28</v>
      </c>
      <c r="P3" s="76" t="s">
        <v>28</v>
      </c>
      <c r="Q3" s="76" t="s">
        <v>28</v>
      </c>
      <c r="R3" s="71"/>
    </row>
    <row r="4" spans="1:20" ht="99.95">
      <c r="A4" s="71">
        <v>11</v>
      </c>
      <c r="B4" s="72" t="s">
        <v>29</v>
      </c>
      <c r="C4" s="71" t="s">
        <v>603</v>
      </c>
      <c r="D4" s="71" t="s">
        <v>1267</v>
      </c>
      <c r="E4" s="71" t="s">
        <v>604</v>
      </c>
      <c r="F4" s="71" t="s">
        <v>554</v>
      </c>
      <c r="G4" s="71" t="s">
        <v>535</v>
      </c>
      <c r="H4" s="71" t="s">
        <v>536</v>
      </c>
      <c r="I4" s="71" t="s">
        <v>495</v>
      </c>
      <c r="J4" s="71" t="s">
        <v>566</v>
      </c>
      <c r="K4" s="72" t="s">
        <v>35</v>
      </c>
      <c r="L4" s="73" t="s">
        <v>35</v>
      </c>
      <c r="M4" s="74" t="s">
        <v>571</v>
      </c>
      <c r="N4" s="75" t="s">
        <v>605</v>
      </c>
      <c r="O4" s="76" t="s">
        <v>28</v>
      </c>
      <c r="P4" s="76" t="s">
        <v>28</v>
      </c>
      <c r="Q4" s="76" t="s">
        <v>28</v>
      </c>
      <c r="R4" s="71"/>
      <c r="S4" s="70"/>
      <c r="T4" s="91" t="s">
        <v>1264</v>
      </c>
    </row>
    <row r="5" spans="1:20" ht="120">
      <c r="A5" s="71">
        <v>3</v>
      </c>
      <c r="B5" s="72" t="s">
        <v>540</v>
      </c>
      <c r="C5" s="71" t="s">
        <v>541</v>
      </c>
      <c r="D5" s="71" t="s">
        <v>542</v>
      </c>
      <c r="E5" s="71" t="s">
        <v>543</v>
      </c>
      <c r="F5" s="71" t="s">
        <v>544</v>
      </c>
      <c r="G5" s="71" t="s">
        <v>535</v>
      </c>
      <c r="H5" s="71" t="s">
        <v>536</v>
      </c>
      <c r="I5" s="71" t="s">
        <v>499</v>
      </c>
      <c r="J5" s="71" t="s">
        <v>537</v>
      </c>
      <c r="K5" s="72" t="s">
        <v>35</v>
      </c>
      <c r="L5" s="73" t="s">
        <v>35</v>
      </c>
      <c r="M5" s="74" t="s">
        <v>538</v>
      </c>
      <c r="N5" s="75" t="s">
        <v>1268</v>
      </c>
      <c r="O5" s="76" t="s">
        <v>28</v>
      </c>
      <c r="P5" s="76" t="s">
        <v>28</v>
      </c>
      <c r="Q5" s="76" t="s">
        <v>28</v>
      </c>
      <c r="R5" s="71"/>
      <c r="S5" s="70"/>
    </row>
    <row r="6" spans="1:20" ht="99.95">
      <c r="A6" s="71">
        <v>8</v>
      </c>
      <c r="B6" s="72" t="s">
        <v>164</v>
      </c>
      <c r="C6" s="71" t="s">
        <v>166</v>
      </c>
      <c r="D6" s="71" t="s">
        <v>611</v>
      </c>
      <c r="E6" s="71" t="s">
        <v>1269</v>
      </c>
      <c r="F6" s="71" t="s">
        <v>554</v>
      </c>
      <c r="G6" s="71" t="s">
        <v>535</v>
      </c>
      <c r="H6" s="71" t="s">
        <v>536</v>
      </c>
      <c r="I6" s="71" t="s">
        <v>499</v>
      </c>
      <c r="J6" s="71" t="s">
        <v>537</v>
      </c>
      <c r="K6" s="72" t="s">
        <v>35</v>
      </c>
      <c r="L6" s="73" t="s">
        <v>35</v>
      </c>
      <c r="M6" s="74" t="s">
        <v>561</v>
      </c>
      <c r="N6" s="75" t="s">
        <v>608</v>
      </c>
      <c r="O6" s="76" t="s">
        <v>28</v>
      </c>
      <c r="P6" s="76" t="s">
        <v>28</v>
      </c>
      <c r="Q6" s="76" t="s">
        <v>28</v>
      </c>
      <c r="R6" s="71"/>
      <c r="S6" s="70"/>
    </row>
    <row r="7" spans="1:20" ht="99.95">
      <c r="A7" s="77">
        <v>5</v>
      </c>
      <c r="B7" s="78" t="s">
        <v>550</v>
      </c>
      <c r="C7" s="77" t="s">
        <v>551</v>
      </c>
      <c r="D7" s="77" t="s">
        <v>552</v>
      </c>
      <c r="E7" s="77" t="s">
        <v>553</v>
      </c>
      <c r="F7" s="77" t="s">
        <v>554</v>
      </c>
      <c r="G7" s="77" t="s">
        <v>535</v>
      </c>
      <c r="H7" s="77" t="s">
        <v>536</v>
      </c>
      <c r="I7" s="77" t="s">
        <v>499</v>
      </c>
      <c r="J7" s="77" t="s">
        <v>537</v>
      </c>
      <c r="K7" s="78" t="s">
        <v>35</v>
      </c>
      <c r="L7" s="79" t="s">
        <v>35</v>
      </c>
      <c r="M7" s="80" t="s">
        <v>538</v>
      </c>
      <c r="N7" s="81" t="s">
        <v>1268</v>
      </c>
      <c r="O7" s="76" t="s">
        <v>28</v>
      </c>
      <c r="P7" s="76"/>
      <c r="Q7" s="76"/>
      <c r="R7" s="71"/>
      <c r="S7" s="70"/>
      <c r="T7" s="91" t="s">
        <v>1270</v>
      </c>
    </row>
    <row r="8" spans="1:20" ht="226.5" customHeight="1">
      <c r="A8" s="77">
        <v>13</v>
      </c>
      <c r="B8" s="78" t="s">
        <v>567</v>
      </c>
      <c r="C8" s="77" t="s">
        <v>568</v>
      </c>
      <c r="D8" s="77" t="s">
        <v>569</v>
      </c>
      <c r="E8" s="77" t="s">
        <v>570</v>
      </c>
      <c r="F8" s="77" t="s">
        <v>554</v>
      </c>
      <c r="G8" s="77" t="s">
        <v>535</v>
      </c>
      <c r="H8" s="77" t="s">
        <v>536</v>
      </c>
      <c r="I8" s="77" t="s">
        <v>495</v>
      </c>
      <c r="J8" s="77" t="s">
        <v>566</v>
      </c>
      <c r="K8" s="78" t="s">
        <v>35</v>
      </c>
      <c r="L8" s="79" t="s">
        <v>35</v>
      </c>
      <c r="M8" s="80" t="s">
        <v>571</v>
      </c>
      <c r="N8" s="81" t="s">
        <v>1268</v>
      </c>
      <c r="O8" s="76" t="s">
        <v>28</v>
      </c>
      <c r="P8" s="76" t="s">
        <v>28</v>
      </c>
      <c r="Q8" s="76" t="s">
        <v>28</v>
      </c>
      <c r="R8" s="75"/>
      <c r="S8" s="70" t="s">
        <v>1271</v>
      </c>
    </row>
    <row r="9" spans="1:20" ht="140.1">
      <c r="A9" s="71">
        <v>29</v>
      </c>
      <c r="B9" s="72" t="s">
        <v>558</v>
      </c>
      <c r="C9" s="71" t="s">
        <v>559</v>
      </c>
      <c r="D9" s="71" t="s">
        <v>560</v>
      </c>
      <c r="E9" s="71" t="s">
        <v>1272</v>
      </c>
      <c r="F9" s="71" t="s">
        <v>534</v>
      </c>
      <c r="G9" s="71" t="s">
        <v>535</v>
      </c>
      <c r="H9" s="71" t="s">
        <v>536</v>
      </c>
      <c r="I9" s="71" t="s">
        <v>495</v>
      </c>
      <c r="J9" s="71" t="s">
        <v>537</v>
      </c>
      <c r="K9" s="72" t="s">
        <v>35</v>
      </c>
      <c r="L9" s="73" t="s">
        <v>35</v>
      </c>
      <c r="M9" s="74" t="s">
        <v>561</v>
      </c>
      <c r="N9" s="75" t="s">
        <v>1268</v>
      </c>
      <c r="O9" s="76" t="s">
        <v>28</v>
      </c>
      <c r="P9" s="76" t="s">
        <v>28</v>
      </c>
      <c r="Q9" s="76" t="s">
        <v>28</v>
      </c>
      <c r="R9" s="71"/>
      <c r="S9" s="70"/>
    </row>
    <row r="10" spans="1:20" ht="120">
      <c r="A10" s="71">
        <v>1</v>
      </c>
      <c r="B10" s="72" t="s">
        <v>48</v>
      </c>
      <c r="C10" s="71" t="s">
        <v>49</v>
      </c>
      <c r="D10" s="71" t="s">
        <v>615</v>
      </c>
      <c r="E10" s="71" t="s">
        <v>616</v>
      </c>
      <c r="F10" s="71" t="s">
        <v>544</v>
      </c>
      <c r="G10" s="71" t="s">
        <v>535</v>
      </c>
      <c r="H10" s="71" t="s">
        <v>536</v>
      </c>
      <c r="I10" s="71" t="s">
        <v>495</v>
      </c>
      <c r="J10" s="71" t="s">
        <v>537</v>
      </c>
      <c r="K10" s="72" t="s">
        <v>35</v>
      </c>
      <c r="L10" s="73" t="s">
        <v>35</v>
      </c>
      <c r="M10" s="74" t="s">
        <v>571</v>
      </c>
      <c r="N10" s="75" t="s">
        <v>608</v>
      </c>
      <c r="O10" s="76" t="s">
        <v>28</v>
      </c>
      <c r="P10" s="76" t="s">
        <v>28</v>
      </c>
      <c r="Q10" s="76" t="s">
        <v>28</v>
      </c>
      <c r="R10" s="71"/>
      <c r="S10" s="70"/>
    </row>
    <row r="11" spans="1:20" ht="80.099999999999994">
      <c r="A11" s="71">
        <v>9</v>
      </c>
      <c r="B11" s="72" t="s">
        <v>263</v>
      </c>
      <c r="C11" s="71" t="s">
        <v>1273</v>
      </c>
      <c r="D11" s="71" t="s">
        <v>1274</v>
      </c>
      <c r="E11" s="71" t="s">
        <v>1275</v>
      </c>
      <c r="F11" s="71" t="s">
        <v>554</v>
      </c>
      <c r="G11" s="71" t="s">
        <v>535</v>
      </c>
      <c r="H11" s="71" t="s">
        <v>536</v>
      </c>
      <c r="I11" s="71" t="s">
        <v>495</v>
      </c>
      <c r="J11" s="71" t="s">
        <v>537</v>
      </c>
      <c r="K11" s="72" t="s">
        <v>35</v>
      </c>
      <c r="L11" s="73" t="s">
        <v>35</v>
      </c>
      <c r="M11" s="74" t="s">
        <v>538</v>
      </c>
      <c r="N11" s="75" t="s">
        <v>608</v>
      </c>
      <c r="O11" s="76" t="s">
        <v>28</v>
      </c>
      <c r="P11" s="76" t="s">
        <v>28</v>
      </c>
      <c r="Q11" s="76" t="s">
        <v>28</v>
      </c>
      <c r="R11" s="71"/>
      <c r="S11" s="70"/>
    </row>
    <row r="12" spans="1:20" ht="200.1">
      <c r="A12" s="77">
        <v>7</v>
      </c>
      <c r="B12" s="78" t="s">
        <v>155</v>
      </c>
      <c r="C12" s="77" t="s">
        <v>1276</v>
      </c>
      <c r="D12" s="77" t="s">
        <v>617</v>
      </c>
      <c r="E12" s="77" t="s">
        <v>1277</v>
      </c>
      <c r="F12" s="77" t="s">
        <v>554</v>
      </c>
      <c r="G12" s="77" t="s">
        <v>535</v>
      </c>
      <c r="H12" s="77" t="s">
        <v>536</v>
      </c>
      <c r="I12" s="77" t="s">
        <v>499</v>
      </c>
      <c r="J12" s="77" t="s">
        <v>537</v>
      </c>
      <c r="K12" s="78" t="s">
        <v>35</v>
      </c>
      <c r="L12" s="79" t="s">
        <v>35</v>
      </c>
      <c r="M12" s="80" t="s">
        <v>561</v>
      </c>
      <c r="N12" s="81" t="s">
        <v>1278</v>
      </c>
      <c r="O12" s="76" t="s">
        <v>28</v>
      </c>
      <c r="P12" s="76" t="s">
        <v>28</v>
      </c>
      <c r="Q12" s="76" t="s">
        <v>28</v>
      </c>
      <c r="R12" s="71"/>
      <c r="S12" s="82" t="s">
        <v>1279</v>
      </c>
    </row>
    <row r="13" spans="1:20" ht="120">
      <c r="A13" s="71">
        <v>19</v>
      </c>
      <c r="B13" s="72" t="s">
        <v>100</v>
      </c>
      <c r="C13" s="71" t="s">
        <v>101</v>
      </c>
      <c r="D13" s="71" t="s">
        <v>618</v>
      </c>
      <c r="E13" s="71" t="s">
        <v>619</v>
      </c>
      <c r="F13" s="71" t="s">
        <v>534</v>
      </c>
      <c r="G13" s="71" t="s">
        <v>535</v>
      </c>
      <c r="H13" s="71" t="s">
        <v>536</v>
      </c>
      <c r="I13" s="71" t="s">
        <v>495</v>
      </c>
      <c r="J13" s="71" t="s">
        <v>566</v>
      </c>
      <c r="K13" s="72" t="s">
        <v>35</v>
      </c>
      <c r="L13" s="73" t="s">
        <v>35</v>
      </c>
      <c r="M13" s="74" t="s">
        <v>571</v>
      </c>
      <c r="N13" s="75" t="s">
        <v>500</v>
      </c>
      <c r="O13" s="76" t="s">
        <v>28</v>
      </c>
      <c r="P13" s="76" t="s">
        <v>28</v>
      </c>
      <c r="Q13" s="76" t="s">
        <v>28</v>
      </c>
      <c r="R13" s="71"/>
      <c r="S13" s="70"/>
    </row>
    <row r="14" spans="1:20" ht="99.95">
      <c r="A14" s="77">
        <v>15</v>
      </c>
      <c r="B14" s="78" t="s">
        <v>1280</v>
      </c>
      <c r="C14" s="77" t="s">
        <v>1281</v>
      </c>
      <c r="D14" s="77" t="s">
        <v>1282</v>
      </c>
      <c r="E14" s="77" t="s">
        <v>1283</v>
      </c>
      <c r="F14" s="77" t="s">
        <v>554</v>
      </c>
      <c r="G14" s="77" t="s">
        <v>535</v>
      </c>
      <c r="H14" s="77" t="s">
        <v>536</v>
      </c>
      <c r="I14" s="77" t="s">
        <v>495</v>
      </c>
      <c r="J14" s="77" t="s">
        <v>566</v>
      </c>
      <c r="K14" s="78" t="s">
        <v>35</v>
      </c>
      <c r="L14" s="79" t="s">
        <v>35</v>
      </c>
      <c r="M14" s="80" t="s">
        <v>561</v>
      </c>
      <c r="N14" s="81" t="s">
        <v>602</v>
      </c>
      <c r="O14" s="76" t="s">
        <v>28</v>
      </c>
      <c r="P14" s="76" t="s">
        <v>28</v>
      </c>
      <c r="Q14" s="76" t="s">
        <v>28</v>
      </c>
      <c r="R14" s="75"/>
      <c r="S14" s="70"/>
    </row>
    <row r="15" spans="1:20" ht="99.95">
      <c r="A15" s="84">
        <v>24</v>
      </c>
      <c r="B15" s="85" t="s">
        <v>375</v>
      </c>
      <c r="C15" s="84" t="s">
        <v>376</v>
      </c>
      <c r="D15" s="84" t="s">
        <v>1282</v>
      </c>
      <c r="E15" s="84" t="s">
        <v>1284</v>
      </c>
      <c r="F15" s="84" t="s">
        <v>544</v>
      </c>
      <c r="G15" s="84" t="s">
        <v>535</v>
      </c>
      <c r="H15" s="84" t="s">
        <v>580</v>
      </c>
      <c r="I15" s="84" t="s">
        <v>499</v>
      </c>
      <c r="J15" s="84" t="s">
        <v>566</v>
      </c>
      <c r="K15" s="85" t="s">
        <v>35</v>
      </c>
      <c r="L15" s="86" t="s">
        <v>35</v>
      </c>
      <c r="M15" s="87" t="s">
        <v>538</v>
      </c>
      <c r="N15" s="62" t="s">
        <v>602</v>
      </c>
      <c r="O15" s="76" t="s">
        <v>28</v>
      </c>
      <c r="P15" s="76" t="s">
        <v>28</v>
      </c>
      <c r="Q15" s="76" t="s">
        <v>28</v>
      </c>
      <c r="R15" s="75"/>
      <c r="S15" s="70"/>
    </row>
    <row r="16" spans="1:20" ht="153">
      <c r="A16" s="84">
        <v>23</v>
      </c>
      <c r="B16" s="85" t="s">
        <v>297</v>
      </c>
      <c r="C16" s="84" t="s">
        <v>298</v>
      </c>
      <c r="D16" s="88"/>
      <c r="E16" s="84" t="s">
        <v>1283</v>
      </c>
      <c r="F16" s="84" t="s">
        <v>554</v>
      </c>
      <c r="G16" s="84" t="s">
        <v>535</v>
      </c>
      <c r="H16" s="84" t="s">
        <v>580</v>
      </c>
      <c r="I16" s="84" t="s">
        <v>499</v>
      </c>
      <c r="J16" s="84" t="s">
        <v>566</v>
      </c>
      <c r="K16" s="85" t="s">
        <v>35</v>
      </c>
      <c r="L16" s="86" t="s">
        <v>35</v>
      </c>
      <c r="M16" s="87" t="s">
        <v>571</v>
      </c>
      <c r="N16" s="62" t="s">
        <v>608</v>
      </c>
      <c r="O16" s="76" t="s">
        <v>28</v>
      </c>
      <c r="P16" s="76" t="s">
        <v>28</v>
      </c>
      <c r="Q16" s="76" t="s">
        <v>28</v>
      </c>
      <c r="R16" s="75"/>
      <c r="S16" s="75" t="s">
        <v>1285</v>
      </c>
    </row>
    <row r="17" spans="1:20" ht="99.95">
      <c r="A17" s="77">
        <v>17</v>
      </c>
      <c r="B17" s="78" t="s">
        <v>626</v>
      </c>
      <c r="C17" s="77" t="s">
        <v>363</v>
      </c>
      <c r="D17" s="77" t="s">
        <v>1286</v>
      </c>
      <c r="E17" s="77" t="s">
        <v>1283</v>
      </c>
      <c r="F17" s="77" t="s">
        <v>554</v>
      </c>
      <c r="G17" s="77" t="s">
        <v>535</v>
      </c>
      <c r="H17" s="77" t="s">
        <v>536</v>
      </c>
      <c r="I17" s="77" t="s">
        <v>495</v>
      </c>
      <c r="J17" s="77" t="s">
        <v>566</v>
      </c>
      <c r="K17" s="78" t="s">
        <v>35</v>
      </c>
      <c r="L17" s="79" t="s">
        <v>35</v>
      </c>
      <c r="M17" s="80" t="s">
        <v>561</v>
      </c>
      <c r="N17" s="81" t="s">
        <v>602</v>
      </c>
      <c r="O17" s="76" t="s">
        <v>28</v>
      </c>
      <c r="P17" s="76" t="s">
        <v>28</v>
      </c>
      <c r="Q17" s="76" t="s">
        <v>28</v>
      </c>
      <c r="R17" s="75"/>
      <c r="S17" s="70"/>
    </row>
    <row r="18" spans="1:20" ht="180">
      <c r="A18" s="71">
        <v>4</v>
      </c>
      <c r="B18" s="72" t="s">
        <v>545</v>
      </c>
      <c r="C18" s="71" t="s">
        <v>546</v>
      </c>
      <c r="D18" s="71" t="s">
        <v>547</v>
      </c>
      <c r="E18" s="71" t="s">
        <v>548</v>
      </c>
      <c r="F18" s="71" t="s">
        <v>549</v>
      </c>
      <c r="G18" s="71" t="s">
        <v>535</v>
      </c>
      <c r="H18" s="71" t="s">
        <v>536</v>
      </c>
      <c r="I18" s="71" t="s">
        <v>499</v>
      </c>
      <c r="J18" s="71" t="s">
        <v>537</v>
      </c>
      <c r="K18" s="72" t="s">
        <v>35</v>
      </c>
      <c r="L18" s="73" t="s">
        <v>35</v>
      </c>
      <c r="M18" s="74" t="s">
        <v>549</v>
      </c>
      <c r="N18" s="75" t="s">
        <v>1268</v>
      </c>
      <c r="O18" s="76" t="s">
        <v>28</v>
      </c>
      <c r="P18" s="76"/>
      <c r="Q18" s="76"/>
      <c r="R18" s="71"/>
      <c r="S18" s="70"/>
    </row>
    <row r="19" spans="1:20" ht="228.75" customHeight="1">
      <c r="A19" s="71">
        <v>20</v>
      </c>
      <c r="B19" s="72" t="s">
        <v>628</v>
      </c>
      <c r="C19" s="71" t="s">
        <v>181</v>
      </c>
      <c r="D19" s="71" t="s">
        <v>629</v>
      </c>
      <c r="E19" s="71" t="s">
        <v>630</v>
      </c>
      <c r="F19" s="71" t="s">
        <v>554</v>
      </c>
      <c r="G19" s="71" t="s">
        <v>586</v>
      </c>
      <c r="H19" s="71" t="s">
        <v>580</v>
      </c>
      <c r="I19" s="71" t="s">
        <v>499</v>
      </c>
      <c r="J19" s="71" t="s">
        <v>566</v>
      </c>
      <c r="K19" s="72" t="s">
        <v>35</v>
      </c>
      <c r="L19" s="73" t="s">
        <v>35</v>
      </c>
      <c r="M19" s="74" t="s">
        <v>561</v>
      </c>
      <c r="N19" s="75" t="s">
        <v>504</v>
      </c>
      <c r="O19" s="76" t="s">
        <v>28</v>
      </c>
      <c r="P19" s="76" t="s">
        <v>28</v>
      </c>
      <c r="Q19" s="76" t="s">
        <v>28</v>
      </c>
      <c r="R19" s="71"/>
      <c r="S19" s="70"/>
      <c r="T19" s="80" t="s">
        <v>1264</v>
      </c>
    </row>
    <row r="20" spans="1:20" ht="140.1">
      <c r="A20" s="71">
        <v>27</v>
      </c>
      <c r="B20" s="72" t="s">
        <v>332</v>
      </c>
      <c r="C20" s="71" t="s">
        <v>333</v>
      </c>
      <c r="D20" s="71" t="s">
        <v>1287</v>
      </c>
      <c r="E20" s="71" t="s">
        <v>1288</v>
      </c>
      <c r="F20" s="71" t="s">
        <v>554</v>
      </c>
      <c r="G20" s="71" t="s">
        <v>535</v>
      </c>
      <c r="H20" s="71" t="s">
        <v>536</v>
      </c>
      <c r="I20" s="71" t="s">
        <v>499</v>
      </c>
      <c r="J20" s="71" t="s">
        <v>566</v>
      </c>
      <c r="K20" s="72" t="s">
        <v>35</v>
      </c>
      <c r="L20" s="73" t="s">
        <v>35</v>
      </c>
      <c r="M20" s="74" t="s">
        <v>571</v>
      </c>
      <c r="N20" s="75" t="s">
        <v>602</v>
      </c>
      <c r="O20" s="76" t="s">
        <v>28</v>
      </c>
      <c r="P20" s="76" t="s">
        <v>28</v>
      </c>
      <c r="Q20" s="76" t="s">
        <v>28</v>
      </c>
      <c r="R20" s="71"/>
      <c r="S20" s="70"/>
    </row>
    <row r="21" spans="1:20" ht="80.099999999999994">
      <c r="A21" s="77">
        <v>14</v>
      </c>
      <c r="B21" s="78" t="s">
        <v>634</v>
      </c>
      <c r="C21" s="77" t="s">
        <v>348</v>
      </c>
      <c r="D21" s="77" t="s">
        <v>1289</v>
      </c>
      <c r="E21" s="77" t="s">
        <v>1283</v>
      </c>
      <c r="F21" s="77" t="s">
        <v>554</v>
      </c>
      <c r="G21" s="77" t="s">
        <v>535</v>
      </c>
      <c r="H21" s="77" t="s">
        <v>536</v>
      </c>
      <c r="I21" s="77" t="s">
        <v>495</v>
      </c>
      <c r="J21" s="77" t="s">
        <v>566</v>
      </c>
      <c r="K21" s="78" t="s">
        <v>35</v>
      </c>
      <c r="L21" s="79" t="s">
        <v>35</v>
      </c>
      <c r="M21" s="80" t="s">
        <v>561</v>
      </c>
      <c r="N21" s="81" t="s">
        <v>602</v>
      </c>
      <c r="O21" s="76" t="s">
        <v>28</v>
      </c>
      <c r="P21" s="76" t="s">
        <v>28</v>
      </c>
      <c r="Q21" s="76" t="s">
        <v>28</v>
      </c>
      <c r="R21" s="75"/>
      <c r="S21" s="70"/>
    </row>
    <row r="22" spans="1:20" ht="80.099999999999994">
      <c r="A22" s="71">
        <v>21</v>
      </c>
      <c r="B22" s="72" t="s">
        <v>186</v>
      </c>
      <c r="C22" s="71" t="s">
        <v>187</v>
      </c>
      <c r="D22" s="71" t="s">
        <v>637</v>
      </c>
      <c r="E22" s="71" t="s">
        <v>638</v>
      </c>
      <c r="F22" s="71" t="s">
        <v>534</v>
      </c>
      <c r="G22" s="71" t="s">
        <v>586</v>
      </c>
      <c r="H22" s="71" t="s">
        <v>580</v>
      </c>
      <c r="I22" s="71" t="s">
        <v>499</v>
      </c>
      <c r="J22" s="71" t="s">
        <v>566</v>
      </c>
      <c r="K22" s="72" t="s">
        <v>35</v>
      </c>
      <c r="L22" s="73" t="s">
        <v>35</v>
      </c>
      <c r="M22" s="74" t="s">
        <v>561</v>
      </c>
      <c r="N22" s="75" t="s">
        <v>608</v>
      </c>
      <c r="O22" s="76" t="s">
        <v>28</v>
      </c>
      <c r="P22" s="76" t="s">
        <v>28</v>
      </c>
      <c r="Q22" s="76" t="s">
        <v>28</v>
      </c>
      <c r="R22" s="71"/>
      <c r="S22" s="70"/>
    </row>
    <row r="23" spans="1:20" ht="186.95">
      <c r="A23" s="71">
        <v>18</v>
      </c>
      <c r="B23" s="72" t="s">
        <v>389</v>
      </c>
      <c r="C23" s="71" t="s">
        <v>639</v>
      </c>
      <c r="D23" s="71" t="s">
        <v>640</v>
      </c>
      <c r="E23" s="71" t="s">
        <v>619</v>
      </c>
      <c r="F23" s="71" t="s">
        <v>554</v>
      </c>
      <c r="G23" s="71" t="s">
        <v>535</v>
      </c>
      <c r="H23" s="71" t="s">
        <v>536</v>
      </c>
      <c r="I23" s="71" t="s">
        <v>495</v>
      </c>
      <c r="J23" s="71" t="s">
        <v>566</v>
      </c>
      <c r="K23" s="72" t="s">
        <v>35</v>
      </c>
      <c r="L23" s="73" t="s">
        <v>35</v>
      </c>
      <c r="M23" s="74" t="s">
        <v>561</v>
      </c>
      <c r="N23" s="75" t="s">
        <v>1290</v>
      </c>
      <c r="O23" s="76" t="s">
        <v>28</v>
      </c>
      <c r="P23" s="76" t="s">
        <v>28</v>
      </c>
      <c r="Q23" s="76" t="s">
        <v>28</v>
      </c>
      <c r="R23" s="71"/>
      <c r="T23" s="80" t="s">
        <v>1264</v>
      </c>
    </row>
    <row r="24" spans="1:20" ht="99.95">
      <c r="A24" s="71">
        <v>30</v>
      </c>
      <c r="B24" s="72" t="s">
        <v>562</v>
      </c>
      <c r="C24" s="71" t="s">
        <v>563</v>
      </c>
      <c r="D24" s="71" t="s">
        <v>564</v>
      </c>
      <c r="E24" s="71" t="s">
        <v>565</v>
      </c>
      <c r="F24" s="71" t="s">
        <v>554</v>
      </c>
      <c r="G24" s="71" t="s">
        <v>535</v>
      </c>
      <c r="H24" s="71" t="s">
        <v>536</v>
      </c>
      <c r="I24" s="71" t="s">
        <v>495</v>
      </c>
      <c r="J24" s="71" t="s">
        <v>566</v>
      </c>
      <c r="K24" s="72" t="s">
        <v>35</v>
      </c>
      <c r="L24" s="73" t="s">
        <v>35</v>
      </c>
      <c r="M24" s="74" t="s">
        <v>538</v>
      </c>
      <c r="N24" s="75" t="s">
        <v>1268</v>
      </c>
      <c r="O24" s="76" t="s">
        <v>28</v>
      </c>
      <c r="P24" s="76" t="s">
        <v>28</v>
      </c>
      <c r="Q24" s="76" t="s">
        <v>28</v>
      </c>
      <c r="R24" s="71"/>
      <c r="S24" s="70"/>
      <c r="T24" s="80" t="s">
        <v>1264</v>
      </c>
    </row>
    <row r="25" spans="1:20" ht="80.099999999999994">
      <c r="A25" s="71">
        <v>6</v>
      </c>
      <c r="B25" s="72" t="s">
        <v>107</v>
      </c>
      <c r="C25" s="71" t="s">
        <v>109</v>
      </c>
      <c r="D25" s="71" t="s">
        <v>642</v>
      </c>
      <c r="E25" s="71" t="s">
        <v>643</v>
      </c>
      <c r="F25" s="71" t="s">
        <v>554</v>
      </c>
      <c r="G25" s="71" t="s">
        <v>535</v>
      </c>
      <c r="H25" s="71" t="s">
        <v>536</v>
      </c>
      <c r="I25" s="71" t="s">
        <v>499</v>
      </c>
      <c r="J25" s="71" t="s">
        <v>537</v>
      </c>
      <c r="K25" s="72" t="s">
        <v>35</v>
      </c>
      <c r="L25" s="73" t="s">
        <v>35</v>
      </c>
      <c r="M25" s="74" t="s">
        <v>561</v>
      </c>
      <c r="N25" s="75" t="s">
        <v>608</v>
      </c>
      <c r="O25" s="76" t="s">
        <v>28</v>
      </c>
      <c r="P25" s="76" t="s">
        <v>28</v>
      </c>
      <c r="Q25" s="76" t="s">
        <v>28</v>
      </c>
      <c r="R25" s="71"/>
      <c r="S25" s="70"/>
      <c r="T25" s="91" t="s">
        <v>1291</v>
      </c>
    </row>
    <row r="26" spans="1:20" ht="120">
      <c r="A26" s="71">
        <v>32</v>
      </c>
      <c r="B26" s="72" t="s">
        <v>1292</v>
      </c>
      <c r="C26" s="71" t="s">
        <v>644</v>
      </c>
      <c r="D26" s="71" t="s">
        <v>645</v>
      </c>
      <c r="E26" s="71" t="s">
        <v>646</v>
      </c>
      <c r="F26" s="71" t="s">
        <v>554</v>
      </c>
      <c r="G26" s="71" t="s">
        <v>586</v>
      </c>
      <c r="H26" s="71" t="s">
        <v>580</v>
      </c>
      <c r="I26" s="71" t="s">
        <v>499</v>
      </c>
      <c r="J26" s="71" t="s">
        <v>566</v>
      </c>
      <c r="K26" s="72" t="s">
        <v>35</v>
      </c>
      <c r="L26" s="73" t="s">
        <v>35</v>
      </c>
      <c r="M26" s="74" t="s">
        <v>561</v>
      </c>
      <c r="N26" s="62" t="s">
        <v>647</v>
      </c>
      <c r="O26" s="76" t="s">
        <v>28</v>
      </c>
      <c r="P26" s="76" t="s">
        <v>28</v>
      </c>
      <c r="Q26" s="76" t="s">
        <v>28</v>
      </c>
      <c r="R26" s="71"/>
      <c r="S26" s="70"/>
    </row>
    <row r="27" spans="1:20" ht="200.1">
      <c r="A27" s="77">
        <v>31</v>
      </c>
      <c r="B27" s="78" t="s">
        <v>587</v>
      </c>
      <c r="C27" s="77" t="s">
        <v>588</v>
      </c>
      <c r="D27" s="77" t="s">
        <v>589</v>
      </c>
      <c r="E27" s="77" t="s">
        <v>590</v>
      </c>
      <c r="F27" s="77" t="s">
        <v>534</v>
      </c>
      <c r="G27" s="77" t="s">
        <v>535</v>
      </c>
      <c r="H27" s="77" t="s">
        <v>580</v>
      </c>
      <c r="I27" s="77" t="s">
        <v>495</v>
      </c>
      <c r="J27" s="77" t="s">
        <v>566</v>
      </c>
      <c r="K27" s="78" t="s">
        <v>35</v>
      </c>
      <c r="L27" s="79" t="s">
        <v>35</v>
      </c>
      <c r="M27" s="80" t="s">
        <v>561</v>
      </c>
      <c r="N27" s="81" t="s">
        <v>1268</v>
      </c>
      <c r="O27" s="76"/>
      <c r="P27" s="76"/>
      <c r="Q27" s="76" t="s">
        <v>28</v>
      </c>
      <c r="R27" s="71"/>
      <c r="S27" s="70"/>
    </row>
    <row r="28" spans="1:20" ht="80.099999999999994">
      <c r="A28" s="71">
        <v>25</v>
      </c>
      <c r="B28" s="72" t="s">
        <v>305</v>
      </c>
      <c r="C28" s="71" t="s">
        <v>306</v>
      </c>
      <c r="D28" s="71" t="s">
        <v>1293</v>
      </c>
      <c r="E28" s="71" t="s">
        <v>1294</v>
      </c>
      <c r="F28" s="71" t="s">
        <v>534</v>
      </c>
      <c r="G28" s="71" t="s">
        <v>535</v>
      </c>
      <c r="H28" s="71" t="s">
        <v>580</v>
      </c>
      <c r="I28" s="71" t="s">
        <v>495</v>
      </c>
      <c r="J28" s="71" t="s">
        <v>566</v>
      </c>
      <c r="K28" s="72" t="s">
        <v>35</v>
      </c>
      <c r="L28" s="73" t="s">
        <v>35</v>
      </c>
      <c r="M28" s="74" t="s">
        <v>538</v>
      </c>
      <c r="N28" s="75" t="s">
        <v>608</v>
      </c>
      <c r="O28" s="76" t="s">
        <v>28</v>
      </c>
      <c r="P28" s="76" t="s">
        <v>28</v>
      </c>
      <c r="Q28" s="76" t="s">
        <v>28</v>
      </c>
      <c r="R28" s="71"/>
      <c r="S28" s="70"/>
    </row>
    <row r="29" spans="1:20" ht="180">
      <c r="A29" s="71">
        <v>2</v>
      </c>
      <c r="B29" s="72" t="s">
        <v>530</v>
      </c>
      <c r="C29" s="71" t="s">
        <v>531</v>
      </c>
      <c r="D29" s="71" t="s">
        <v>1295</v>
      </c>
      <c r="E29" s="71" t="s">
        <v>533</v>
      </c>
      <c r="F29" s="71" t="s">
        <v>534</v>
      </c>
      <c r="G29" s="71" t="s">
        <v>535</v>
      </c>
      <c r="H29" s="71" t="s">
        <v>536</v>
      </c>
      <c r="I29" s="71" t="s">
        <v>499</v>
      </c>
      <c r="J29" s="71" t="s">
        <v>537</v>
      </c>
      <c r="K29" s="72" t="s">
        <v>35</v>
      </c>
      <c r="L29" s="73" t="s">
        <v>35</v>
      </c>
      <c r="M29" s="74" t="s">
        <v>538</v>
      </c>
      <c r="N29" s="75" t="s">
        <v>1268</v>
      </c>
      <c r="O29" s="76" t="s">
        <v>28</v>
      </c>
      <c r="P29" s="76" t="s">
        <v>28</v>
      </c>
      <c r="Q29" s="76" t="s">
        <v>28</v>
      </c>
      <c r="R29" s="71"/>
      <c r="S29" s="70"/>
      <c r="T29" s="93" t="s">
        <v>1264</v>
      </c>
    </row>
    <row r="30" spans="1:20" ht="84.95">
      <c r="A30" s="71">
        <v>26</v>
      </c>
      <c r="B30" s="72" t="s">
        <v>555</v>
      </c>
      <c r="C30" s="71" t="s">
        <v>556</v>
      </c>
      <c r="D30" s="71" t="s">
        <v>557</v>
      </c>
      <c r="E30" s="71" t="s">
        <v>1296</v>
      </c>
      <c r="F30" s="71" t="s">
        <v>549</v>
      </c>
      <c r="G30" s="71" t="s">
        <v>535</v>
      </c>
      <c r="H30" s="71" t="s">
        <v>536</v>
      </c>
      <c r="I30" s="71" t="s">
        <v>499</v>
      </c>
      <c r="J30" s="71" t="s">
        <v>537</v>
      </c>
      <c r="K30" s="72" t="s">
        <v>35</v>
      </c>
      <c r="L30" s="73" t="s">
        <v>35</v>
      </c>
      <c r="M30" s="74" t="s">
        <v>538</v>
      </c>
      <c r="N30" s="75" t="s">
        <v>1268</v>
      </c>
      <c r="O30" s="76" t="s">
        <v>28</v>
      </c>
      <c r="P30" s="76" t="s">
        <v>28</v>
      </c>
      <c r="Q30" s="76" t="s">
        <v>28</v>
      </c>
      <c r="R30" s="71"/>
      <c r="S30" s="70"/>
    </row>
    <row r="31" spans="1:20" ht="409.6">
      <c r="A31" s="71">
        <v>28</v>
      </c>
      <c r="B31" s="72" t="s">
        <v>450</v>
      </c>
      <c r="C31" s="71" t="s">
        <v>451</v>
      </c>
      <c r="D31" s="71" t="s">
        <v>1297</v>
      </c>
      <c r="E31" s="71" t="s">
        <v>1298</v>
      </c>
      <c r="F31" s="71" t="s">
        <v>544</v>
      </c>
      <c r="G31" s="71" t="s">
        <v>535</v>
      </c>
      <c r="H31" s="71" t="s">
        <v>580</v>
      </c>
      <c r="I31" s="71" t="s">
        <v>499</v>
      </c>
      <c r="J31" s="71" t="s">
        <v>566</v>
      </c>
      <c r="K31" s="72" t="s">
        <v>35</v>
      </c>
      <c r="L31" s="73" t="s">
        <v>35</v>
      </c>
      <c r="M31" s="74" t="s">
        <v>571</v>
      </c>
      <c r="N31" s="75" t="s">
        <v>514</v>
      </c>
      <c r="O31" s="76" t="s">
        <v>28</v>
      </c>
      <c r="P31" s="76"/>
      <c r="Q31" s="76"/>
      <c r="R31" s="71"/>
      <c r="S31" s="70"/>
    </row>
    <row r="32" spans="1:20" ht="99.95">
      <c r="A32" s="77">
        <v>16</v>
      </c>
      <c r="B32" s="78" t="s">
        <v>1299</v>
      </c>
      <c r="C32" s="77" t="s">
        <v>1300</v>
      </c>
      <c r="D32" s="77" t="s">
        <v>1301</v>
      </c>
      <c r="E32" s="77" t="s">
        <v>1283</v>
      </c>
      <c r="F32" s="77" t="s">
        <v>554</v>
      </c>
      <c r="G32" s="77" t="s">
        <v>535</v>
      </c>
      <c r="H32" s="77" t="s">
        <v>536</v>
      </c>
      <c r="I32" s="77" t="s">
        <v>495</v>
      </c>
      <c r="J32" s="77" t="s">
        <v>566</v>
      </c>
      <c r="K32" s="78" t="s">
        <v>35</v>
      </c>
      <c r="L32" s="79" t="s">
        <v>35</v>
      </c>
      <c r="M32" s="80" t="s">
        <v>561</v>
      </c>
      <c r="N32" s="83" t="s">
        <v>602</v>
      </c>
      <c r="O32" s="76" t="s">
        <v>28</v>
      </c>
      <c r="P32" s="76" t="s">
        <v>28</v>
      </c>
      <c r="Q32" s="76" t="s">
        <v>28</v>
      </c>
      <c r="R32" s="75"/>
      <c r="S32" s="70"/>
    </row>
    <row r="33" spans="1:19" ht="140.1">
      <c r="A33" s="77">
        <v>12</v>
      </c>
      <c r="B33" s="78" t="s">
        <v>652</v>
      </c>
      <c r="C33" s="77" t="s">
        <v>653</v>
      </c>
      <c r="D33" s="77" t="s">
        <v>1302</v>
      </c>
      <c r="E33" s="77" t="s">
        <v>655</v>
      </c>
      <c r="F33" s="77" t="s">
        <v>554</v>
      </c>
      <c r="G33" s="77" t="s">
        <v>535</v>
      </c>
      <c r="H33" s="77" t="s">
        <v>536</v>
      </c>
      <c r="I33" s="77" t="s">
        <v>499</v>
      </c>
      <c r="J33" s="77" t="s">
        <v>566</v>
      </c>
      <c r="K33" s="78" t="s">
        <v>35</v>
      </c>
      <c r="L33" s="79" t="s">
        <v>35</v>
      </c>
      <c r="M33" s="80" t="s">
        <v>561</v>
      </c>
      <c r="N33" s="81" t="s">
        <v>656</v>
      </c>
      <c r="O33" s="76" t="s">
        <v>28</v>
      </c>
      <c r="P33" s="76" t="s">
        <v>28</v>
      </c>
      <c r="Q33" s="76" t="s">
        <v>28</v>
      </c>
      <c r="R33" s="71"/>
      <c r="S33" s="70"/>
    </row>
    <row r="35" spans="1:19">
      <c r="B35" t="s">
        <v>1249</v>
      </c>
    </row>
    <row r="36" spans="1:19">
      <c r="B36" t="str" cm="1">
        <f t="array" ref="B36:B39">_xlfn.UNIQUE(M2:M33)</f>
        <v>Defense</v>
      </c>
      <c r="C36">
        <f>COUNTIF(M2:M33, B36)</f>
        <v>15</v>
      </c>
      <c r="D36" s="90">
        <f>(C36/32)</f>
        <v>0.46875</v>
      </c>
    </row>
    <row r="37" spans="1:19">
      <c r="B37" t="str">
        <v>Vulnerability</v>
      </c>
      <c r="C37">
        <f>COUNTIF(M3:M34, B37)</f>
        <v>8</v>
      </c>
      <c r="D37" s="90">
        <f t="shared" ref="D37:D39" si="0">(C37/32)</f>
        <v>0.25</v>
      </c>
    </row>
    <row r="38" spans="1:19">
      <c r="B38" t="str">
        <v>Situation</v>
      </c>
      <c r="C38">
        <f>COUNTIF(M4:M35, B38)</f>
        <v>8</v>
      </c>
      <c r="D38" s="90">
        <f t="shared" si="0"/>
        <v>0.25</v>
      </c>
    </row>
    <row r="39" spans="1:19">
      <c r="B39" t="str">
        <v>User</v>
      </c>
      <c r="C39">
        <f t="shared" ref="C39" si="1">COUNTIF(M5:M36, B39)</f>
        <v>1</v>
      </c>
      <c r="D39" s="90">
        <f t="shared" si="0"/>
        <v>3.125E-2</v>
      </c>
    </row>
    <row r="54" spans="9:9">
      <c r="I54" s="90"/>
    </row>
    <row r="55" spans="9:9">
      <c r="I55" s="90"/>
    </row>
    <row r="56" spans="9:9">
      <c r="I56" s="90"/>
    </row>
    <row r="57" spans="9:9">
      <c r="I57" s="90"/>
    </row>
    <row r="66" spans="5:7">
      <c r="E66" t="s">
        <v>1303</v>
      </c>
      <c r="F66">
        <f>COUNTIF(I:I,"Dynamic")</f>
        <v>17</v>
      </c>
      <c r="G66">
        <f>COUNTIF(I:I,"Static")</f>
        <v>15</v>
      </c>
    </row>
  </sheetData>
  <sortState xmlns:xlrd2="http://schemas.microsoft.com/office/spreadsheetml/2017/richdata2" ref="A1:S33">
    <sortCondition ref="B2:B33"/>
  </sortState>
  <conditionalFormatting sqref="K1">
    <cfRule type="colorScale" priority="361">
      <colorScale>
        <cfvo type="min"/>
        <cfvo type="percentile" val="50"/>
        <cfvo type="max"/>
        <color rgb="FF63BE7B"/>
        <color rgb="FFFFEB84"/>
        <color rgb="FFF8696B"/>
      </colorScale>
    </cfRule>
  </conditionalFormatting>
  <conditionalFormatting sqref="K2">
    <cfRule type="colorScale" priority="324">
      <colorScale>
        <cfvo type="min"/>
        <cfvo type="percentile" val="50"/>
        <cfvo type="max"/>
        <color rgb="FF63BE7B"/>
        <color rgb="FFFFEB84"/>
        <color rgb="FFF8696B"/>
      </colorScale>
    </cfRule>
  </conditionalFormatting>
  <conditionalFormatting sqref="K3">
    <cfRule type="colorScale" priority="133">
      <colorScale>
        <cfvo type="min"/>
        <cfvo type="percentile" val="50"/>
        <cfvo type="max"/>
        <color rgb="FF63BE7B"/>
        <color rgb="FFFFEB84"/>
        <color rgb="FFF8696B"/>
      </colorScale>
    </cfRule>
  </conditionalFormatting>
  <conditionalFormatting sqref="K4">
    <cfRule type="colorScale" priority="116">
      <colorScale>
        <cfvo type="min"/>
        <cfvo type="percentile" val="50"/>
        <cfvo type="max"/>
        <color rgb="FF63BE7B"/>
        <color rgb="FFFFEB84"/>
        <color rgb="FFF8696B"/>
      </colorScale>
    </cfRule>
  </conditionalFormatting>
  <conditionalFormatting sqref="K5:K6">
    <cfRule type="colorScale" priority="99">
      <colorScale>
        <cfvo type="min"/>
        <cfvo type="percentile" val="50"/>
        <cfvo type="max"/>
        <color rgb="FF63BE7B"/>
        <color rgb="FFFFEB84"/>
        <color rgb="FFF8696B"/>
      </colorScale>
    </cfRule>
  </conditionalFormatting>
  <conditionalFormatting sqref="K7">
    <cfRule type="colorScale" priority="310">
      <colorScale>
        <cfvo type="min"/>
        <cfvo type="percentile" val="50"/>
        <cfvo type="max"/>
        <color rgb="FF63BE7B"/>
        <color rgb="FFFFEB84"/>
        <color rgb="FFF8696B"/>
      </colorScale>
    </cfRule>
  </conditionalFormatting>
  <conditionalFormatting sqref="K8:K9">
    <cfRule type="colorScale" priority="302">
      <colorScale>
        <cfvo type="min"/>
        <cfvo type="percentile" val="50"/>
        <cfvo type="max"/>
        <color rgb="FF63BE7B"/>
        <color rgb="FFFFEB84"/>
        <color rgb="FFF8696B"/>
      </colorScale>
    </cfRule>
  </conditionalFormatting>
  <conditionalFormatting sqref="K10">
    <cfRule type="colorScale" priority="294">
      <colorScale>
        <cfvo type="min"/>
        <cfvo type="percentile" val="50"/>
        <cfvo type="max"/>
        <color rgb="FF63BE7B"/>
        <color rgb="FFFFEB84"/>
        <color rgb="FFF8696B"/>
      </colorScale>
    </cfRule>
  </conditionalFormatting>
  <conditionalFormatting sqref="K11">
    <cfRule type="colorScale" priority="286">
      <colorScale>
        <cfvo type="min"/>
        <cfvo type="percentile" val="50"/>
        <cfvo type="max"/>
        <color rgb="FF63BE7B"/>
        <color rgb="FFFFEB84"/>
        <color rgb="FFF8696B"/>
      </colorScale>
    </cfRule>
  </conditionalFormatting>
  <conditionalFormatting sqref="K12">
    <cfRule type="colorScale" priority="278">
      <colorScale>
        <cfvo type="min"/>
        <cfvo type="percentile" val="50"/>
        <cfvo type="max"/>
        <color rgb="FF63BE7B"/>
        <color rgb="FFFFEB84"/>
        <color rgb="FFF8696B"/>
      </colorScale>
    </cfRule>
  </conditionalFormatting>
  <conditionalFormatting sqref="K13">
    <cfRule type="colorScale" priority="154">
      <colorScale>
        <cfvo type="min"/>
        <cfvo type="percentile" val="50"/>
        <cfvo type="max"/>
        <color rgb="FF63BE7B"/>
        <color rgb="FFFFEB84"/>
        <color rgb="FFF8696B"/>
      </colorScale>
    </cfRule>
  </conditionalFormatting>
  <conditionalFormatting sqref="K14">
    <cfRule type="colorScale" priority="255">
      <colorScale>
        <cfvo type="min"/>
        <cfvo type="percentile" val="50"/>
        <cfvo type="max"/>
        <color rgb="FF63BE7B"/>
        <color rgb="FFFFEB84"/>
        <color rgb="FFF8696B"/>
      </colorScale>
    </cfRule>
  </conditionalFormatting>
  <conditionalFormatting sqref="K15:K18">
    <cfRule type="colorScale" priority="570">
      <colorScale>
        <cfvo type="min"/>
        <cfvo type="percentile" val="50"/>
        <cfvo type="max"/>
        <color rgb="FF63BE7B"/>
        <color rgb="FFFFEB84"/>
        <color rgb="FFF8696B"/>
      </colorScale>
    </cfRule>
  </conditionalFormatting>
  <conditionalFormatting sqref="K19">
    <cfRule type="colorScale" priority="224">
      <colorScale>
        <cfvo type="min"/>
        <cfvo type="percentile" val="50"/>
        <cfvo type="max"/>
        <color rgb="FF63BE7B"/>
        <color rgb="FFFFEB84"/>
        <color rgb="FFF8696B"/>
      </colorScale>
    </cfRule>
  </conditionalFormatting>
  <conditionalFormatting sqref="K20">
    <cfRule type="colorScale" priority="216">
      <colorScale>
        <cfvo type="min"/>
        <cfvo type="percentile" val="50"/>
        <cfvo type="max"/>
        <color rgb="FF63BE7B"/>
        <color rgb="FFFFEB84"/>
        <color rgb="FFF8696B"/>
      </colorScale>
    </cfRule>
  </conditionalFormatting>
  <conditionalFormatting sqref="K21:K23">
    <cfRule type="colorScale" priority="208">
      <colorScale>
        <cfvo type="min"/>
        <cfvo type="percentile" val="50"/>
        <cfvo type="max"/>
        <color rgb="FF63BE7B"/>
        <color rgb="FFFFEB84"/>
        <color rgb="FFF8696B"/>
      </colorScale>
    </cfRule>
  </conditionalFormatting>
  <conditionalFormatting sqref="K24">
    <cfRule type="colorScale" priority="200">
      <colorScale>
        <cfvo type="min"/>
        <cfvo type="percentile" val="50"/>
        <cfvo type="max"/>
        <color rgb="FF63BE7B"/>
        <color rgb="FFFFEB84"/>
        <color rgb="FFF8696B"/>
      </colorScale>
    </cfRule>
  </conditionalFormatting>
  <conditionalFormatting sqref="K25">
    <cfRule type="colorScale" priority="192">
      <colorScale>
        <cfvo type="min"/>
        <cfvo type="percentile" val="50"/>
        <cfvo type="max"/>
        <color rgb="FF63BE7B"/>
        <color rgb="FFFFEB84"/>
        <color rgb="FFF8696B"/>
      </colorScale>
    </cfRule>
  </conditionalFormatting>
  <conditionalFormatting sqref="K26 K28">
    <cfRule type="colorScale" priority="170">
      <colorScale>
        <cfvo type="min"/>
        <cfvo type="percentile" val="50"/>
        <cfvo type="max"/>
        <color rgb="FF63BE7B"/>
        <color rgb="FFFFEB84"/>
        <color rgb="FFF8696B"/>
      </colorScale>
    </cfRule>
  </conditionalFormatting>
  <conditionalFormatting sqref="K27">
    <cfRule type="colorScale" priority="82">
      <colorScale>
        <cfvo type="min"/>
        <cfvo type="percentile" val="50"/>
        <cfvo type="max"/>
        <color rgb="FF63BE7B"/>
        <color rgb="FFFFEB84"/>
        <color rgb="FFF8696B"/>
      </colorScale>
    </cfRule>
  </conditionalFormatting>
  <conditionalFormatting sqref="K29">
    <cfRule type="colorScale" priority="146">
      <colorScale>
        <cfvo type="min"/>
        <cfvo type="percentile" val="50"/>
        <cfvo type="max"/>
        <color rgb="FF63BE7B"/>
        <color rgb="FFFFEB84"/>
        <color rgb="FFF8696B"/>
      </colorScale>
    </cfRule>
  </conditionalFormatting>
  <conditionalFormatting sqref="K30:K31">
    <cfRule type="colorScale" priority="65">
      <colorScale>
        <cfvo type="min"/>
        <cfvo type="percentile" val="50"/>
        <cfvo type="max"/>
        <color rgb="FF63BE7B"/>
        <color rgb="FFFFEB84"/>
        <color rgb="FFF8696B"/>
      </colorScale>
    </cfRule>
  </conditionalFormatting>
  <conditionalFormatting sqref="K32">
    <cfRule type="colorScale" priority="31">
      <colorScale>
        <cfvo type="min"/>
        <cfvo type="percentile" val="50"/>
        <cfvo type="max"/>
        <color rgb="FF63BE7B"/>
        <color rgb="FFFFEB84"/>
        <color rgb="FFF8696B"/>
      </colorScale>
    </cfRule>
  </conditionalFormatting>
  <conditionalFormatting sqref="K33">
    <cfRule type="colorScale" priority="12">
      <colorScale>
        <cfvo type="min"/>
        <cfvo type="percentile" val="50"/>
        <cfvo type="max"/>
        <color rgb="FF63BE7B"/>
        <color rgb="FFFFEB84"/>
        <color rgb="FFF8696B"/>
      </colorScale>
    </cfRule>
  </conditionalFormatting>
  <conditionalFormatting sqref="L1">
    <cfRule type="colorScale" priority="352">
      <colorScale>
        <cfvo type="min"/>
        <cfvo type="percentile" val="50"/>
        <cfvo type="max"/>
        <color rgb="FF63BE7B"/>
        <color rgb="FFFFEB84"/>
        <color rgb="FFF8696B"/>
      </colorScale>
    </cfRule>
  </conditionalFormatting>
  <conditionalFormatting sqref="L2">
    <cfRule type="colorScale" priority="316">
      <colorScale>
        <cfvo type="min"/>
        <cfvo type="percentile" val="50"/>
        <cfvo type="max"/>
        <color rgb="FF63BE7B"/>
        <color rgb="FFFFEB84"/>
        <color rgb="FFF8696B"/>
      </colorScale>
    </cfRule>
  </conditionalFormatting>
  <conditionalFormatting sqref="L2:L33">
    <cfRule type="cellIs" dxfId="29" priority="7" operator="equal">
      <formula>"?"</formula>
    </cfRule>
    <cfRule type="cellIs" dxfId="28" priority="8" operator="equal">
      <formula>"No"</formula>
    </cfRule>
    <cfRule type="cellIs" dxfId="27" priority="9" operator="equal">
      <formula>"Yes"</formula>
    </cfRule>
  </conditionalFormatting>
  <conditionalFormatting sqref="L3">
    <cfRule type="colorScale" priority="124">
      <colorScale>
        <cfvo type="min"/>
        <cfvo type="percentile" val="50"/>
        <cfvo type="max"/>
        <color rgb="FF63BE7B"/>
        <color rgb="FFFFEB84"/>
        <color rgb="FFF8696B"/>
      </colorScale>
    </cfRule>
  </conditionalFormatting>
  <conditionalFormatting sqref="L4">
    <cfRule type="colorScale" priority="107">
      <colorScale>
        <cfvo type="min"/>
        <cfvo type="percentile" val="50"/>
        <cfvo type="max"/>
        <color rgb="FF63BE7B"/>
        <color rgb="FFFFEB84"/>
        <color rgb="FFF8696B"/>
      </colorScale>
    </cfRule>
  </conditionalFormatting>
  <conditionalFormatting sqref="L5:L6">
    <cfRule type="colorScale" priority="90">
      <colorScale>
        <cfvo type="min"/>
        <cfvo type="percentile" val="50"/>
        <cfvo type="max"/>
        <color rgb="FF63BE7B"/>
        <color rgb="FFFFEB84"/>
        <color rgb="FFF8696B"/>
      </colorScale>
    </cfRule>
  </conditionalFormatting>
  <conditionalFormatting sqref="L7">
    <cfRule type="colorScale" priority="308">
      <colorScale>
        <cfvo type="min"/>
        <cfvo type="percentile" val="50"/>
        <cfvo type="max"/>
        <color rgb="FF63BE7B"/>
        <color rgb="FFFFEB84"/>
        <color rgb="FFF8696B"/>
      </colorScale>
    </cfRule>
  </conditionalFormatting>
  <conditionalFormatting sqref="L8:L9">
    <cfRule type="colorScale" priority="300">
      <colorScale>
        <cfvo type="min"/>
        <cfvo type="percentile" val="50"/>
        <cfvo type="max"/>
        <color rgb="FF63BE7B"/>
        <color rgb="FFFFEB84"/>
        <color rgb="FFF8696B"/>
      </colorScale>
    </cfRule>
  </conditionalFormatting>
  <conditionalFormatting sqref="L10">
    <cfRule type="colorScale" priority="292">
      <colorScale>
        <cfvo type="min"/>
        <cfvo type="percentile" val="50"/>
        <cfvo type="max"/>
        <color rgb="FF63BE7B"/>
        <color rgb="FFFFEB84"/>
        <color rgb="FFF8696B"/>
      </colorScale>
    </cfRule>
  </conditionalFormatting>
  <conditionalFormatting sqref="L11">
    <cfRule type="colorScale" priority="284">
      <colorScale>
        <cfvo type="min"/>
        <cfvo type="percentile" val="50"/>
        <cfvo type="max"/>
        <color rgb="FF63BE7B"/>
        <color rgb="FFFFEB84"/>
        <color rgb="FFF8696B"/>
      </colorScale>
    </cfRule>
  </conditionalFormatting>
  <conditionalFormatting sqref="L12">
    <cfRule type="colorScale" priority="276">
      <colorScale>
        <cfvo type="min"/>
        <cfvo type="percentile" val="50"/>
        <cfvo type="max"/>
        <color rgb="FF63BE7B"/>
        <color rgb="FFFFEB84"/>
        <color rgb="FFF8696B"/>
      </colorScale>
    </cfRule>
  </conditionalFormatting>
  <conditionalFormatting sqref="L13">
    <cfRule type="colorScale" priority="152">
      <colorScale>
        <cfvo type="min"/>
        <cfvo type="percentile" val="50"/>
        <cfvo type="max"/>
        <color rgb="FF63BE7B"/>
        <color rgb="FFFFEB84"/>
        <color rgb="FFF8696B"/>
      </colorScale>
    </cfRule>
  </conditionalFormatting>
  <conditionalFormatting sqref="L14">
    <cfRule type="colorScale" priority="246">
      <colorScale>
        <cfvo type="min"/>
        <cfvo type="percentile" val="50"/>
        <cfvo type="max"/>
        <color rgb="FF63BE7B"/>
        <color rgb="FFFFEB84"/>
        <color rgb="FFF8696B"/>
      </colorScale>
    </cfRule>
  </conditionalFormatting>
  <conditionalFormatting sqref="L15:L18">
    <cfRule type="colorScale" priority="567">
      <colorScale>
        <cfvo type="min"/>
        <cfvo type="percentile" val="50"/>
        <cfvo type="max"/>
        <color rgb="FF63BE7B"/>
        <color rgb="FFFFEB84"/>
        <color rgb="FFF8696B"/>
      </colorScale>
    </cfRule>
  </conditionalFormatting>
  <conditionalFormatting sqref="L19">
    <cfRule type="colorScale" priority="222">
      <colorScale>
        <cfvo type="min"/>
        <cfvo type="percentile" val="50"/>
        <cfvo type="max"/>
        <color rgb="FF63BE7B"/>
        <color rgb="FFFFEB84"/>
        <color rgb="FFF8696B"/>
      </colorScale>
    </cfRule>
  </conditionalFormatting>
  <conditionalFormatting sqref="L20">
    <cfRule type="colorScale" priority="214">
      <colorScale>
        <cfvo type="min"/>
        <cfvo type="percentile" val="50"/>
        <cfvo type="max"/>
        <color rgb="FF63BE7B"/>
        <color rgb="FFFFEB84"/>
        <color rgb="FFF8696B"/>
      </colorScale>
    </cfRule>
  </conditionalFormatting>
  <conditionalFormatting sqref="L21:L23">
    <cfRule type="colorScale" priority="206">
      <colorScale>
        <cfvo type="min"/>
        <cfvo type="percentile" val="50"/>
        <cfvo type="max"/>
        <color rgb="FF63BE7B"/>
        <color rgb="FFFFEB84"/>
        <color rgb="FFF8696B"/>
      </colorScale>
    </cfRule>
  </conditionalFormatting>
  <conditionalFormatting sqref="L24">
    <cfRule type="colorScale" priority="198">
      <colorScale>
        <cfvo type="min"/>
        <cfvo type="percentile" val="50"/>
        <cfvo type="max"/>
        <color rgb="FF63BE7B"/>
        <color rgb="FFFFEB84"/>
        <color rgb="FFF8696B"/>
      </colorScale>
    </cfRule>
  </conditionalFormatting>
  <conditionalFormatting sqref="L25">
    <cfRule type="colorScale" priority="191">
      <colorScale>
        <cfvo type="min"/>
        <cfvo type="percentile" val="50"/>
        <cfvo type="max"/>
        <color rgb="FF63BE7B"/>
        <color rgb="FFFFEB84"/>
        <color rgb="FFF8696B"/>
      </colorScale>
    </cfRule>
  </conditionalFormatting>
  <conditionalFormatting sqref="L26 L28">
    <cfRule type="colorScale" priority="168">
      <colorScale>
        <cfvo type="min"/>
        <cfvo type="percentile" val="50"/>
        <cfvo type="max"/>
        <color rgb="FF63BE7B"/>
        <color rgb="FFFFEB84"/>
        <color rgb="FFF8696B"/>
      </colorScale>
    </cfRule>
  </conditionalFormatting>
  <conditionalFormatting sqref="L27">
    <cfRule type="colorScale" priority="73">
      <colorScale>
        <cfvo type="min"/>
        <cfvo type="percentile" val="50"/>
        <cfvo type="max"/>
        <color rgb="FF63BE7B"/>
        <color rgb="FFFFEB84"/>
        <color rgb="FFF8696B"/>
      </colorScale>
    </cfRule>
  </conditionalFormatting>
  <conditionalFormatting sqref="L29">
    <cfRule type="colorScale" priority="137">
      <colorScale>
        <cfvo type="min"/>
        <cfvo type="percentile" val="50"/>
        <cfvo type="max"/>
        <color rgb="FF63BE7B"/>
        <color rgb="FFFFEB84"/>
        <color rgb="FFF8696B"/>
      </colorScale>
    </cfRule>
  </conditionalFormatting>
  <conditionalFormatting sqref="L30:L32">
    <cfRule type="colorScale" priority="56">
      <colorScale>
        <cfvo type="min"/>
        <cfvo type="percentile" val="50"/>
        <cfvo type="max"/>
        <color rgb="FF63BE7B"/>
        <color rgb="FFFFEB84"/>
        <color rgb="FFF8696B"/>
      </colorScale>
    </cfRule>
  </conditionalFormatting>
  <conditionalFormatting sqref="L33">
    <cfRule type="colorScale" priority="10">
      <colorScale>
        <cfvo type="min"/>
        <cfvo type="percentile" val="50"/>
        <cfvo type="max"/>
        <color rgb="FF63BE7B"/>
        <color rgb="FFFFEB84"/>
        <color rgb="FFF8696B"/>
      </colorScale>
    </cfRule>
  </conditionalFormatting>
  <conditionalFormatting sqref="L1:R1">
    <cfRule type="cellIs" dxfId="26" priority="349" operator="equal">
      <formula>"?"</formula>
    </cfRule>
    <cfRule type="cellIs" dxfId="25" priority="350" operator="equal">
      <formula>"No"</formula>
    </cfRule>
    <cfRule type="cellIs" dxfId="24" priority="351" operator="equal">
      <formula>"Yes"</formula>
    </cfRule>
  </conditionalFormatting>
  <conditionalFormatting sqref="M1:R1">
    <cfRule type="colorScale" priority="576">
      <colorScale>
        <cfvo type="min"/>
        <cfvo type="percentile" val="50"/>
        <cfvo type="max"/>
        <color rgb="FF63BE7B"/>
        <color rgb="FFFFEB84"/>
        <color rgb="FFF8696B"/>
      </colorScale>
    </cfRule>
  </conditionalFormatting>
  <conditionalFormatting sqref="O2:Q2">
    <cfRule type="colorScale" priority="6">
      <colorScale>
        <cfvo type="min"/>
        <cfvo type="percentile" val="50"/>
        <cfvo type="max"/>
        <color rgb="FF63BE7B"/>
        <color rgb="FFFFEB84"/>
        <color rgb="FFF8696B"/>
      </colorScale>
    </cfRule>
  </conditionalFormatting>
  <conditionalFormatting sqref="O3:Q33 S12">
    <cfRule type="colorScale" priority="579">
      <colorScale>
        <cfvo type="min"/>
        <cfvo type="percentile" val="50"/>
        <cfvo type="max"/>
        <color rgb="FF63BE7B"/>
        <color rgb="FFFFEB84"/>
        <color rgb="FFF8696B"/>
      </colorScale>
    </cfRule>
  </conditionalFormatting>
  <conditionalFormatting sqref="T1">
    <cfRule type="cellIs" dxfId="23" priority="1" operator="equal">
      <formula>"?"</formula>
    </cfRule>
    <cfRule type="cellIs" dxfId="22" priority="2" operator="equal">
      <formula>"No"</formula>
    </cfRule>
    <cfRule type="cellIs" dxfId="21" priority="3" operator="equal">
      <formula>"Yes"</formula>
    </cfRule>
    <cfRule type="colorScale" priority="4">
      <colorScale>
        <cfvo type="min"/>
        <cfvo type="percentile" val="50"/>
        <cfvo type="max"/>
        <color rgb="FF63BE7B"/>
        <color rgb="FFFFEB84"/>
        <color rgb="FFF8696B"/>
      </colorScale>
    </cfRule>
  </conditionalFormatting>
  <hyperlinks>
    <hyperlink ref="N8" r:id="rId1" xr:uid="{5392A404-106F-4EFB-A8CB-D3E3206A6F4D}"/>
    <hyperlink ref="N14" r:id="rId2" xr:uid="{2FF5F1DB-9216-499B-88D7-474A4C69FD17}"/>
    <hyperlink ref="N17" r:id="rId3" xr:uid="{E0EA57C9-2E0C-4124-859F-390744270DF7}"/>
    <hyperlink ref="N16" r:id="rId4" xr:uid="{CA2ADE3C-08FA-4003-A8AB-39BBFA94AC14}"/>
    <hyperlink ref="N15" r:id="rId5" xr:uid="{E201F5D5-DAF2-460A-B7C1-E5C06E39060C}"/>
    <hyperlink ref="N33" r:id="rId6" xr:uid="{C351AE76-76C2-46CF-AA26-DBCA7CDCD346}"/>
    <hyperlink ref="N29" r:id="rId7" xr:uid="{E4A8A4F9-AEA7-40E4-B1A3-F086DFB7619F}"/>
    <hyperlink ref="N5" r:id="rId8" xr:uid="{9AA588DF-2593-4B70-AB43-81F3B6FC1436}"/>
    <hyperlink ref="N18" r:id="rId9" xr:uid="{086B2953-62E6-4CA0-B4ED-FCB967EBBC13}"/>
    <hyperlink ref="N7" r:id="rId10" xr:uid="{3A82CC6D-D15D-4191-B6B6-95A116061A22}"/>
    <hyperlink ref="N30" r:id="rId11" xr:uid="{730D2274-B980-4AC2-B43C-57791D7BB382}"/>
    <hyperlink ref="N9" r:id="rId12" xr:uid="{3123ADA8-C03A-4762-93FF-A78EEB4D2CA2}"/>
    <hyperlink ref="N24" r:id="rId13" xr:uid="{2D5BAE03-972B-4235-9979-23759E52F6C9}"/>
    <hyperlink ref="N27" r:id="rId14" xr:uid="{E3081719-D43B-4CFB-BD63-7B69C4FABDE9}"/>
    <hyperlink ref="N23" r:id="rId15" xr:uid="{5319EEB7-4968-464D-8EDD-3EB8EF49CDF6}"/>
    <hyperlink ref="N12" r:id="rId16" xr:uid="{E5A17180-D623-8540-89A3-F8AE87DF78DE}"/>
    <hyperlink ref="S12" r:id="rId17" xr:uid="{2E6063C0-7616-974F-A94E-8C180C5772D0}"/>
    <hyperlink ref="N3" r:id="rId18" xr:uid="{AF751ED8-C8D0-4658-9209-96A23FD19F93}"/>
    <hyperlink ref="N4" r:id="rId19" xr:uid="{0D26CB3A-08B8-4252-A332-7638BC3C6C25}"/>
    <hyperlink ref="N6" r:id="rId20" xr:uid="{BDF1F76A-50F4-4901-AB98-3D7D33784E69}"/>
    <hyperlink ref="N10" r:id="rId21" xr:uid="{D7AFF931-EB51-48FD-8403-4C9DBB6DCC56}"/>
    <hyperlink ref="N11" r:id="rId22" xr:uid="{387AB442-97A7-4DBC-A51F-8D85C6477B14}"/>
    <hyperlink ref="N13" r:id="rId23" xr:uid="{8E3DF225-63A6-4DC9-8A46-73393427490F}"/>
    <hyperlink ref="N19" r:id="rId24" xr:uid="{9A1F8E6F-48B9-45B4-A946-C66E7B18C869}"/>
    <hyperlink ref="N20" r:id="rId25" xr:uid="{44A77E56-831B-41EF-A07F-A1E65B32A1EC}"/>
    <hyperlink ref="N21" r:id="rId26" xr:uid="{50884CE2-4ED4-4B81-9BC8-7B97CE99365D}"/>
    <hyperlink ref="N22" r:id="rId27" xr:uid="{1C8D11FC-C987-408D-BC2A-14289AD6527F}"/>
    <hyperlink ref="N25" r:id="rId28" xr:uid="{88D2CD3B-8574-4428-8E8B-958C3C54B016}"/>
    <hyperlink ref="N26" r:id="rId29" xr:uid="{93D80AB2-F701-4E50-9E93-DC10E5119DEB}"/>
    <hyperlink ref="N28" r:id="rId30" xr:uid="{7B5D973D-DEC8-4627-9325-62A6778E2461}"/>
    <hyperlink ref="N31" r:id="rId31" xr:uid="{CCBBD689-54CE-4CF9-B405-E485D71CFD5D}"/>
    <hyperlink ref="N32" r:id="rId32" xr:uid="{525E2DC7-D0D5-40B4-A5A1-37D161AF8A5C}"/>
    <hyperlink ref="N2" r:id="rId33" xr:uid="{A996F777-C109-4DAC-9CBA-74780DA9FBBB}"/>
    <hyperlink ref="S16" r:id="rId34" xr:uid="{DA2FC14F-79E3-4B9F-8758-8B2C6A523BB6}"/>
  </hyperlinks>
  <pageMargins left="0.7" right="0.7" top="0.75" bottom="0.75" header="0.3" footer="0.3"/>
  <drawing r:id="rId3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A119B-881D-43D6-BEC1-897030A79B52}">
  <dimension ref="A1:L10"/>
  <sheetViews>
    <sheetView workbookViewId="0">
      <selection activeCell="B2" sqref="B2"/>
    </sheetView>
  </sheetViews>
  <sheetFormatPr defaultColWidth="8.875" defaultRowHeight="15.95"/>
  <cols>
    <col min="1" max="1" width="4" customWidth="1"/>
    <col min="2" max="2" width="22" customWidth="1"/>
    <col min="3" max="3" width="45.625" customWidth="1"/>
    <col min="4" max="4" width="21.375" customWidth="1"/>
    <col min="5" max="5" width="31.125" customWidth="1"/>
    <col min="6" max="6" width="7.625" customWidth="1"/>
  </cols>
  <sheetData>
    <row r="1" spans="1:12" ht="66">
      <c r="A1" s="67" t="s">
        <v>0</v>
      </c>
      <c r="B1" s="67" t="s">
        <v>518</v>
      </c>
      <c r="C1" s="67" t="s">
        <v>519</v>
      </c>
      <c r="D1" s="67" t="s">
        <v>520</v>
      </c>
      <c r="E1" s="67" t="s">
        <v>521</v>
      </c>
      <c r="F1" s="68" t="s">
        <v>527</v>
      </c>
      <c r="G1" s="11" t="s">
        <v>489</v>
      </c>
      <c r="H1" s="11" t="s">
        <v>490</v>
      </c>
      <c r="I1" s="11" t="s">
        <v>491</v>
      </c>
      <c r="J1" s="11" t="s">
        <v>492</v>
      </c>
      <c r="K1" s="11" t="s">
        <v>493</v>
      </c>
      <c r="L1" s="11" t="s">
        <v>494</v>
      </c>
    </row>
    <row r="2" spans="1:12" ht="99.95">
      <c r="A2" s="77">
        <v>5</v>
      </c>
      <c r="B2" s="78" t="s">
        <v>550</v>
      </c>
      <c r="C2" s="77" t="s">
        <v>551</v>
      </c>
      <c r="D2" s="77" t="s">
        <v>552</v>
      </c>
      <c r="E2" s="77" t="s">
        <v>553</v>
      </c>
      <c r="F2" s="78" t="s">
        <v>35</v>
      </c>
      <c r="G2" s="9" t="s">
        <v>35</v>
      </c>
      <c r="H2" s="9"/>
      <c r="I2" s="9" t="s">
        <v>35</v>
      </c>
      <c r="K2" s="9" t="s">
        <v>35</v>
      </c>
    </row>
    <row r="3" spans="1:12" ht="140.1">
      <c r="A3" s="71">
        <v>29</v>
      </c>
      <c r="B3" s="72" t="s">
        <v>558</v>
      </c>
      <c r="C3" s="71" t="s">
        <v>559</v>
      </c>
      <c r="D3" s="71" t="s">
        <v>560</v>
      </c>
      <c r="E3" s="71" t="s">
        <v>1272</v>
      </c>
      <c r="F3" s="72" t="s">
        <v>35</v>
      </c>
      <c r="G3" s="9" t="s">
        <v>35</v>
      </c>
      <c r="H3" s="9"/>
      <c r="I3" s="9" t="s">
        <v>35</v>
      </c>
      <c r="K3" s="9" t="s">
        <v>35</v>
      </c>
    </row>
    <row r="4" spans="1:12" ht="117.75" customHeight="1">
      <c r="A4" s="71">
        <v>18</v>
      </c>
      <c r="B4" s="72" t="s">
        <v>389</v>
      </c>
      <c r="C4" s="71" t="s">
        <v>639</v>
      </c>
      <c r="D4" s="71" t="s">
        <v>640</v>
      </c>
      <c r="E4" s="71" t="s">
        <v>619</v>
      </c>
      <c r="F4" s="72" t="s">
        <v>35</v>
      </c>
      <c r="G4" s="9" t="s">
        <v>35</v>
      </c>
      <c r="H4" s="9"/>
      <c r="I4" s="9" t="s">
        <v>35</v>
      </c>
      <c r="K4" s="9" t="s">
        <v>35</v>
      </c>
    </row>
    <row r="5" spans="1:12" ht="140.1">
      <c r="A5" s="77">
        <v>12</v>
      </c>
      <c r="B5" s="78" t="s">
        <v>652</v>
      </c>
      <c r="C5" s="77" t="s">
        <v>653</v>
      </c>
      <c r="D5" s="77" t="s">
        <v>1302</v>
      </c>
      <c r="E5" s="77" t="s">
        <v>655</v>
      </c>
      <c r="F5" s="78" t="s">
        <v>35</v>
      </c>
      <c r="G5" s="9" t="s">
        <v>35</v>
      </c>
      <c r="I5" s="9" t="s">
        <v>35</v>
      </c>
      <c r="K5" s="9" t="s">
        <v>35</v>
      </c>
    </row>
    <row r="6" spans="1:12" ht="86.25" customHeight="1">
      <c r="B6" s="6" t="s">
        <v>67</v>
      </c>
      <c r="C6" s="71" t="s">
        <v>1304</v>
      </c>
      <c r="F6" s="72" t="s">
        <v>35</v>
      </c>
      <c r="G6" s="9" t="s">
        <v>65</v>
      </c>
      <c r="H6" s="71" t="s">
        <v>1305</v>
      </c>
      <c r="I6" s="71"/>
    </row>
    <row r="7" spans="1:12" ht="70.5" customHeight="1">
      <c r="B7" s="6" t="s">
        <v>239</v>
      </c>
      <c r="C7" s="5" t="s">
        <v>1306</v>
      </c>
      <c r="E7" s="5" t="s">
        <v>631</v>
      </c>
      <c r="F7" s="72" t="s">
        <v>35</v>
      </c>
      <c r="G7" s="9" t="s">
        <v>35</v>
      </c>
      <c r="I7" s="9" t="s">
        <v>65</v>
      </c>
    </row>
    <row r="8" spans="1:12" ht="120">
      <c r="B8" s="6" t="s">
        <v>576</v>
      </c>
      <c r="C8" s="5" t="s">
        <v>1307</v>
      </c>
      <c r="D8" s="5" t="s">
        <v>578</v>
      </c>
      <c r="E8" s="5" t="s">
        <v>1308</v>
      </c>
      <c r="F8" s="72" t="s">
        <v>35</v>
      </c>
      <c r="G8" s="9" t="s">
        <v>35</v>
      </c>
      <c r="I8" s="9" t="s">
        <v>35</v>
      </c>
      <c r="K8" s="9" t="s">
        <v>65</v>
      </c>
      <c r="L8" s="71" t="s">
        <v>658</v>
      </c>
    </row>
    <row r="9" spans="1:12">
      <c r="B9" s="1" t="s">
        <v>208</v>
      </c>
      <c r="F9" s="89" t="s">
        <v>1309</v>
      </c>
    </row>
    <row r="10" spans="1:12" ht="60">
      <c r="B10" s="89" t="s">
        <v>222</v>
      </c>
      <c r="C10" s="5" t="s">
        <v>1310</v>
      </c>
      <c r="D10" s="18" t="s">
        <v>505</v>
      </c>
      <c r="E10" s="89"/>
      <c r="F10" s="89" t="s">
        <v>1311</v>
      </c>
      <c r="G10" s="89"/>
      <c r="H10" s="89"/>
      <c r="I10" s="89"/>
    </row>
  </sheetData>
  <conditionalFormatting sqref="F1">
    <cfRule type="colorScale" priority="181">
      <colorScale>
        <cfvo type="min"/>
        <cfvo type="percentile" val="50"/>
        <cfvo type="max"/>
        <color rgb="FF63BE7B"/>
        <color rgb="FFFFEB84"/>
        <color rgb="FFF8696B"/>
      </colorScale>
    </cfRule>
  </conditionalFormatting>
  <conditionalFormatting sqref="F2">
    <cfRule type="colorScale" priority="168">
      <colorScale>
        <cfvo type="min"/>
        <cfvo type="percentile" val="50"/>
        <cfvo type="max"/>
        <color rgb="FF63BE7B"/>
        <color rgb="FFFFEB84"/>
        <color rgb="FFF8696B"/>
      </colorScale>
    </cfRule>
  </conditionalFormatting>
  <conditionalFormatting sqref="F3">
    <cfRule type="colorScale" priority="649">
      <colorScale>
        <cfvo type="min"/>
        <cfvo type="percentile" val="50"/>
        <cfvo type="max"/>
        <color rgb="FF63BE7B"/>
        <color rgb="FFFFEB84"/>
        <color rgb="FFF8696B"/>
      </colorScale>
    </cfRule>
  </conditionalFormatting>
  <conditionalFormatting sqref="F4">
    <cfRule type="colorScale" priority="143">
      <colorScale>
        <cfvo type="min"/>
        <cfvo type="percentile" val="50"/>
        <cfvo type="max"/>
        <color rgb="FF63BE7B"/>
        <color rgb="FFFFEB84"/>
        <color rgb="FFF8696B"/>
      </colorScale>
    </cfRule>
  </conditionalFormatting>
  <conditionalFormatting sqref="F5">
    <cfRule type="colorScale" priority="72">
      <colorScale>
        <cfvo type="min"/>
        <cfvo type="percentile" val="50"/>
        <cfvo type="max"/>
        <color rgb="FF63BE7B"/>
        <color rgb="FFFFEB84"/>
        <color rgb="FFF8696B"/>
      </colorScale>
    </cfRule>
  </conditionalFormatting>
  <conditionalFormatting sqref="F6">
    <cfRule type="colorScale" priority="18">
      <colorScale>
        <cfvo type="min"/>
        <cfvo type="percentile" val="50"/>
        <cfvo type="max"/>
        <color rgb="FF63BE7B"/>
        <color rgb="FFFFEB84"/>
        <color rgb="FFF8696B"/>
      </colorScale>
    </cfRule>
  </conditionalFormatting>
  <conditionalFormatting sqref="F7:F8">
    <cfRule type="colorScale" priority="17">
      <colorScale>
        <cfvo type="min"/>
        <cfvo type="percentile" val="50"/>
        <cfvo type="max"/>
        <color rgb="FF63BE7B"/>
        <color rgb="FFFFEB84"/>
        <color rgb="FFF8696B"/>
      </colorScale>
    </cfRule>
  </conditionalFormatting>
  <conditionalFormatting sqref="G1">
    <cfRule type="colorScale" priority="66">
      <colorScale>
        <cfvo type="min"/>
        <cfvo type="percentile" val="50"/>
        <cfvo type="max"/>
        <color rgb="FF63BE7B"/>
        <color rgb="FFFFEB84"/>
        <color rgb="FFF8696B"/>
      </colorScale>
    </cfRule>
  </conditionalFormatting>
  <conditionalFormatting sqref="G1:G8">
    <cfRule type="cellIs" dxfId="20" priority="13" operator="equal">
      <formula>"?"</formula>
    </cfRule>
    <cfRule type="cellIs" dxfId="19" priority="14" operator="equal">
      <formula>"No"</formula>
    </cfRule>
    <cfRule type="cellIs" dxfId="18" priority="15" operator="equal">
      <formula>"Yes"</formula>
    </cfRule>
  </conditionalFormatting>
  <conditionalFormatting sqref="G2:G5">
    <cfRule type="colorScale" priority="54">
      <colorScale>
        <cfvo type="min"/>
        <cfvo type="percentile" val="50"/>
        <cfvo type="max"/>
        <color rgb="FF63BE7B"/>
        <color rgb="FFFFEB84"/>
        <color rgb="FFF8696B"/>
      </colorScale>
    </cfRule>
  </conditionalFormatting>
  <conditionalFormatting sqref="G6">
    <cfRule type="colorScale" priority="22">
      <colorScale>
        <cfvo type="min"/>
        <cfvo type="percentile" val="50"/>
        <cfvo type="max"/>
        <color rgb="FF63BE7B"/>
        <color rgb="FFFFEB84"/>
        <color rgb="FFF8696B"/>
      </colorScale>
    </cfRule>
  </conditionalFormatting>
  <conditionalFormatting sqref="G7:G8">
    <cfRule type="colorScale" priority="16">
      <colorScale>
        <cfvo type="min"/>
        <cfvo type="percentile" val="50"/>
        <cfvo type="max"/>
        <color rgb="FF63BE7B"/>
        <color rgb="FFFFEB84"/>
        <color rgb="FFF8696B"/>
      </colorScale>
    </cfRule>
  </conditionalFormatting>
  <conditionalFormatting sqref="H1:H4">
    <cfRule type="cellIs" dxfId="17" priority="59" operator="equal">
      <formula>"?"</formula>
    </cfRule>
    <cfRule type="cellIs" dxfId="16" priority="60" operator="equal">
      <formula>"No"</formula>
    </cfRule>
    <cfRule type="cellIs" dxfId="15" priority="61" operator="equal">
      <formula>"Yes"</formula>
    </cfRule>
    <cfRule type="colorScale" priority="62">
      <colorScale>
        <cfvo type="min"/>
        <cfvo type="percentile" val="50"/>
        <cfvo type="max"/>
        <color rgb="FF63BE7B"/>
        <color rgb="FFFFEB84"/>
        <color rgb="FFF8696B"/>
      </colorScale>
    </cfRule>
  </conditionalFormatting>
  <conditionalFormatting sqref="I1">
    <cfRule type="colorScale" priority="38">
      <colorScale>
        <cfvo type="min"/>
        <cfvo type="percentile" val="50"/>
        <cfvo type="max"/>
        <color rgb="FF63BE7B"/>
        <color rgb="FFFFEB84"/>
        <color rgb="FFF8696B"/>
      </colorScale>
    </cfRule>
  </conditionalFormatting>
  <conditionalFormatting sqref="I2:I5">
    <cfRule type="cellIs" dxfId="14" priority="27" operator="equal">
      <formula>"?"</formula>
    </cfRule>
    <cfRule type="cellIs" dxfId="13" priority="28" operator="equal">
      <formula>"No"</formula>
    </cfRule>
    <cfRule type="cellIs" dxfId="12" priority="29" operator="equal">
      <formula>"Yes"</formula>
    </cfRule>
    <cfRule type="colorScale" priority="30">
      <colorScale>
        <cfvo type="min"/>
        <cfvo type="percentile" val="50"/>
        <cfvo type="max"/>
        <color rgb="FF63BE7B"/>
        <color rgb="FFFFEB84"/>
        <color rgb="FFF8696B"/>
      </colorScale>
    </cfRule>
  </conditionalFormatting>
  <conditionalFormatting sqref="I7">
    <cfRule type="colorScale" priority="12">
      <colorScale>
        <cfvo type="min"/>
        <cfvo type="percentile" val="50"/>
        <cfvo type="max"/>
        <color rgb="FF63BE7B"/>
        <color rgb="FFFFEB84"/>
        <color rgb="FFF8696B"/>
      </colorScale>
    </cfRule>
  </conditionalFormatting>
  <conditionalFormatting sqref="I7:I8">
    <cfRule type="cellIs" dxfId="11" priority="5" operator="equal">
      <formula>"?"</formula>
    </cfRule>
    <cfRule type="cellIs" dxfId="10" priority="6" operator="equal">
      <formula>"No"</formula>
    </cfRule>
    <cfRule type="cellIs" dxfId="9" priority="7" operator="equal">
      <formula>"Yes"</formula>
    </cfRule>
  </conditionalFormatting>
  <conditionalFormatting sqref="I8">
    <cfRule type="colorScale" priority="8">
      <colorScale>
        <cfvo type="min"/>
        <cfvo type="percentile" val="50"/>
        <cfvo type="max"/>
        <color rgb="FF63BE7B"/>
        <color rgb="FFFFEB84"/>
        <color rgb="FFF8696B"/>
      </colorScale>
    </cfRule>
  </conditionalFormatting>
  <conditionalFormatting sqref="I1:L1">
    <cfRule type="cellIs" dxfId="8" priority="35" operator="equal">
      <formula>"?"</formula>
    </cfRule>
    <cfRule type="cellIs" dxfId="7" priority="36" operator="equal">
      <formula>"No"</formula>
    </cfRule>
    <cfRule type="cellIs" dxfId="6" priority="37" operator="equal">
      <formula>"Yes"</formula>
    </cfRule>
  </conditionalFormatting>
  <conditionalFormatting sqref="J1">
    <cfRule type="colorScale" priority="58">
      <colorScale>
        <cfvo type="min"/>
        <cfvo type="percentile" val="50"/>
        <cfvo type="max"/>
        <color rgb="FF63BE7B"/>
        <color rgb="FFFFEB84"/>
        <color rgb="FFF8696B"/>
      </colorScale>
    </cfRule>
  </conditionalFormatting>
  <conditionalFormatting sqref="K1">
    <cfRule type="colorScale" priority="50">
      <colorScale>
        <cfvo type="min"/>
        <cfvo type="percentile" val="50"/>
        <cfvo type="max"/>
        <color rgb="FF63BE7B"/>
        <color rgb="FFFFEB84"/>
        <color rgb="FFF8696B"/>
      </colorScale>
    </cfRule>
  </conditionalFormatting>
  <conditionalFormatting sqref="K2:K5">
    <cfRule type="cellIs" dxfId="5" priority="23" operator="equal">
      <formula>"?"</formula>
    </cfRule>
    <cfRule type="cellIs" dxfId="4" priority="24" operator="equal">
      <formula>"No"</formula>
    </cfRule>
    <cfRule type="cellIs" dxfId="3" priority="25" operator="equal">
      <formula>"Yes"</formula>
    </cfRule>
    <cfRule type="colorScale" priority="26">
      <colorScale>
        <cfvo type="min"/>
        <cfvo type="percentile" val="50"/>
        <cfvo type="max"/>
        <color rgb="FF63BE7B"/>
        <color rgb="FFFFEB84"/>
        <color rgb="FFF8696B"/>
      </colorScale>
    </cfRule>
  </conditionalFormatting>
  <conditionalFormatting sqref="K8">
    <cfRule type="cellIs" dxfId="2" priority="1" operator="equal">
      <formula>"?"</formula>
    </cfRule>
    <cfRule type="cellIs" dxfId="1" priority="2" operator="equal">
      <formula>"No"</formula>
    </cfRule>
    <cfRule type="cellIs" dxfId="0" priority="3" operator="equal">
      <formula>"Yes"</formula>
    </cfRule>
    <cfRule type="colorScale" priority="4">
      <colorScale>
        <cfvo type="min"/>
        <cfvo type="percentile" val="50"/>
        <cfvo type="max"/>
        <color rgb="FF63BE7B"/>
        <color rgb="FFFFEB84"/>
        <color rgb="FFF8696B"/>
      </colorScale>
    </cfRule>
  </conditionalFormatting>
  <conditionalFormatting sqref="L1">
    <cfRule type="colorScale" priority="42">
      <colorScale>
        <cfvo type="min"/>
        <cfvo type="percentile" val="50"/>
        <cfvo type="max"/>
        <color rgb="FF63BE7B"/>
        <color rgb="FFFFEB84"/>
        <color rgb="FFF8696B"/>
      </colorScale>
    </cfRule>
  </conditionalFormatting>
  <hyperlinks>
    <hyperlink ref="D10" r:id="rId1" xr:uid="{9F048DC1-B551-4CC5-AC4C-5120124C3C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2023-05-08T13:50:52Z</dcterms:created>
  <dcterms:modified xsi:type="dcterms:W3CDTF">2023-11-16T09:36:40Z</dcterms:modified>
  <cp:category/>
  <cp:contentStatus/>
</cp:coreProperties>
</file>