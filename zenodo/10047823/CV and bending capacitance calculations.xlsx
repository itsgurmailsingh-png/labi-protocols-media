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7B46E253-5D32-4479-AAB5-E0527808D147}" xr6:coauthVersionLast="47" xr6:coauthVersionMax="47" xr10:uidLastSave="{00000000-0000-0000-0000-000000000000}"/>
  <bookViews>
    <workbookView xWindow="3765" yWindow="3765" windowWidth="21600" windowHeight="12525" activeTab="1" xr2:uid="{00000000-000D-0000-FFFF-FFFF00000000}"/>
  </bookViews>
  <sheets>
    <sheet name="CV" sheetId="4" r:id="rId1"/>
    <sheet name="Bending tes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9" i="4" s="1"/>
  <c r="I10" i="4" s="1"/>
  <c r="I11" i="4" s="1"/>
  <c r="I12" i="4" s="1"/>
  <c r="H7" i="4"/>
  <c r="H9" i="4" s="1"/>
  <c r="H10" i="4" s="1"/>
  <c r="H11" i="4" s="1"/>
  <c r="H12" i="4" s="1"/>
  <c r="G7" i="4"/>
  <c r="G9" i="4" s="1"/>
  <c r="G10" i="4" s="1"/>
  <c r="G11" i="4" s="1"/>
  <c r="G12" i="4" s="1"/>
  <c r="F7" i="4"/>
  <c r="F9" i="4" s="1"/>
  <c r="F10" i="4" s="1"/>
  <c r="F11" i="4" s="1"/>
  <c r="F12" i="4" s="1"/>
  <c r="E7" i="4"/>
  <c r="E9" i="4" s="1"/>
  <c r="E10" i="4" s="1"/>
  <c r="E11" i="4" s="1"/>
  <c r="E12" i="4" s="1"/>
  <c r="D7" i="4"/>
  <c r="D9" i="4" s="1"/>
  <c r="D10" i="4" s="1"/>
  <c r="D11" i="4" s="1"/>
  <c r="D12" i="4" s="1"/>
  <c r="C7" i="4"/>
  <c r="C9" i="4" s="1"/>
  <c r="C10" i="4" s="1"/>
  <c r="C11" i="4" s="1"/>
  <c r="C12" i="4" s="1"/>
  <c r="B7" i="4"/>
  <c r="B9" i="4" s="1"/>
  <c r="B10" i="4" s="1"/>
  <c r="B11" i="4" s="1"/>
  <c r="B12" i="4" s="1"/>
  <c r="L19" i="3" l="1"/>
  <c r="L21" i="3" s="1"/>
  <c r="L22" i="3" s="1"/>
  <c r="K19" i="3"/>
  <c r="K21" i="3" s="1"/>
  <c r="K22" i="3" s="1"/>
  <c r="J19" i="3"/>
  <c r="J21" i="3" s="1"/>
  <c r="J22" i="3" s="1"/>
  <c r="I19" i="3"/>
  <c r="I21" i="3" s="1"/>
  <c r="I22" i="3" s="1"/>
  <c r="H19" i="3"/>
  <c r="H21" i="3" s="1"/>
  <c r="H22" i="3" s="1"/>
  <c r="G19" i="3"/>
  <c r="G21" i="3" s="1"/>
  <c r="G22" i="3" s="1"/>
  <c r="F19" i="3"/>
  <c r="F21" i="3" s="1"/>
  <c r="F22" i="3" s="1"/>
  <c r="E19" i="3"/>
  <c r="E21" i="3" s="1"/>
  <c r="E22" i="3" s="1"/>
  <c r="D19" i="3"/>
  <c r="D21" i="3" s="1"/>
  <c r="D22" i="3" s="1"/>
  <c r="C19" i="3"/>
  <c r="C21" i="3" s="1"/>
  <c r="C22" i="3" s="1"/>
  <c r="B19" i="3"/>
  <c r="B21" i="3" s="1"/>
  <c r="B22" i="3" s="1"/>
  <c r="B23" i="3" s="1"/>
  <c r="F7" i="3"/>
  <c r="F9" i="3" s="1"/>
  <c r="F10" i="3" s="1"/>
  <c r="E7" i="3"/>
  <c r="E9" i="3" s="1"/>
  <c r="E10" i="3" s="1"/>
  <c r="D7" i="3"/>
  <c r="D9" i="3" s="1"/>
  <c r="D10" i="3" s="1"/>
  <c r="C7" i="3"/>
  <c r="C9" i="3" s="1"/>
  <c r="C10" i="3" s="1"/>
  <c r="B7" i="3"/>
  <c r="B9" i="3" s="1"/>
  <c r="B10" i="3" s="1"/>
  <c r="B11" i="3" s="1"/>
  <c r="C11" i="3" l="1"/>
  <c r="F23" i="3"/>
  <c r="K23" i="3"/>
  <c r="L23" i="3"/>
  <c r="F11" i="3"/>
  <c r="I23" i="3"/>
  <c r="C23" i="3"/>
  <c r="G23" i="3"/>
  <c r="D11" i="3"/>
  <c r="D23" i="3"/>
  <c r="H23" i="3"/>
  <c r="E11" i="3"/>
  <c r="E23" i="3"/>
  <c r="J23" i="3"/>
</calcChain>
</file>

<file path=xl/sharedStrings.xml><?xml version="1.0" encoding="utf-8"?>
<sst xmlns="http://schemas.openxmlformats.org/spreadsheetml/2006/main" count="36" uniqueCount="19">
  <si>
    <t>Integrated I [A]</t>
  </si>
  <si>
    <t>Cycles</t>
  </si>
  <si>
    <t>Area of device [mm2]</t>
  </si>
  <si>
    <t>voltage range [V]</t>
  </si>
  <si>
    <t>Single cycle current, single part [A]</t>
  </si>
  <si>
    <t>Scan rate [V/s]</t>
  </si>
  <si>
    <t>Capacitance C [F]</t>
  </si>
  <si>
    <t>Capacitance C [mF]</t>
  </si>
  <si>
    <t>Retention</t>
  </si>
  <si>
    <t>Thickness [mm]</t>
  </si>
  <si>
    <t>specific cap [mF/cm2]</t>
  </si>
  <si>
    <t>specific cap [F/cm3]</t>
  </si>
  <si>
    <t>Bending cycles</t>
  </si>
  <si>
    <t>2 mm</t>
  </si>
  <si>
    <t>1.5 mm</t>
  </si>
  <si>
    <t>flat</t>
  </si>
  <si>
    <t>flat (after bending)</t>
  </si>
  <si>
    <t>0.7 mm</t>
  </si>
  <si>
    <t>Bending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</si>
</sst>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9" fontId="0" fillId="0" borderId="0" xfId="1" applyFont="1"/>
    <xf numFmtId="0" fontId="1" fillId="0" borderId="0" xfId="0" applyFont="1" applyAlignment="1">
      <alignment horizontal="right"/>
    </xf>
    <xf numFmtId="1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9BF9-0FC7-40F2-9B76-63101989B07C}">
  <dimension ref="A1:O30"/>
  <sheetViews>
    <sheetView workbookViewId="0">
      <selection activeCell="D19" sqref="D19"/>
    </sheetView>
  </sheetViews>
  <sheetFormatPr defaultRowHeight="15" x14ac:dyDescent="0.25"/>
  <cols>
    <col min="1" max="1" width="29.140625" bestFit="1" customWidth="1"/>
    <col min="2" max="9" width="11.5703125" bestFit="1" customWidth="1"/>
  </cols>
  <sheetData>
    <row r="1" spans="1:15" x14ac:dyDescent="0.25">
      <c r="A1" s="1"/>
      <c r="C1" s="3"/>
      <c r="E1" s="3"/>
      <c r="G1" s="3"/>
      <c r="I1" s="3"/>
      <c r="K1" s="3"/>
    </row>
    <row r="2" spans="1:15" x14ac:dyDescent="0.25">
      <c r="A2" t="s">
        <v>0</v>
      </c>
      <c r="B2" s="3">
        <v>1.9772800000000002E-5</v>
      </c>
      <c r="C2" s="3">
        <v>3.64077E-5</v>
      </c>
      <c r="D2" s="3">
        <v>6.5856000000000001E-5</v>
      </c>
      <c r="E2" s="3">
        <v>1.45043E-4</v>
      </c>
      <c r="F2" s="3">
        <v>2.6132400000000001E-4</v>
      </c>
      <c r="G2" s="3">
        <v>4.6507800000000001E-4</v>
      </c>
      <c r="H2" s="3">
        <v>9.5992099999999997E-4</v>
      </c>
      <c r="I2">
        <v>1.5399999999999999E-3</v>
      </c>
      <c r="K2" s="3"/>
    </row>
    <row r="3" spans="1:15" x14ac:dyDescent="0.25">
      <c r="A3" t="s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K3" s="3"/>
    </row>
    <row r="4" spans="1:15" x14ac:dyDescent="0.25">
      <c r="A4" t="s">
        <v>2</v>
      </c>
      <c r="B4" s="4">
        <v>49</v>
      </c>
      <c r="C4" s="4">
        <v>49</v>
      </c>
      <c r="D4" s="4">
        <v>49</v>
      </c>
      <c r="E4" s="4">
        <v>49</v>
      </c>
      <c r="F4" s="4">
        <v>49</v>
      </c>
      <c r="G4" s="4">
        <v>49</v>
      </c>
      <c r="H4" s="4">
        <v>49</v>
      </c>
      <c r="I4" s="4">
        <v>49</v>
      </c>
      <c r="K4" s="3"/>
    </row>
    <row r="5" spans="1:15" x14ac:dyDescent="0.25">
      <c r="A5" t="s">
        <v>9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K5" s="3"/>
    </row>
    <row r="6" spans="1:15" x14ac:dyDescent="0.25">
      <c r="A6" t="s">
        <v>3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K6" s="3"/>
      <c r="L6" s="3"/>
    </row>
    <row r="7" spans="1:15" x14ac:dyDescent="0.25">
      <c r="A7" t="s">
        <v>4</v>
      </c>
      <c r="B7" s="5">
        <f t="shared" ref="B7:I7" si="0">B2/B3/2/B6</f>
        <v>9.8864000000000008E-6</v>
      </c>
      <c r="C7" s="5">
        <f t="shared" si="0"/>
        <v>1.820385E-5</v>
      </c>
      <c r="D7" s="5">
        <f t="shared" si="0"/>
        <v>3.2928000000000001E-5</v>
      </c>
      <c r="E7" s="5">
        <f t="shared" si="0"/>
        <v>7.25215E-5</v>
      </c>
      <c r="F7" s="5">
        <f t="shared" si="0"/>
        <v>1.30662E-4</v>
      </c>
      <c r="G7" s="5">
        <f t="shared" si="0"/>
        <v>2.32539E-4</v>
      </c>
      <c r="H7" s="5">
        <f t="shared" si="0"/>
        <v>4.7996049999999999E-4</v>
      </c>
      <c r="I7" s="5">
        <f t="shared" si="0"/>
        <v>7.6999999999999996E-4</v>
      </c>
      <c r="K7" s="3"/>
      <c r="L7" s="3"/>
    </row>
    <row r="8" spans="1:15" x14ac:dyDescent="0.25">
      <c r="A8" t="s">
        <v>5</v>
      </c>
      <c r="B8">
        <v>5.0000000000000001E-3</v>
      </c>
      <c r="C8">
        <v>0.01</v>
      </c>
      <c r="D8">
        <v>0.02</v>
      </c>
      <c r="E8">
        <v>0.05</v>
      </c>
      <c r="F8">
        <v>0.1</v>
      </c>
      <c r="G8">
        <v>0.2</v>
      </c>
      <c r="H8">
        <v>0.5</v>
      </c>
      <c r="I8">
        <v>1</v>
      </c>
      <c r="K8" s="3"/>
      <c r="L8" s="3"/>
    </row>
    <row r="9" spans="1:15" x14ac:dyDescent="0.25">
      <c r="A9" s="1" t="s">
        <v>6</v>
      </c>
      <c r="B9" s="6">
        <f t="shared" ref="B9:I9" si="1">B7/B8</f>
        <v>1.9772800000000001E-3</v>
      </c>
      <c r="C9" s="6">
        <f t="shared" si="1"/>
        <v>1.8203849999999999E-3</v>
      </c>
      <c r="D9" s="6">
        <f t="shared" si="1"/>
        <v>1.6463999999999999E-3</v>
      </c>
      <c r="E9" s="6">
        <f t="shared" si="1"/>
        <v>1.4504299999999999E-3</v>
      </c>
      <c r="F9" s="6">
        <f t="shared" si="1"/>
        <v>1.3066199999999999E-3</v>
      </c>
      <c r="G9" s="6">
        <f t="shared" si="1"/>
        <v>1.162695E-3</v>
      </c>
      <c r="H9" s="6">
        <f t="shared" si="1"/>
        <v>9.5992099999999997E-4</v>
      </c>
      <c r="I9" s="6">
        <f t="shared" si="1"/>
        <v>7.6999999999999996E-4</v>
      </c>
      <c r="K9" s="3"/>
      <c r="L9" s="3"/>
    </row>
    <row r="10" spans="1:15" x14ac:dyDescent="0.25">
      <c r="A10" s="1" t="s">
        <v>7</v>
      </c>
      <c r="B10" s="2">
        <f t="shared" ref="B10:I10" si="2">B9*1000</f>
        <v>1.9772800000000001</v>
      </c>
      <c r="C10" s="2">
        <f t="shared" si="2"/>
        <v>1.8203849999999999</v>
      </c>
      <c r="D10" s="2">
        <f t="shared" si="2"/>
        <v>1.6463999999999999</v>
      </c>
      <c r="E10" s="2">
        <f t="shared" si="2"/>
        <v>1.4504299999999999</v>
      </c>
      <c r="F10" s="2">
        <f t="shared" si="2"/>
        <v>1.3066199999999999</v>
      </c>
      <c r="G10" s="2">
        <f t="shared" si="2"/>
        <v>1.162695</v>
      </c>
      <c r="H10" s="2">
        <f t="shared" si="2"/>
        <v>0.95992100000000002</v>
      </c>
      <c r="I10" s="2">
        <f t="shared" si="2"/>
        <v>0.76999999999999991</v>
      </c>
      <c r="K10" s="3"/>
    </row>
    <row r="11" spans="1:15" x14ac:dyDescent="0.25">
      <c r="A11" s="1" t="s">
        <v>10</v>
      </c>
      <c r="B11" s="2">
        <f t="shared" ref="B11:I11" si="3">B10/(B4/100)</f>
        <v>4.035265306122449</v>
      </c>
      <c r="C11" s="2">
        <f t="shared" si="3"/>
        <v>3.7150714285714286</v>
      </c>
      <c r="D11" s="2">
        <f t="shared" si="3"/>
        <v>3.36</v>
      </c>
      <c r="E11" s="2">
        <f t="shared" si="3"/>
        <v>2.9600612244897957</v>
      </c>
      <c r="F11" s="2">
        <f t="shared" si="3"/>
        <v>2.6665714285714284</v>
      </c>
      <c r="G11" s="2">
        <f t="shared" si="3"/>
        <v>2.3728469387755102</v>
      </c>
      <c r="H11" s="2">
        <f t="shared" si="3"/>
        <v>1.959022448979592</v>
      </c>
      <c r="I11" s="2">
        <f t="shared" si="3"/>
        <v>1.5714285714285712</v>
      </c>
      <c r="K11" s="3"/>
    </row>
    <row r="12" spans="1:15" x14ac:dyDescent="0.25">
      <c r="A12" s="1" t="s">
        <v>11</v>
      </c>
      <c r="B12" s="2">
        <f>(B11/(B5*0.1))/1000</f>
        <v>4.035265306122449</v>
      </c>
      <c r="C12" s="2">
        <f t="shared" ref="C12" si="4">(C11/(C5*0.1))/1000</f>
        <v>3.7150714285714286</v>
      </c>
      <c r="D12" s="2">
        <f t="shared" ref="D12" si="5">(D11/(D5*0.1))/1000</f>
        <v>3.36</v>
      </c>
      <c r="E12" s="2">
        <f t="shared" ref="E12" si="6">(E11/(E5*0.1))/1000</f>
        <v>2.9600612244897957</v>
      </c>
      <c r="F12" s="2">
        <f t="shared" ref="F12" si="7">(F11/(F5*0.1))/1000</f>
        <v>2.6665714285714284</v>
      </c>
      <c r="G12" s="2">
        <f t="shared" ref="G12" si="8">(G11/(G5*0.1))/1000</f>
        <v>2.3728469387755102</v>
      </c>
      <c r="H12" s="2">
        <f t="shared" ref="H12" si="9">(H11/(H5*0.1))/1000</f>
        <v>1.959022448979592</v>
      </c>
      <c r="I12" s="2">
        <f t="shared" ref="I12" si="10">(I11/(I5*0.1))/1000</f>
        <v>1.5714285714285712</v>
      </c>
      <c r="K12" s="3"/>
    </row>
    <row r="13" spans="1:15" x14ac:dyDescent="0.25">
      <c r="C13" s="3"/>
      <c r="E13" s="3"/>
      <c r="G13" s="3"/>
      <c r="I13" s="3"/>
      <c r="K13" s="3"/>
    </row>
    <row r="14" spans="1:15" x14ac:dyDescent="0.25">
      <c r="C14" s="3"/>
      <c r="E14" s="3"/>
      <c r="G14" s="3"/>
      <c r="I14" s="3"/>
      <c r="K14" s="3"/>
    </row>
    <row r="15" spans="1:15" x14ac:dyDescent="0.25">
      <c r="A15" s="1"/>
      <c r="B15" s="7"/>
      <c r="C15" s="7"/>
      <c r="D15" s="7"/>
      <c r="E15" s="7"/>
      <c r="F15" s="7"/>
      <c r="G15" s="7"/>
      <c r="H15" s="7"/>
      <c r="I15" s="7"/>
      <c r="K15" s="3"/>
    </row>
    <row r="16" spans="1:15" x14ac:dyDescent="0.25">
      <c r="M16" s="3"/>
      <c r="O16" s="3"/>
    </row>
    <row r="17" spans="2:15" x14ac:dyDescent="0.25">
      <c r="B17" s="3"/>
      <c r="C17" s="3"/>
      <c r="D17" s="3"/>
      <c r="E17" s="3"/>
      <c r="F17" s="3"/>
      <c r="G17" s="3"/>
      <c r="H17" s="3"/>
      <c r="M17" s="3"/>
      <c r="O17" s="3"/>
    </row>
    <row r="18" spans="2:15" x14ac:dyDescent="0.25">
      <c r="M18" s="3"/>
      <c r="O18" s="3"/>
    </row>
    <row r="19" spans="2:15" x14ac:dyDescent="0.25">
      <c r="M19" s="3"/>
      <c r="N19" s="3"/>
      <c r="O19" s="3"/>
    </row>
    <row r="20" spans="2:15" x14ac:dyDescent="0.25">
      <c r="M20" s="3"/>
      <c r="N20" s="3"/>
      <c r="O20" s="3"/>
    </row>
    <row r="21" spans="2:15" x14ac:dyDescent="0.25">
      <c r="M21" s="3"/>
      <c r="N21" s="3"/>
      <c r="O21" s="3"/>
    </row>
    <row r="22" spans="2:15" x14ac:dyDescent="0.25">
      <c r="M22" s="3"/>
      <c r="N22" s="3"/>
      <c r="O22" s="3"/>
    </row>
    <row r="23" spans="2:15" x14ac:dyDescent="0.25">
      <c r="M23" s="3"/>
      <c r="O23" s="3"/>
    </row>
    <row r="24" spans="2:15" x14ac:dyDescent="0.25">
      <c r="M24" s="3"/>
      <c r="O24" s="3"/>
    </row>
    <row r="25" spans="2:15" x14ac:dyDescent="0.25">
      <c r="M25" s="3"/>
      <c r="O25" s="3"/>
    </row>
    <row r="26" spans="2:15" x14ac:dyDescent="0.25">
      <c r="M26" s="3"/>
      <c r="O26" s="3"/>
    </row>
    <row r="27" spans="2:15" x14ac:dyDescent="0.25">
      <c r="M27" s="3"/>
    </row>
    <row r="28" spans="2:15" x14ac:dyDescent="0.25">
      <c r="M28" s="3"/>
    </row>
    <row r="29" spans="2:15" x14ac:dyDescent="0.25">
      <c r="M29" s="3"/>
    </row>
    <row r="30" spans="2:15" x14ac:dyDescent="0.25">
      <c r="M30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AF81-1E0D-4A5E-A0EC-358C3A972FB7}">
  <dimension ref="A2:W38"/>
  <sheetViews>
    <sheetView tabSelected="1" workbookViewId="0">
      <selection activeCell="J11" sqref="J11"/>
    </sheetView>
  </sheetViews>
  <sheetFormatPr defaultRowHeight="15" x14ac:dyDescent="0.25"/>
  <cols>
    <col min="1" max="1" width="32.28515625" bestFit="1" customWidth="1"/>
    <col min="2" max="6" width="11.5703125" bestFit="1" customWidth="1"/>
    <col min="7" max="7" width="13.85546875" bestFit="1" customWidth="1"/>
    <col min="8" max="12" width="11.5703125" bestFit="1" customWidth="1"/>
  </cols>
  <sheetData>
    <row r="2" spans="1:23" x14ac:dyDescent="0.25">
      <c r="A2" s="8" t="s">
        <v>18</v>
      </c>
      <c r="B2" s="1" t="s">
        <v>15</v>
      </c>
      <c r="C2" s="1" t="s">
        <v>13</v>
      </c>
      <c r="D2" s="1" t="s">
        <v>14</v>
      </c>
      <c r="E2" s="1" t="s">
        <v>17</v>
      </c>
      <c r="F2" s="1" t="s">
        <v>16</v>
      </c>
      <c r="G2" s="1"/>
    </row>
    <row r="3" spans="1:23" x14ac:dyDescent="0.25">
      <c r="A3" t="s">
        <v>0</v>
      </c>
      <c r="B3" s="3">
        <v>1.0731299999999999E-4</v>
      </c>
      <c r="C3" s="3">
        <v>1.06841E-4</v>
      </c>
      <c r="D3" s="3">
        <v>1.05994E-4</v>
      </c>
      <c r="E3" s="3">
        <v>1.05795E-4</v>
      </c>
      <c r="F3" s="3">
        <v>1.05245E-4</v>
      </c>
      <c r="I3" s="3"/>
      <c r="J3" s="3"/>
      <c r="K3" s="3"/>
      <c r="L3" s="3"/>
    </row>
    <row r="4" spans="1:23" x14ac:dyDescent="0.25">
      <c r="A4" t="s">
        <v>1</v>
      </c>
      <c r="B4">
        <v>1</v>
      </c>
      <c r="C4">
        <v>1</v>
      </c>
      <c r="D4">
        <v>1</v>
      </c>
      <c r="E4">
        <v>1</v>
      </c>
      <c r="F4">
        <v>1</v>
      </c>
    </row>
    <row r="5" spans="1:23" x14ac:dyDescent="0.25">
      <c r="A5" t="s">
        <v>2</v>
      </c>
      <c r="B5" s="4">
        <v>0.49</v>
      </c>
      <c r="C5" s="4">
        <v>0.49</v>
      </c>
      <c r="D5" s="4">
        <v>0.49</v>
      </c>
      <c r="E5" s="4">
        <v>0.49</v>
      </c>
      <c r="F5" s="4">
        <v>0.49</v>
      </c>
    </row>
    <row r="6" spans="1:23" x14ac:dyDescent="0.25">
      <c r="A6" t="s">
        <v>3</v>
      </c>
      <c r="B6">
        <v>0.5</v>
      </c>
      <c r="C6">
        <v>0.5</v>
      </c>
      <c r="D6">
        <v>0.5</v>
      </c>
      <c r="E6">
        <v>0.5</v>
      </c>
      <c r="F6">
        <v>0.5</v>
      </c>
    </row>
    <row r="7" spans="1:23" x14ac:dyDescent="0.25">
      <c r="A7" t="s">
        <v>4</v>
      </c>
      <c r="B7" s="5">
        <f t="shared" ref="B7:F7" si="0">B3/B4/2/B6</f>
        <v>1.0731299999999999E-4</v>
      </c>
      <c r="C7" s="5">
        <f t="shared" si="0"/>
        <v>1.06841E-4</v>
      </c>
      <c r="D7" s="5">
        <f t="shared" si="0"/>
        <v>1.05994E-4</v>
      </c>
      <c r="E7" s="5">
        <f t="shared" si="0"/>
        <v>1.05795E-4</v>
      </c>
      <c r="F7" s="5">
        <f t="shared" si="0"/>
        <v>1.05245E-4</v>
      </c>
    </row>
    <row r="8" spans="1:23" x14ac:dyDescent="0.25">
      <c r="A8" t="s">
        <v>5</v>
      </c>
      <c r="B8">
        <v>0.1</v>
      </c>
      <c r="C8">
        <v>0.1</v>
      </c>
      <c r="D8">
        <v>0.1</v>
      </c>
      <c r="E8">
        <v>0.1</v>
      </c>
      <c r="F8">
        <v>0.1</v>
      </c>
    </row>
    <row r="9" spans="1:23" x14ac:dyDescent="0.25">
      <c r="A9" s="1" t="s">
        <v>6</v>
      </c>
      <c r="B9" s="6">
        <f t="shared" ref="B9:F9" si="1">B7/B8</f>
        <v>1.0731299999999998E-3</v>
      </c>
      <c r="C9" s="6">
        <f t="shared" si="1"/>
        <v>1.0684099999999999E-3</v>
      </c>
      <c r="D9" s="6">
        <f t="shared" si="1"/>
        <v>1.0599399999999999E-3</v>
      </c>
      <c r="E9" s="6">
        <f t="shared" si="1"/>
        <v>1.05795E-3</v>
      </c>
      <c r="F9" s="6">
        <f t="shared" si="1"/>
        <v>1.0524499999999999E-3</v>
      </c>
    </row>
    <row r="10" spans="1:23" x14ac:dyDescent="0.25">
      <c r="A10" s="1" t="s">
        <v>7</v>
      </c>
      <c r="B10" s="2">
        <f t="shared" ref="B10:F10" si="2">B9*1000</f>
        <v>1.0731299999999999</v>
      </c>
      <c r="C10" s="2">
        <f t="shared" si="2"/>
        <v>1.0684099999999999</v>
      </c>
      <c r="D10" s="2">
        <f t="shared" si="2"/>
        <v>1.0599399999999999</v>
      </c>
      <c r="E10" s="2">
        <f t="shared" si="2"/>
        <v>1.0579499999999999</v>
      </c>
      <c r="F10" s="2">
        <f t="shared" si="2"/>
        <v>1.0524499999999999</v>
      </c>
    </row>
    <row r="11" spans="1:23" x14ac:dyDescent="0.25">
      <c r="A11" t="s">
        <v>8</v>
      </c>
      <c r="B11" s="7">
        <f>B10/$B$10</f>
        <v>1</v>
      </c>
      <c r="C11" s="7">
        <f t="shared" ref="C11:F11" si="3">C10/$B$10</f>
        <v>0.9956016512444904</v>
      </c>
      <c r="D11" s="7">
        <f t="shared" si="3"/>
        <v>0.98770885167687039</v>
      </c>
      <c r="E11" s="7">
        <f t="shared" si="3"/>
        <v>0.9858544631125773</v>
      </c>
      <c r="F11" s="7">
        <f t="shared" si="3"/>
        <v>0.98072926858814868</v>
      </c>
    </row>
    <row r="14" spans="1:23" x14ac:dyDescent="0.25">
      <c r="A14" s="8" t="s">
        <v>12</v>
      </c>
      <c r="B14" s="9">
        <v>1</v>
      </c>
      <c r="C14" s="9">
        <v>100</v>
      </c>
      <c r="D14" s="9">
        <v>200</v>
      </c>
      <c r="E14" s="9">
        <v>300</v>
      </c>
      <c r="F14" s="9">
        <v>400</v>
      </c>
      <c r="G14" s="9">
        <v>500</v>
      </c>
      <c r="H14" s="9">
        <v>600</v>
      </c>
      <c r="I14" s="9">
        <v>700</v>
      </c>
      <c r="J14" s="9">
        <v>800</v>
      </c>
      <c r="K14" s="9">
        <v>900</v>
      </c>
      <c r="L14" s="9">
        <v>1000</v>
      </c>
    </row>
    <row r="15" spans="1:23" x14ac:dyDescent="0.25">
      <c r="A15" t="s">
        <v>0</v>
      </c>
      <c r="B15" s="3">
        <v>1.05245E-4</v>
      </c>
      <c r="C15" s="3">
        <v>1.05288E-4</v>
      </c>
      <c r="D15" s="3">
        <v>1.0519299999999999E-4</v>
      </c>
      <c r="E15" s="3">
        <v>1.05383E-4</v>
      </c>
      <c r="F15" s="3">
        <v>1.0478400000000001E-4</v>
      </c>
      <c r="G15" s="3">
        <v>1.04518E-4</v>
      </c>
      <c r="H15" s="3">
        <v>1.0444E-4</v>
      </c>
      <c r="I15" s="3">
        <v>1.04221E-4</v>
      </c>
      <c r="J15" s="3">
        <v>1.0403000000000001E-4</v>
      </c>
      <c r="K15" s="3">
        <v>1.03979E-4</v>
      </c>
      <c r="L15" s="3">
        <v>1.03538E-4</v>
      </c>
    </row>
    <row r="16" spans="1:23" x14ac:dyDescent="0.25">
      <c r="A16" t="s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 s="3"/>
      <c r="O16" s="3"/>
      <c r="Q16" s="3"/>
      <c r="S16" s="3"/>
      <c r="U16" s="3"/>
      <c r="W16" s="3"/>
    </row>
    <row r="17" spans="1:23" x14ac:dyDescent="0.25">
      <c r="A17" t="s">
        <v>2</v>
      </c>
      <c r="B17" s="4">
        <v>0.49</v>
      </c>
      <c r="C17" s="4">
        <v>0.49</v>
      </c>
      <c r="D17" s="4">
        <v>0.49</v>
      </c>
      <c r="E17" s="4">
        <v>0.49</v>
      </c>
      <c r="F17" s="4">
        <v>0.49</v>
      </c>
      <c r="G17" s="4">
        <v>0.49</v>
      </c>
      <c r="H17" s="4">
        <v>0.49</v>
      </c>
      <c r="I17" s="4">
        <v>0.49</v>
      </c>
      <c r="J17" s="4">
        <v>0.49</v>
      </c>
      <c r="K17" s="4">
        <v>0.49</v>
      </c>
      <c r="L17" s="4">
        <v>0.49</v>
      </c>
    </row>
    <row r="18" spans="1:23" x14ac:dyDescent="0.25">
      <c r="A18" t="s">
        <v>3</v>
      </c>
      <c r="B18">
        <v>0.5</v>
      </c>
      <c r="C18">
        <v>0.5</v>
      </c>
      <c r="D18">
        <v>0.5</v>
      </c>
      <c r="E18">
        <v>0.5</v>
      </c>
      <c r="F18">
        <v>0.5</v>
      </c>
      <c r="G18">
        <v>0.5</v>
      </c>
      <c r="H18">
        <v>0.5</v>
      </c>
      <c r="I18">
        <v>0.5</v>
      </c>
      <c r="J18">
        <v>0.5</v>
      </c>
      <c r="K18">
        <v>0.5</v>
      </c>
      <c r="L18">
        <v>0.5</v>
      </c>
    </row>
    <row r="19" spans="1:23" x14ac:dyDescent="0.25">
      <c r="A19" t="s">
        <v>4</v>
      </c>
      <c r="B19" s="5">
        <f t="shared" ref="B19:L19" si="4">B15/B16/2/B18</f>
        <v>1.05245E-4</v>
      </c>
      <c r="C19" s="5">
        <f t="shared" si="4"/>
        <v>1.05288E-4</v>
      </c>
      <c r="D19" s="5">
        <f t="shared" si="4"/>
        <v>1.0519299999999999E-4</v>
      </c>
      <c r="E19" s="5">
        <f t="shared" si="4"/>
        <v>1.05383E-4</v>
      </c>
      <c r="F19" s="5">
        <f t="shared" si="4"/>
        <v>1.0478400000000001E-4</v>
      </c>
      <c r="G19" s="5">
        <f t="shared" si="4"/>
        <v>1.04518E-4</v>
      </c>
      <c r="H19" s="5">
        <f t="shared" si="4"/>
        <v>1.0444E-4</v>
      </c>
      <c r="I19" s="5">
        <f t="shared" si="4"/>
        <v>1.04221E-4</v>
      </c>
      <c r="J19" s="5">
        <f t="shared" si="4"/>
        <v>1.0403000000000001E-4</v>
      </c>
      <c r="K19" s="5">
        <f t="shared" si="4"/>
        <v>1.03979E-4</v>
      </c>
      <c r="L19" s="5">
        <f t="shared" si="4"/>
        <v>1.03538E-4</v>
      </c>
    </row>
    <row r="20" spans="1:23" x14ac:dyDescent="0.25">
      <c r="A20" t="s">
        <v>5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</row>
    <row r="21" spans="1:23" x14ac:dyDescent="0.25">
      <c r="A21" s="1" t="s">
        <v>6</v>
      </c>
      <c r="B21" s="6">
        <f t="shared" ref="B21:L21" si="5">B19/B20</f>
        <v>1.0524499999999999E-3</v>
      </c>
      <c r="C21" s="6">
        <f t="shared" si="5"/>
        <v>1.05288E-3</v>
      </c>
      <c r="D21" s="6">
        <f t="shared" si="5"/>
        <v>1.05193E-3</v>
      </c>
      <c r="E21" s="6">
        <f t="shared" si="5"/>
        <v>1.05383E-3</v>
      </c>
      <c r="F21" s="6">
        <f t="shared" si="5"/>
        <v>1.04784E-3</v>
      </c>
      <c r="G21" s="6">
        <f t="shared" si="5"/>
        <v>1.0451799999999999E-3</v>
      </c>
      <c r="H21" s="6">
        <f t="shared" si="5"/>
        <v>1.0443999999999998E-3</v>
      </c>
      <c r="I21" s="6">
        <f t="shared" si="5"/>
        <v>1.04221E-3</v>
      </c>
      <c r="J21" s="6">
        <f t="shared" si="5"/>
        <v>1.0403000000000001E-3</v>
      </c>
      <c r="K21" s="6">
        <f t="shared" si="5"/>
        <v>1.0397899999999999E-3</v>
      </c>
      <c r="L21" s="6">
        <f t="shared" si="5"/>
        <v>1.0353799999999998E-3</v>
      </c>
    </row>
    <row r="22" spans="1:23" x14ac:dyDescent="0.25">
      <c r="A22" s="1" t="s">
        <v>7</v>
      </c>
      <c r="B22" s="2">
        <f t="shared" ref="B22:L22" si="6">B21*1000</f>
        <v>1.0524499999999999</v>
      </c>
      <c r="C22" s="2">
        <f t="shared" si="6"/>
        <v>1.05288</v>
      </c>
      <c r="D22" s="2">
        <f t="shared" si="6"/>
        <v>1.05193</v>
      </c>
      <c r="E22" s="2">
        <f t="shared" si="6"/>
        <v>1.05383</v>
      </c>
      <c r="F22" s="2">
        <f t="shared" si="6"/>
        <v>1.0478399999999999</v>
      </c>
      <c r="G22" s="2">
        <f t="shared" si="6"/>
        <v>1.04518</v>
      </c>
      <c r="H22" s="2">
        <f t="shared" si="6"/>
        <v>1.0443999999999998</v>
      </c>
      <c r="I22" s="2">
        <f t="shared" si="6"/>
        <v>1.0422100000000001</v>
      </c>
      <c r="J22" s="2">
        <f t="shared" si="6"/>
        <v>1.0403</v>
      </c>
      <c r="K22" s="2">
        <f t="shared" si="6"/>
        <v>1.0397899999999998</v>
      </c>
      <c r="L22" s="2">
        <f t="shared" si="6"/>
        <v>1.0353799999999997</v>
      </c>
    </row>
    <row r="23" spans="1:23" x14ac:dyDescent="0.25">
      <c r="A23" t="s">
        <v>8</v>
      </c>
      <c r="B23" s="7">
        <f>B22/$B$22</f>
        <v>1</v>
      </c>
      <c r="C23" s="7">
        <f>C22/$B$22</f>
        <v>1.0004085704784076</v>
      </c>
      <c r="D23" s="7">
        <f>D22/$B$22</f>
        <v>0.99950591477029804</v>
      </c>
      <c r="E23" s="7">
        <f>E22/$B$22</f>
        <v>1.0013112261865174</v>
      </c>
      <c r="F23" s="7">
        <f>F22/$B$22</f>
        <v>0.99561974440591006</v>
      </c>
      <c r="G23" s="7">
        <f>G22/$B$22</f>
        <v>0.99309230842320306</v>
      </c>
      <c r="H23" s="7">
        <f>H22/$B$22</f>
        <v>0.99235118057864968</v>
      </c>
      <c r="I23" s="7">
        <f>I22/$B$22</f>
        <v>0.99027032163048145</v>
      </c>
      <c r="J23" s="7">
        <f>J22/$B$22</f>
        <v>0.98845550857522935</v>
      </c>
      <c r="K23" s="7">
        <f>K22/$B$22</f>
        <v>0.98797092498455974</v>
      </c>
      <c r="L23" s="7">
        <f>L22/$B$22</f>
        <v>0.98378070217112434</v>
      </c>
    </row>
    <row r="26" spans="1:2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8" spans="1:23" x14ac:dyDescent="0.25">
      <c r="B28" s="3"/>
      <c r="C28" s="3"/>
      <c r="E28" s="3"/>
      <c r="G28" s="3"/>
      <c r="I28" s="3"/>
      <c r="K28" s="3"/>
      <c r="M28" s="3"/>
      <c r="Q28" s="3"/>
      <c r="S28" s="3"/>
      <c r="U28" s="3"/>
      <c r="W28" s="3"/>
    </row>
    <row r="29" spans="1:23" x14ac:dyDescent="0.25">
      <c r="B29" s="3"/>
    </row>
    <row r="30" spans="1:23" x14ac:dyDescent="0.25">
      <c r="B30" s="3"/>
    </row>
    <row r="31" spans="1:23" x14ac:dyDescent="0.25">
      <c r="B31" s="3"/>
    </row>
    <row r="32" spans="1:2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</vt:lpstr>
      <vt:lpstr>Bending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2023-10-23T10:28:55Z</dcterms:modified>
</cp:coreProperties>
</file>