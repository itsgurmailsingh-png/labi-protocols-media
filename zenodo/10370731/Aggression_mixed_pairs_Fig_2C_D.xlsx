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ED64CF1E-5CFD-A54F-9DA3-087B3E1D25AB}" xr6:coauthVersionLast="47" xr6:coauthVersionMax="47" xr10:uidLastSave="{00000000-0000-0000-0000-000000000000}"/>
  <bookViews>
    <workbookView xWindow="0" yWindow="500" windowWidth="33600" windowHeight="18920" xr2:uid="{6846226E-8FE0-3645-823D-0EDDC5895DAA}"/>
  </bookViews>
  <sheets>
    <sheet name="Sheet1" sheetId="1" r:id="rId1"/>
  </sheets>
  <definedNames>
    <definedName name="_xlchart.v1.0" hidden="1">Sheet1!$E$1</definedName>
    <definedName name="_xlchart.v1.1" hidden="1">Sheet1!$E$2:$E$14</definedName>
    <definedName name="_xlchart.v1.2" hidden="1">Sheet1!$F$1</definedName>
    <definedName name="_xlchart.v1.3" hidden="1">Sheet1!$F$2:$F$14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F3" i="1"/>
  <c r="F4" i="1"/>
  <c r="F5" i="1"/>
  <c r="F6" i="1"/>
  <c r="F7" i="1"/>
  <c r="F8" i="1"/>
  <c r="F9" i="1"/>
  <c r="F10" i="1"/>
  <c r="F11" i="1"/>
  <c r="F12" i="1"/>
  <c r="F13" i="1"/>
  <c r="E3" i="1"/>
  <c r="E4" i="1"/>
  <c r="E5" i="1"/>
  <c r="E6" i="1"/>
  <c r="E7" i="1"/>
  <c r="E8" i="1"/>
  <c r="E9" i="1"/>
  <c r="E10" i="1"/>
  <c r="E11" i="1"/>
  <c r="E12" i="1"/>
  <c r="E13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<sst xmlns="http://schemas.openxmlformats.org/spreadsheetml/2006/main" count="18" uniqueCount="18">
  <si>
    <t>Rejected</t>
  </si>
  <si>
    <t>Mated</t>
  </si>
  <si>
    <t>Pair 1</t>
  </si>
  <si>
    <t>Pair 2</t>
  </si>
  <si>
    <t>Pair 3</t>
  </si>
  <si>
    <t>Pair 4</t>
  </si>
  <si>
    <t>Pair 5</t>
  </si>
  <si>
    <t>Pair 6</t>
  </si>
  <si>
    <t>Pair 7</t>
  </si>
  <si>
    <t>Pair 8</t>
  </si>
  <si>
    <t>Pair 9</t>
  </si>
  <si>
    <t>Pair 10</t>
  </si>
  <si>
    <t>Pair 11</t>
  </si>
  <si>
    <t>Pair 12</t>
  </si>
  <si>
    <t>% rejected</t>
  </si>
  <si>
    <t>% mated</t>
  </si>
  <si>
    <t>AVE</t>
  </si>
  <si>
    <t>total lunges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</si>
</sst>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B67A-78F4-1B42-93BB-ECF01650AC10}">
  <dimension ref="A1:F14"/>
  <sheetViews>
    <sheetView tabSelected="1" workbookViewId="0">
      <selection activeCell="D15" sqref="D15"/>
    </sheetView>
  </sheetViews>
  <sheetFormatPr baseColWidth="10" defaultRowHeight="16" x14ac:dyDescent="0.2"/>
  <cols>
    <col min="1" max="16384" width="10.83203125" style="1"/>
  </cols>
  <sheetData>
    <row r="1" spans="1:6" x14ac:dyDescent="0.2">
      <c r="B1" s="1" t="s">
        <v>1</v>
      </c>
      <c r="C1" s="1" t="s">
        <v>0</v>
      </c>
      <c r="D1" s="1" t="s">
        <v>17</v>
      </c>
      <c r="E1" s="1" t="s">
        <v>15</v>
      </c>
      <c r="F1" s="1" t="s">
        <v>14</v>
      </c>
    </row>
    <row r="2" spans="1:6" x14ac:dyDescent="0.2">
      <c r="A2" s="1" t="s">
        <v>2</v>
      </c>
      <c r="B2" s="1">
        <v>9</v>
      </c>
      <c r="C2" s="1">
        <v>28</v>
      </c>
      <c r="D2" s="1">
        <f>B2+C2</f>
        <v>37</v>
      </c>
      <c r="E2" s="1">
        <f>B2/D2</f>
        <v>0.24324324324324326</v>
      </c>
      <c r="F2" s="1">
        <f>C2/D2</f>
        <v>0.7567567567567568</v>
      </c>
    </row>
    <row r="3" spans="1:6" x14ac:dyDescent="0.2">
      <c r="A3" s="1" t="s">
        <v>3</v>
      </c>
      <c r="B3" s="1">
        <v>2</v>
      </c>
      <c r="C3" s="1">
        <v>13</v>
      </c>
      <c r="D3" s="1">
        <f t="shared" ref="D3:D13" si="0">B3+C3</f>
        <v>15</v>
      </c>
      <c r="E3" s="1">
        <f t="shared" ref="E3:E13" si="1">B3/D3</f>
        <v>0.13333333333333333</v>
      </c>
      <c r="F3" s="1">
        <f t="shared" ref="F3:F13" si="2">C3/D3</f>
        <v>0.8666666666666667</v>
      </c>
    </row>
    <row r="4" spans="1:6" x14ac:dyDescent="0.2">
      <c r="A4" s="1" t="s">
        <v>4</v>
      </c>
      <c r="B4" s="1">
        <v>6</v>
      </c>
      <c r="C4" s="1">
        <v>10</v>
      </c>
      <c r="D4" s="1">
        <f t="shared" si="0"/>
        <v>16</v>
      </c>
      <c r="E4" s="1">
        <f t="shared" si="1"/>
        <v>0.375</v>
      </c>
      <c r="F4" s="1">
        <f t="shared" si="2"/>
        <v>0.625</v>
      </c>
    </row>
    <row r="5" spans="1:6" x14ac:dyDescent="0.2">
      <c r="A5" s="1" t="s">
        <v>5</v>
      </c>
      <c r="B5" s="1">
        <v>3</v>
      </c>
      <c r="C5" s="1">
        <v>45</v>
      </c>
      <c r="D5" s="1">
        <f t="shared" si="0"/>
        <v>48</v>
      </c>
      <c r="E5" s="1">
        <f t="shared" si="1"/>
        <v>6.25E-2</v>
      </c>
      <c r="F5" s="1">
        <f t="shared" si="2"/>
        <v>0.9375</v>
      </c>
    </row>
    <row r="6" spans="1:6" x14ac:dyDescent="0.2">
      <c r="A6" s="1" t="s">
        <v>6</v>
      </c>
      <c r="B6" s="1">
        <v>2</v>
      </c>
      <c r="C6" s="1">
        <v>15</v>
      </c>
      <c r="D6" s="1">
        <f t="shared" si="0"/>
        <v>17</v>
      </c>
      <c r="E6" s="1">
        <f t="shared" si="1"/>
        <v>0.11764705882352941</v>
      </c>
      <c r="F6" s="1">
        <f t="shared" si="2"/>
        <v>0.88235294117647056</v>
      </c>
    </row>
    <row r="7" spans="1:6" x14ac:dyDescent="0.2">
      <c r="A7" s="1" t="s">
        <v>7</v>
      </c>
      <c r="B7" s="1">
        <v>1</v>
      </c>
      <c r="C7" s="1">
        <v>10</v>
      </c>
      <c r="D7" s="1">
        <f t="shared" si="0"/>
        <v>11</v>
      </c>
      <c r="E7" s="1">
        <f t="shared" si="1"/>
        <v>9.0909090909090912E-2</v>
      </c>
      <c r="F7" s="1">
        <f t="shared" si="2"/>
        <v>0.90909090909090906</v>
      </c>
    </row>
    <row r="8" spans="1:6" x14ac:dyDescent="0.2">
      <c r="A8" s="1" t="s">
        <v>8</v>
      </c>
      <c r="B8" s="1">
        <v>3</v>
      </c>
      <c r="C8" s="1">
        <v>25</v>
      </c>
      <c r="D8" s="1">
        <f t="shared" si="0"/>
        <v>28</v>
      </c>
      <c r="E8" s="1">
        <f t="shared" si="1"/>
        <v>0.10714285714285714</v>
      </c>
      <c r="F8" s="1">
        <f t="shared" si="2"/>
        <v>0.8928571428571429</v>
      </c>
    </row>
    <row r="9" spans="1:6" x14ac:dyDescent="0.2">
      <c r="A9" s="1" t="s">
        <v>9</v>
      </c>
      <c r="B9" s="1">
        <v>2</v>
      </c>
      <c r="C9" s="1">
        <v>10</v>
      </c>
      <c r="D9" s="1">
        <f t="shared" si="0"/>
        <v>12</v>
      </c>
      <c r="E9" s="1">
        <f t="shared" si="1"/>
        <v>0.16666666666666666</v>
      </c>
      <c r="F9" s="1">
        <f t="shared" si="2"/>
        <v>0.83333333333333337</v>
      </c>
    </row>
    <row r="10" spans="1:6" x14ac:dyDescent="0.2">
      <c r="A10" s="1" t="s">
        <v>10</v>
      </c>
      <c r="B10" s="1">
        <v>3</v>
      </c>
      <c r="C10" s="1">
        <v>16</v>
      </c>
      <c r="D10" s="1">
        <f t="shared" si="0"/>
        <v>19</v>
      </c>
      <c r="E10" s="1">
        <f t="shared" si="1"/>
        <v>0.15789473684210525</v>
      </c>
      <c r="F10" s="1">
        <f t="shared" si="2"/>
        <v>0.84210526315789469</v>
      </c>
    </row>
    <row r="11" spans="1:6" x14ac:dyDescent="0.2">
      <c r="A11" s="1" t="s">
        <v>11</v>
      </c>
      <c r="B11" s="1">
        <v>3</v>
      </c>
      <c r="C11" s="1">
        <v>15</v>
      </c>
      <c r="D11" s="1">
        <f t="shared" si="0"/>
        <v>18</v>
      </c>
      <c r="E11" s="1">
        <f t="shared" si="1"/>
        <v>0.16666666666666666</v>
      </c>
      <c r="F11" s="1">
        <f t="shared" si="2"/>
        <v>0.83333333333333337</v>
      </c>
    </row>
    <row r="12" spans="1:6" x14ac:dyDescent="0.2">
      <c r="A12" s="1" t="s">
        <v>12</v>
      </c>
      <c r="B12" s="1">
        <v>1</v>
      </c>
      <c r="C12" s="1">
        <v>12</v>
      </c>
      <c r="D12" s="1">
        <f t="shared" si="0"/>
        <v>13</v>
      </c>
      <c r="E12" s="1">
        <f t="shared" si="1"/>
        <v>7.6923076923076927E-2</v>
      </c>
      <c r="F12" s="1">
        <f t="shared" si="2"/>
        <v>0.92307692307692313</v>
      </c>
    </row>
    <row r="13" spans="1:6" x14ac:dyDescent="0.2">
      <c r="A13" s="1" t="s">
        <v>13</v>
      </c>
      <c r="B13" s="1">
        <v>2</v>
      </c>
      <c r="C13" s="1">
        <v>53</v>
      </c>
      <c r="D13" s="1">
        <f t="shared" si="0"/>
        <v>55</v>
      </c>
      <c r="E13" s="1">
        <f t="shared" si="1"/>
        <v>3.6363636363636362E-2</v>
      </c>
      <c r="F13" s="1">
        <f t="shared" si="2"/>
        <v>0.96363636363636362</v>
      </c>
    </row>
    <row r="14" spans="1:6" x14ac:dyDescent="0.2">
      <c r="A14" s="1" t="s">
        <v>16</v>
      </c>
      <c r="E14" s="1">
        <f>AVERAGE(E2:E13)</f>
        <v>0.14452419724285051</v>
      </c>
      <c r="F14" s="1">
        <f>AVERAGE(F2:F13)</f>
        <v>0.85547580275714952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Galit Ophir</dc:creator>
  <cp:lastModifiedBy>Galit Ophir</cp:lastModifiedBy>
  <dcterms:created xsi:type="dcterms:W3CDTF">2020-11-25T11:53:17Z</dcterms:created>
  <dcterms:modified xsi:type="dcterms:W3CDTF">2023-12-05T09:15:28Z</dcterms:modified>
</cp:coreProperties>
</file>