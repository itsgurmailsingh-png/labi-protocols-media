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7"/>
  <workbookPr codeName="ThisWorkbook" defaultThemeVersion="166925"/>
  <mc:AlternateContent xmlns:mc="http://schemas.openxmlformats.org/markup-compatibility/2006">
    <mc:Choice Requires="x15">
      <x15ac:absPath xmlns:x15ac="http://schemas.microsoft.com/office/spreadsheetml/2010/11/ac" url="/Users/galitophir/Downloads/doi_10_5061_dryad_pzgmsbctg__v20231130/"/>
    </mc:Choice>
  </mc:AlternateContent>
  <xr:revisionPtr revIDLastSave="0" documentId="13_ncr:1_{25301BFC-97F0-8048-92EF-EC98E8963256}" xr6:coauthVersionLast="47" xr6:coauthVersionMax="47" xr10:uidLastSave="{00000000-0000-0000-0000-000000000000}"/>
  <bookViews>
    <workbookView xWindow="0" yWindow="740" windowWidth="29400" windowHeight="17380" firstSheet="2" activeTab="8" xr2:uid="{00000000-000D-0000-FFFF-FFFF00000000}"/>
  </bookViews>
  <sheets>
    <sheet name="Fig 4B WT starvation resistance" sheetId="1" r:id="rId1"/>
    <sheet name="Fig 4C Paraquat" sheetId="27" r:id="rId2"/>
    <sheet name="Fig 4D NPFR-RNAi conditioning" sheetId="23" r:id="rId3"/>
    <sheet name="Fig 4E NPFR &amp; Dh44 Chrimson L D" sheetId="14" r:id="rId4"/>
    <sheet name="Fig 4F NPFR chrimson Shibiri" sheetId="17" r:id="rId5"/>
    <sheet name="Fig 5B DH44 activation" sheetId="21" r:id="rId6"/>
    <sheet name="Fig 5D NPFR-TK activation" sheetId="6" r:id="rId7"/>
    <sheet name="S4A Longevity" sheetId="3" r:id="rId8"/>
    <sheet name="S6D NPFR;NPF activation" sheetId="20" r:id="rId9"/>
    <sheet name="S7B DH44G4 NPFRRNAi" sheetId="7" r:id="rId10"/>
    <sheet name="S8A NPFRG4 TKRNAi Single housed" sheetId="8" r:id="rId11"/>
    <sheet name="S8B NPFR TK RNAi conditioned"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3" l="1"/>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8"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10" i="3"/>
  <c r="E37" i="3"/>
  <c r="E38" i="3"/>
  <c r="E39" i="3"/>
  <c r="E40" i="3"/>
  <c r="E41" i="3"/>
  <c r="E42" i="3"/>
  <c r="E43" i="3"/>
  <c r="E44" i="3"/>
  <c r="E45" i="3"/>
  <c r="E46" i="3"/>
  <c r="E47" i="3"/>
  <c r="E48" i="3"/>
  <c r="E49" i="3"/>
  <c r="E50" i="3"/>
  <c r="E51" i="3"/>
  <c r="E52" i="3"/>
  <c r="E53" i="3"/>
  <c r="E54" i="3"/>
  <c r="E10" i="3"/>
  <c r="E11" i="3"/>
  <c r="E12" i="3"/>
  <c r="E13" i="3"/>
  <c r="E14" i="3"/>
  <c r="E15" i="3"/>
  <c r="E16" i="3"/>
  <c r="E17" i="3"/>
  <c r="E18" i="3"/>
  <c r="E19" i="3"/>
  <c r="E20" i="3"/>
  <c r="E21" i="3"/>
  <c r="E22" i="3"/>
  <c r="E23" i="3"/>
  <c r="E24" i="3"/>
  <c r="E25" i="3"/>
  <c r="E26" i="3"/>
  <c r="E27" i="3"/>
  <c r="E28" i="3"/>
  <c r="E29" i="3"/>
  <c r="E30" i="3"/>
  <c r="E31" i="3"/>
  <c r="E32" i="3"/>
  <c r="E33" i="3"/>
  <c r="E34" i="3"/>
  <c r="E35" i="3"/>
  <c r="E36" i="3"/>
  <c r="E9" i="3"/>
  <c r="G14" i="27"/>
  <c r="G15" i="27" s="1"/>
  <c r="G13" i="27"/>
  <c r="H13" i="27" s="1"/>
  <c r="D13" i="27"/>
  <c r="D14" i="27" s="1"/>
  <c r="J12" i="27"/>
  <c r="K12" i="27" s="1"/>
  <c r="G12" i="27"/>
  <c r="H12" i="27" s="1"/>
  <c r="D12" i="27"/>
  <c r="E12" i="27" s="1"/>
  <c r="K11" i="27"/>
  <c r="H11" i="27"/>
  <c r="E11" i="27"/>
  <c r="F7" i="23"/>
  <c r="I7" i="23"/>
  <c r="L7" i="23"/>
  <c r="E8" i="23"/>
  <c r="E9" i="23" s="1"/>
  <c r="F9" i="23" s="1"/>
  <c r="K8" i="23"/>
  <c r="K9" i="23" s="1"/>
  <c r="L9" i="23" s="1"/>
  <c r="H8" i="23"/>
  <c r="I8" i="23" s="1"/>
  <c r="E14" i="27" l="1"/>
  <c r="D15" i="27"/>
  <c r="H15" i="27"/>
  <c r="G16" i="27"/>
  <c r="E13" i="27"/>
  <c r="J13" i="27"/>
  <c r="H14" i="27"/>
  <c r="F8" i="23"/>
  <c r="L8" i="23"/>
  <c r="E10" i="23"/>
  <c r="F10" i="23" s="1"/>
  <c r="H9" i="23"/>
  <c r="I9" i="23" s="1"/>
  <c r="K10" i="23"/>
  <c r="L10" i="23" s="1"/>
  <c r="P8" i="21"/>
  <c r="M8" i="21"/>
  <c r="J8" i="21"/>
  <c r="G8" i="21"/>
  <c r="O9" i="21"/>
  <c r="O10" i="21" s="1"/>
  <c r="O11" i="21" s="1"/>
  <c r="O12" i="21" s="1"/>
  <c r="O13" i="21" s="1"/>
  <c r="O14" i="21" s="1"/>
  <c r="O15" i="21" s="1"/>
  <c r="O16" i="21" s="1"/>
  <c r="O17" i="21" s="1"/>
  <c r="O18" i="21" s="1"/>
  <c r="O19" i="21" s="1"/>
  <c r="O20" i="21" s="1"/>
  <c r="L9" i="21"/>
  <c r="M9" i="21" s="1"/>
  <c r="I9" i="21"/>
  <c r="I10" i="21" s="1"/>
  <c r="I11" i="21" s="1"/>
  <c r="I12" i="21" s="1"/>
  <c r="I13" i="21" s="1"/>
  <c r="I14" i="21" s="1"/>
  <c r="I15" i="21" s="1"/>
  <c r="I16" i="21" s="1"/>
  <c r="I17" i="21" s="1"/>
  <c r="I18" i="21" s="1"/>
  <c r="I19" i="21" s="1"/>
  <c r="I20" i="21" s="1"/>
  <c r="F9" i="21"/>
  <c r="G9" i="21" s="1"/>
  <c r="G17" i="27" l="1"/>
  <c r="H16" i="27"/>
  <c r="J14" i="27"/>
  <c r="K13" i="27"/>
  <c r="E15" i="27"/>
  <c r="D16" i="27"/>
  <c r="J9" i="21"/>
  <c r="E11" i="23"/>
  <c r="F11" i="23" s="1"/>
  <c r="K11" i="23"/>
  <c r="L11" i="23" s="1"/>
  <c r="H10" i="23"/>
  <c r="I10" i="23" s="1"/>
  <c r="P18" i="21"/>
  <c r="P10" i="21"/>
  <c r="P17" i="21"/>
  <c r="P13" i="21"/>
  <c r="P9" i="21"/>
  <c r="P14" i="21"/>
  <c r="P20" i="21"/>
  <c r="P16" i="21"/>
  <c r="P12" i="21"/>
  <c r="P19" i="21"/>
  <c r="P15" i="21"/>
  <c r="P11" i="21"/>
  <c r="J17" i="21"/>
  <c r="J13" i="21"/>
  <c r="J19" i="21"/>
  <c r="J15" i="21"/>
  <c r="J11" i="21"/>
  <c r="J20" i="21"/>
  <c r="J16" i="21"/>
  <c r="J12" i="21"/>
  <c r="J18" i="21"/>
  <c r="J14" i="21"/>
  <c r="J10" i="21"/>
  <c r="L10" i="21"/>
  <c r="M10" i="21" s="1"/>
  <c r="F10" i="21"/>
  <c r="G10" i="21" s="1"/>
  <c r="H9" i="20"/>
  <c r="K29" i="20"/>
  <c r="K9" i="20"/>
  <c r="N9" i="20"/>
  <c r="Q9" i="20"/>
  <c r="K30" i="20"/>
  <c r="P10" i="20"/>
  <c r="Q10" i="20" s="1"/>
  <c r="M10" i="20"/>
  <c r="M11" i="20" s="1"/>
  <c r="N11" i="20" s="1"/>
  <c r="J10" i="20"/>
  <c r="K10" i="20" s="1"/>
  <c r="G10" i="20"/>
  <c r="G11" i="20" s="1"/>
  <c r="H11" i="20" s="1"/>
  <c r="E16" i="27" l="1"/>
  <c r="D17" i="27"/>
  <c r="K14" i="27"/>
  <c r="J15" i="27"/>
  <c r="G18" i="27"/>
  <c r="H17" i="27"/>
  <c r="E12" i="23"/>
  <c r="F12" i="23" s="1"/>
  <c r="K12" i="23"/>
  <c r="L12" i="23" s="1"/>
  <c r="H11" i="23"/>
  <c r="I11" i="23" s="1"/>
  <c r="F11" i="21"/>
  <c r="G11" i="21" s="1"/>
  <c r="L11" i="21"/>
  <c r="M11" i="21" s="1"/>
  <c r="N10" i="20"/>
  <c r="H10" i="20"/>
  <c r="G12" i="20"/>
  <c r="H12" i="20" s="1"/>
  <c r="M12" i="20"/>
  <c r="N12" i="20" s="1"/>
  <c r="J11" i="20"/>
  <c r="K11" i="20" s="1"/>
  <c r="P11" i="20"/>
  <c r="Q11" i="20" s="1"/>
  <c r="G19" i="27" l="1"/>
  <c r="H18" i="27"/>
  <c r="J16" i="27"/>
  <c r="K15" i="27"/>
  <c r="D18" i="27"/>
  <c r="E17" i="27"/>
  <c r="E13" i="23"/>
  <c r="F13" i="23" s="1"/>
  <c r="H12" i="23"/>
  <c r="I12" i="23" s="1"/>
  <c r="K13" i="23"/>
  <c r="L13" i="23" s="1"/>
  <c r="L12" i="21"/>
  <c r="M12" i="21" s="1"/>
  <c r="F12" i="21"/>
  <c r="G12" i="21" s="1"/>
  <c r="M13" i="20"/>
  <c r="N13" i="20" s="1"/>
  <c r="P12" i="20"/>
  <c r="Q12" i="20" s="1"/>
  <c r="J12" i="20"/>
  <c r="K12" i="20" s="1"/>
  <c r="G13" i="20"/>
  <c r="H13" i="20" s="1"/>
  <c r="E18" i="27" l="1"/>
  <c r="D19" i="27"/>
  <c r="K16" i="27"/>
  <c r="J17" i="27"/>
  <c r="H19" i="27"/>
  <c r="G20" i="27"/>
  <c r="H20" i="27" s="1"/>
  <c r="E14" i="23"/>
  <c r="F14" i="23" s="1"/>
  <c r="K14" i="23"/>
  <c r="L14" i="23" s="1"/>
  <c r="H13" i="23"/>
  <c r="I13" i="23" s="1"/>
  <c r="L13" i="21"/>
  <c r="M13" i="21" s="1"/>
  <c r="F13" i="21"/>
  <c r="G13" i="21" s="1"/>
  <c r="P13" i="20"/>
  <c r="Q13" i="20" s="1"/>
  <c r="G14" i="20"/>
  <c r="H14" i="20" s="1"/>
  <c r="J13" i="20"/>
  <c r="K13" i="20" s="1"/>
  <c r="M14" i="20"/>
  <c r="N14" i="20" s="1"/>
  <c r="P10" i="17"/>
  <c r="M10" i="17"/>
  <c r="J10" i="17"/>
  <c r="G10" i="17"/>
  <c r="O11" i="17"/>
  <c r="O12" i="17" s="1"/>
  <c r="P12" i="17" s="1"/>
  <c r="L11" i="17"/>
  <c r="M11" i="17" s="1"/>
  <c r="I11" i="17"/>
  <c r="I12" i="17" s="1"/>
  <c r="J12" i="17" s="1"/>
  <c r="F11" i="17"/>
  <c r="G11" i="17" s="1"/>
  <c r="K17" i="27" l="1"/>
  <c r="J18" i="27"/>
  <c r="D20" i="27"/>
  <c r="E20" i="27" s="1"/>
  <c r="E19" i="27"/>
  <c r="E15" i="23"/>
  <c r="F15" i="23" s="1"/>
  <c r="K15" i="23"/>
  <c r="L15" i="23" s="1"/>
  <c r="H14" i="23"/>
  <c r="I14" i="23" s="1"/>
  <c r="F14" i="21"/>
  <c r="G14" i="21" s="1"/>
  <c r="L14" i="21"/>
  <c r="M14" i="21" s="1"/>
  <c r="G15" i="20"/>
  <c r="H15" i="20" s="1"/>
  <c r="M15" i="20"/>
  <c r="N15" i="20" s="1"/>
  <c r="J14" i="20"/>
  <c r="K14" i="20" s="1"/>
  <c r="P14" i="20"/>
  <c r="Q14" i="20" s="1"/>
  <c r="J11" i="17"/>
  <c r="P11" i="17"/>
  <c r="I13" i="17"/>
  <c r="J13" i="17" s="1"/>
  <c r="O13" i="17"/>
  <c r="P13" i="17" s="1"/>
  <c r="L12" i="17"/>
  <c r="M12" i="17" s="1"/>
  <c r="F12" i="17"/>
  <c r="G12" i="17" s="1"/>
  <c r="K18" i="27" l="1"/>
  <c r="J19" i="27"/>
  <c r="E16" i="23"/>
  <c r="F16" i="23" s="1"/>
  <c r="H15" i="23"/>
  <c r="I15" i="23" s="1"/>
  <c r="K16" i="23"/>
  <c r="L16" i="23" s="1"/>
  <c r="L15" i="21"/>
  <c r="M15" i="21" s="1"/>
  <c r="F15" i="21"/>
  <c r="G15" i="21" s="1"/>
  <c r="P15" i="20"/>
  <c r="Q15" i="20" s="1"/>
  <c r="M16" i="20"/>
  <c r="N16" i="20" s="1"/>
  <c r="J15" i="20"/>
  <c r="K15" i="20" s="1"/>
  <c r="G16" i="20"/>
  <c r="H16" i="20" s="1"/>
  <c r="L13" i="17"/>
  <c r="M13" i="17" s="1"/>
  <c r="F13" i="17"/>
  <c r="G13" i="17" s="1"/>
  <c r="O14" i="17"/>
  <c r="P14" i="17" s="1"/>
  <c r="I14" i="17"/>
  <c r="J14" i="17" s="1"/>
  <c r="J20" i="27" l="1"/>
  <c r="K20" i="27" s="1"/>
  <c r="K19" i="27"/>
  <c r="E17" i="23"/>
  <c r="F17" i="23" s="1"/>
  <c r="K17" i="23"/>
  <c r="L17" i="23" s="1"/>
  <c r="H16" i="23"/>
  <c r="I16" i="23" s="1"/>
  <c r="F16" i="21"/>
  <c r="G16" i="21" s="1"/>
  <c r="L16" i="21"/>
  <c r="M16" i="21" s="1"/>
  <c r="M17" i="20"/>
  <c r="N17" i="20" s="1"/>
  <c r="G17" i="20"/>
  <c r="H17" i="20" s="1"/>
  <c r="J16" i="20"/>
  <c r="K16" i="20" s="1"/>
  <c r="P16" i="20"/>
  <c r="Q16" i="20" s="1"/>
  <c r="O15" i="17"/>
  <c r="P15" i="17" s="1"/>
  <c r="F14" i="17"/>
  <c r="G14" i="17" s="1"/>
  <c r="L14" i="17"/>
  <c r="M14" i="17" s="1"/>
  <c r="I15" i="17"/>
  <c r="J15" i="17" s="1"/>
  <c r="E18" i="23" l="1"/>
  <c r="F18" i="23" s="1"/>
  <c r="K18" i="23"/>
  <c r="L18" i="23" s="1"/>
  <c r="H17" i="23"/>
  <c r="I17" i="23" s="1"/>
  <c r="L17" i="21"/>
  <c r="M17" i="21" s="1"/>
  <c r="F17" i="21"/>
  <c r="G17" i="21" s="1"/>
  <c r="G18" i="20"/>
  <c r="H18" i="20" s="1"/>
  <c r="P17" i="20"/>
  <c r="Q17" i="20" s="1"/>
  <c r="J17" i="20"/>
  <c r="K17" i="20" s="1"/>
  <c r="M18" i="20"/>
  <c r="N18" i="20" s="1"/>
  <c r="I16" i="17"/>
  <c r="J16" i="17" s="1"/>
  <c r="L15" i="17"/>
  <c r="M15" i="17" s="1"/>
  <c r="O16" i="17"/>
  <c r="P16" i="17" s="1"/>
  <c r="F15" i="17"/>
  <c r="G15" i="17" s="1"/>
  <c r="E19" i="23" l="1"/>
  <c r="F19" i="23" s="1"/>
  <c r="H18" i="23"/>
  <c r="I18" i="23" s="1"/>
  <c r="K19" i="23"/>
  <c r="L19" i="23" s="1"/>
  <c r="L18" i="21"/>
  <c r="M18" i="21" s="1"/>
  <c r="F18" i="21"/>
  <c r="G18" i="21" s="1"/>
  <c r="M19" i="20"/>
  <c r="N19" i="20" s="1"/>
  <c r="P18" i="20"/>
  <c r="Q18" i="20" s="1"/>
  <c r="J18" i="20"/>
  <c r="K18" i="20" s="1"/>
  <c r="G19" i="20"/>
  <c r="H19" i="20" s="1"/>
  <c r="O17" i="17"/>
  <c r="P17" i="17" s="1"/>
  <c r="I17" i="17"/>
  <c r="J17" i="17" s="1"/>
  <c r="F16" i="17"/>
  <c r="G16" i="17" s="1"/>
  <c r="L16" i="17"/>
  <c r="M16" i="17" s="1"/>
  <c r="E20" i="23" l="1"/>
  <c r="F20" i="23" s="1"/>
  <c r="H19" i="23"/>
  <c r="I19" i="23" s="1"/>
  <c r="K20" i="23"/>
  <c r="L20" i="23" s="1"/>
  <c r="L19" i="21"/>
  <c r="M19" i="21" s="1"/>
  <c r="F19" i="21"/>
  <c r="G19" i="21" s="1"/>
  <c r="P19" i="20"/>
  <c r="Q19" i="20" s="1"/>
  <c r="J19" i="20"/>
  <c r="K19" i="20" s="1"/>
  <c r="M20" i="20"/>
  <c r="N20" i="20" s="1"/>
  <c r="G20" i="20"/>
  <c r="H20" i="20" s="1"/>
  <c r="F17" i="17"/>
  <c r="G17" i="17" s="1"/>
  <c r="L17" i="17"/>
  <c r="M17" i="17" s="1"/>
  <c r="I18" i="17"/>
  <c r="J18" i="17" s="1"/>
  <c r="O18" i="17"/>
  <c r="P18" i="17" s="1"/>
  <c r="E21" i="23" l="1"/>
  <c r="F21" i="23" s="1"/>
  <c r="H20" i="23"/>
  <c r="I20" i="23" s="1"/>
  <c r="K21" i="23"/>
  <c r="L21" i="23" s="1"/>
  <c r="F20" i="21"/>
  <c r="G20" i="21" s="1"/>
  <c r="L20" i="21"/>
  <c r="M20" i="21" s="1"/>
  <c r="P20" i="20"/>
  <c r="Q20" i="20" s="1"/>
  <c r="G21" i="20"/>
  <c r="H21" i="20" s="1"/>
  <c r="J20" i="20"/>
  <c r="K20" i="20" s="1"/>
  <c r="M21" i="20"/>
  <c r="N21" i="20" s="1"/>
  <c r="I19" i="17"/>
  <c r="J19" i="17" s="1"/>
  <c r="F18" i="17"/>
  <c r="G18" i="17" s="1"/>
  <c r="O19" i="17"/>
  <c r="P19" i="17" s="1"/>
  <c r="L18" i="17"/>
  <c r="M18" i="17" s="1"/>
  <c r="H21" i="23" l="1"/>
  <c r="I21" i="23" s="1"/>
  <c r="G22" i="20"/>
  <c r="H22" i="20" s="1"/>
  <c r="M22" i="20"/>
  <c r="N22" i="20" s="1"/>
  <c r="J21" i="20"/>
  <c r="K21" i="20" s="1"/>
  <c r="P21" i="20"/>
  <c r="Q21" i="20" s="1"/>
  <c r="L19" i="17"/>
  <c r="M19" i="17" s="1"/>
  <c r="F19" i="17"/>
  <c r="G19" i="17" s="1"/>
  <c r="O20" i="17"/>
  <c r="P20" i="17" s="1"/>
  <c r="I20" i="17"/>
  <c r="J20" i="17" s="1"/>
  <c r="G23" i="20" l="1"/>
  <c r="H23" i="20" s="1"/>
  <c r="P22" i="20"/>
  <c r="Q22" i="20" s="1"/>
  <c r="M23" i="20"/>
  <c r="N23" i="20" s="1"/>
  <c r="J22" i="20"/>
  <c r="K22" i="20" s="1"/>
  <c r="I21" i="17"/>
  <c r="J21" i="17" s="1"/>
  <c r="O21" i="17"/>
  <c r="P21" i="17" s="1"/>
  <c r="F20" i="17"/>
  <c r="G20" i="17" s="1"/>
  <c r="L20" i="17"/>
  <c r="M20" i="17" s="1"/>
  <c r="G24" i="20" l="1"/>
  <c r="H24" i="20" s="1"/>
  <c r="J23" i="20"/>
  <c r="K23" i="20" s="1"/>
  <c r="P23" i="20"/>
  <c r="Q23" i="20" s="1"/>
  <c r="M24" i="20"/>
  <c r="N24" i="20" s="1"/>
  <c r="F21" i="17"/>
  <c r="G21" i="17" s="1"/>
  <c r="L21" i="17"/>
  <c r="M21" i="17" s="1"/>
  <c r="O22" i="17"/>
  <c r="P22" i="17" s="1"/>
  <c r="I22" i="17"/>
  <c r="J22" i="17" s="1"/>
  <c r="G25" i="20" l="1"/>
  <c r="H25" i="20" s="1"/>
  <c r="M25" i="20"/>
  <c r="N25" i="20" s="1"/>
  <c r="J24" i="20"/>
  <c r="K24" i="20" s="1"/>
  <c r="P24" i="20"/>
  <c r="Q24" i="20" s="1"/>
  <c r="I23" i="17"/>
  <c r="J23" i="17" s="1"/>
  <c r="O23" i="17"/>
  <c r="P23" i="17" s="1"/>
  <c r="L22" i="17"/>
  <c r="M22" i="17" s="1"/>
  <c r="F22" i="17"/>
  <c r="G22" i="17" s="1"/>
  <c r="G26" i="20" l="1"/>
  <c r="H26" i="20" s="1"/>
  <c r="P25" i="20"/>
  <c r="Q25" i="20" s="1"/>
  <c r="M26" i="20"/>
  <c r="N26" i="20" s="1"/>
  <c r="J25" i="20"/>
  <c r="K25" i="20" s="1"/>
  <c r="O24" i="17"/>
  <c r="P24" i="17" s="1"/>
  <c r="L23" i="17"/>
  <c r="M23" i="17" s="1"/>
  <c r="I24" i="17"/>
  <c r="J24" i="17" s="1"/>
  <c r="F23" i="17"/>
  <c r="G23" i="17" s="1"/>
  <c r="G27" i="20" l="1"/>
  <c r="H27" i="20" s="1"/>
  <c r="J26" i="20"/>
  <c r="K26" i="20" s="1"/>
  <c r="P26" i="20"/>
  <c r="Q26" i="20" s="1"/>
  <c r="M27" i="20"/>
  <c r="N27" i="20" s="1"/>
  <c r="I25" i="17"/>
  <c r="J25" i="17" s="1"/>
  <c r="F24" i="17"/>
  <c r="G24" i="17" s="1"/>
  <c r="L24" i="17"/>
  <c r="M24" i="17" s="1"/>
  <c r="O25" i="17"/>
  <c r="P25" i="17" s="1"/>
  <c r="M28" i="20" l="1"/>
  <c r="N28" i="20" s="1"/>
  <c r="J27" i="20"/>
  <c r="P27" i="20"/>
  <c r="Q27" i="20" s="1"/>
  <c r="G28" i="20"/>
  <c r="H28" i="20" s="1"/>
  <c r="I26" i="17"/>
  <c r="J26" i="17" s="1"/>
  <c r="L25" i="17"/>
  <c r="M25" i="17" s="1"/>
  <c r="O26" i="17"/>
  <c r="P26" i="17" s="1"/>
  <c r="F25" i="17"/>
  <c r="G25" i="17" s="1"/>
  <c r="K27" i="20" l="1"/>
  <c r="J28" i="20"/>
  <c r="K28" i="20" s="1"/>
  <c r="P28" i="20"/>
  <c r="Q28" i="20" s="1"/>
  <c r="G29" i="20"/>
  <c r="H29" i="20" s="1"/>
  <c r="M29" i="20"/>
  <c r="N29" i="20" s="1"/>
  <c r="O27" i="17"/>
  <c r="P27" i="17" s="1"/>
  <c r="F26" i="17"/>
  <c r="G26" i="17" s="1"/>
  <c r="L26" i="17"/>
  <c r="M26" i="17" s="1"/>
  <c r="I27" i="17"/>
  <c r="J27" i="17" s="1"/>
  <c r="G30" i="20" l="1"/>
  <c r="H30" i="20" s="1"/>
  <c r="P29" i="20"/>
  <c r="Q29" i="20" s="1"/>
  <c r="M30" i="20"/>
  <c r="I28" i="17"/>
  <c r="J28" i="17" s="1"/>
  <c r="O28" i="17"/>
  <c r="P28" i="17" s="1"/>
  <c r="F27" i="17"/>
  <c r="G27" i="17" s="1"/>
  <c r="L27" i="17"/>
  <c r="M27" i="17" s="1"/>
  <c r="N30" i="20" l="1"/>
  <c r="M31" i="20"/>
  <c r="N31" i="20" s="1"/>
  <c r="P30" i="20"/>
  <c r="Q30" i="20" s="1"/>
  <c r="G31" i="20"/>
  <c r="H31" i="20" s="1"/>
  <c r="F28" i="17"/>
  <c r="G28" i="17" s="1"/>
  <c r="L28" i="17"/>
  <c r="M28" i="17" s="1"/>
  <c r="P31" i="20" l="1"/>
  <c r="Q31" i="20" s="1"/>
  <c r="L9" i="14" l="1"/>
  <c r="L10" i="14" s="1"/>
  <c r="M10" i="14" s="1"/>
  <c r="O9" i="14"/>
  <c r="P9" i="14" s="1"/>
  <c r="P8" i="14"/>
  <c r="M8" i="14"/>
  <c r="O10" i="14" l="1"/>
  <c r="O11" i="14" s="1"/>
  <c r="P11" i="14" s="1"/>
  <c r="M9" i="14"/>
  <c r="P10" i="14"/>
  <c r="O12" i="14"/>
  <c r="P12" i="14" s="1"/>
  <c r="L11" i="14"/>
  <c r="M11" i="14" s="1"/>
  <c r="O13" i="14" l="1"/>
  <c r="P13" i="14" s="1"/>
  <c r="L12" i="14"/>
  <c r="M12" i="14" s="1"/>
  <c r="O14" i="14" l="1"/>
  <c r="P14" i="14" s="1"/>
  <c r="L13" i="14"/>
  <c r="M13" i="14" s="1"/>
  <c r="O15" i="14" l="1"/>
  <c r="P15" i="14" s="1"/>
  <c r="L14" i="14"/>
  <c r="M14" i="14" s="1"/>
  <c r="O14" i="1"/>
  <c r="O15" i="1"/>
  <c r="O16" i="1"/>
  <c r="O17" i="1"/>
  <c r="O18" i="1"/>
  <c r="O19" i="1"/>
  <c r="O20" i="1"/>
  <c r="O21" i="1"/>
  <c r="O22" i="1"/>
  <c r="O23" i="1"/>
  <c r="O24" i="1"/>
  <c r="O13" i="1"/>
  <c r="O12" i="1"/>
  <c r="L14" i="1"/>
  <c r="L15" i="1"/>
  <c r="L16" i="1"/>
  <c r="L17" i="1"/>
  <c r="L18" i="1"/>
  <c r="L19" i="1"/>
  <c r="L20" i="1"/>
  <c r="L21" i="1"/>
  <c r="L22" i="1"/>
  <c r="L23" i="1"/>
  <c r="L24" i="1"/>
  <c r="L13" i="1"/>
  <c r="L12" i="1"/>
  <c r="I14" i="1"/>
  <c r="I15" i="1"/>
  <c r="I16" i="1"/>
  <c r="I17" i="1"/>
  <c r="I18" i="1"/>
  <c r="I19" i="1"/>
  <c r="I20" i="1"/>
  <c r="I21" i="1"/>
  <c r="I22" i="1"/>
  <c r="I23" i="1"/>
  <c r="I24" i="1"/>
  <c r="I13" i="1"/>
  <c r="I12" i="1"/>
  <c r="L8" i="10"/>
  <c r="M8" i="10" s="1"/>
  <c r="I8" i="10"/>
  <c r="I9" i="10" s="1"/>
  <c r="J9" i="10" s="1"/>
  <c r="F8" i="10"/>
  <c r="G8" i="10" s="1"/>
  <c r="O16" i="14" l="1"/>
  <c r="P16" i="14" s="1"/>
  <c r="L15" i="14"/>
  <c r="M15" i="14" s="1"/>
  <c r="J8" i="10"/>
  <c r="F9" i="10"/>
  <c r="G9" i="10" s="1"/>
  <c r="I10" i="10"/>
  <c r="J10" i="10" s="1"/>
  <c r="L9" i="10"/>
  <c r="M9" i="10" s="1"/>
  <c r="O17" i="14" l="1"/>
  <c r="P17" i="14" s="1"/>
  <c r="L16" i="14"/>
  <c r="M16" i="14" s="1"/>
  <c r="I11" i="10"/>
  <c r="J11" i="10" s="1"/>
  <c r="L10" i="10"/>
  <c r="M10" i="10" s="1"/>
  <c r="F10" i="10"/>
  <c r="G10" i="10" s="1"/>
  <c r="O18" i="14" l="1"/>
  <c r="P18" i="14" s="1"/>
  <c r="L17" i="14"/>
  <c r="M17" i="14" s="1"/>
  <c r="I12" i="10"/>
  <c r="J12" i="10" s="1"/>
  <c r="L11" i="10"/>
  <c r="M11" i="10" s="1"/>
  <c r="F11" i="10"/>
  <c r="G11" i="10" s="1"/>
  <c r="K8" i="8"/>
  <c r="K9" i="8" s="1"/>
  <c r="H8" i="8"/>
  <c r="H9" i="8" s="1"/>
  <c r="E8" i="8"/>
  <c r="F8" i="8" s="1"/>
  <c r="L8" i="7"/>
  <c r="L9" i="7" s="1"/>
  <c r="I8" i="7"/>
  <c r="J8" i="7" s="1"/>
  <c r="F8" i="7"/>
  <c r="G8" i="7" s="1"/>
  <c r="O19" i="14" l="1"/>
  <c r="P19" i="14" s="1"/>
  <c r="L18" i="14"/>
  <c r="M18" i="14" s="1"/>
  <c r="E9" i="8"/>
  <c r="F9" i="8" s="1"/>
  <c r="L9" i="8"/>
  <c r="K10" i="8"/>
  <c r="L10" i="7"/>
  <c r="M9" i="7"/>
  <c r="I9" i="8"/>
  <c r="H10" i="8"/>
  <c r="M8" i="7"/>
  <c r="E10" i="8"/>
  <c r="I8" i="8"/>
  <c r="L8" i="8"/>
  <c r="I9" i="7"/>
  <c r="F9" i="7"/>
  <c r="L12" i="10"/>
  <c r="M12" i="10" s="1"/>
  <c r="F12" i="10"/>
  <c r="G12" i="10" s="1"/>
  <c r="I13" i="10"/>
  <c r="J13" i="10" s="1"/>
  <c r="M55" i="3"/>
  <c r="M54" i="3"/>
  <c r="M53" i="3"/>
  <c r="J53" i="3"/>
  <c r="G53" i="3"/>
  <c r="M52" i="3"/>
  <c r="J52" i="3"/>
  <c r="G52" i="3"/>
  <c r="O20" i="14" l="1"/>
  <c r="P20" i="14" s="1"/>
  <c r="L19" i="14"/>
  <c r="M19" i="14" s="1"/>
  <c r="H11" i="8"/>
  <c r="I10" i="8"/>
  <c r="M10" i="7"/>
  <c r="L11" i="7"/>
  <c r="F10" i="7"/>
  <c r="G9" i="7"/>
  <c r="J9" i="7"/>
  <c r="I10" i="7"/>
  <c r="E11" i="8"/>
  <c r="F10" i="8"/>
  <c r="K11" i="8"/>
  <c r="L10" i="8"/>
  <c r="I14" i="10"/>
  <c r="J14" i="10" s="1"/>
  <c r="F13" i="10"/>
  <c r="G13" i="10" s="1"/>
  <c r="L13" i="10"/>
  <c r="M13" i="10" s="1"/>
  <c r="M51" i="3"/>
  <c r="J51" i="3"/>
  <c r="G51" i="3"/>
  <c r="J50" i="3"/>
  <c r="M50" i="3"/>
  <c r="G50" i="3"/>
  <c r="O21" i="14" l="1"/>
  <c r="P21" i="14" s="1"/>
  <c r="L20" i="14"/>
  <c r="M20" i="14" s="1"/>
  <c r="F11" i="8"/>
  <c r="E12" i="8"/>
  <c r="F11" i="7"/>
  <c r="G10" i="7"/>
  <c r="H12" i="8"/>
  <c r="I11" i="8"/>
  <c r="J10" i="7"/>
  <c r="I11" i="7"/>
  <c r="M11" i="7"/>
  <c r="L12" i="7"/>
  <c r="K12" i="8"/>
  <c r="L11" i="8"/>
  <c r="F14" i="10"/>
  <c r="G14" i="10" s="1"/>
  <c r="L14" i="10"/>
  <c r="M14" i="10" s="1"/>
  <c r="I15" i="10"/>
  <c r="J15" i="10" s="1"/>
  <c r="M49" i="3"/>
  <c r="J49" i="3"/>
  <c r="G49" i="3"/>
  <c r="O22" i="14" l="1"/>
  <c r="P22" i="14" s="1"/>
  <c r="L21" i="14"/>
  <c r="M21" i="14" s="1"/>
  <c r="J11" i="7"/>
  <c r="I12" i="7"/>
  <c r="G11" i="7"/>
  <c r="F12" i="7"/>
  <c r="K13" i="8"/>
  <c r="L12" i="8"/>
  <c r="L13" i="7"/>
  <c r="M12" i="7"/>
  <c r="E13" i="8"/>
  <c r="F12" i="8"/>
  <c r="H13" i="8"/>
  <c r="I12" i="8"/>
  <c r="L15" i="10"/>
  <c r="M15" i="10" s="1"/>
  <c r="I16" i="10"/>
  <c r="J16" i="10" s="1"/>
  <c r="F15" i="10"/>
  <c r="G15" i="10" s="1"/>
  <c r="M48" i="3"/>
  <c r="J48" i="3"/>
  <c r="G48" i="3"/>
  <c r="J47" i="3"/>
  <c r="G47" i="3"/>
  <c r="M47" i="3"/>
  <c r="M46" i="3"/>
  <c r="J46" i="3"/>
  <c r="G46" i="3"/>
  <c r="M45" i="3"/>
  <c r="J45" i="3"/>
  <c r="G45" i="3"/>
  <c r="M44" i="3"/>
  <c r="J44" i="3"/>
  <c r="G44" i="3"/>
  <c r="O23" i="14" l="1"/>
  <c r="P23" i="14" s="1"/>
  <c r="L22" i="14"/>
  <c r="M22" i="14" s="1"/>
  <c r="F13" i="7"/>
  <c r="G12" i="7"/>
  <c r="H14" i="8"/>
  <c r="I13" i="8"/>
  <c r="L14" i="7"/>
  <c r="M13" i="7"/>
  <c r="I13" i="7"/>
  <c r="J12" i="7"/>
  <c r="E14" i="8"/>
  <c r="F13" i="8"/>
  <c r="K14" i="8"/>
  <c r="L13" i="8"/>
  <c r="I17" i="10"/>
  <c r="J17" i="10" s="1"/>
  <c r="F16" i="10"/>
  <c r="G16" i="10" s="1"/>
  <c r="L16" i="10"/>
  <c r="M16" i="10" s="1"/>
  <c r="M43" i="3"/>
  <c r="J43" i="3"/>
  <c r="G43" i="3"/>
  <c r="O24" i="14" l="1"/>
  <c r="P24" i="14" s="1"/>
  <c r="L23" i="14"/>
  <c r="M23" i="14" s="1"/>
  <c r="K15" i="8"/>
  <c r="L14" i="8"/>
  <c r="I14" i="7"/>
  <c r="J13" i="7"/>
  <c r="H15" i="8"/>
  <c r="I14" i="8"/>
  <c r="E15" i="8"/>
  <c r="F14" i="8"/>
  <c r="L15" i="7"/>
  <c r="M14" i="7"/>
  <c r="F14" i="7"/>
  <c r="G13" i="7"/>
  <c r="F17" i="10"/>
  <c r="G17" i="10" s="1"/>
  <c r="L17" i="10"/>
  <c r="M17" i="10" s="1"/>
  <c r="I18" i="10"/>
  <c r="J18" i="10" s="1"/>
  <c r="M42" i="3"/>
  <c r="J42" i="3"/>
  <c r="G42" i="3"/>
  <c r="M41" i="3"/>
  <c r="J41" i="3"/>
  <c r="G41" i="3"/>
  <c r="O25" i="14" l="1"/>
  <c r="P25" i="14" s="1"/>
  <c r="L24" i="14"/>
  <c r="M24" i="14" s="1"/>
  <c r="F15" i="7"/>
  <c r="G14" i="7"/>
  <c r="E16" i="8"/>
  <c r="F15" i="8"/>
  <c r="H16" i="8"/>
  <c r="I15" i="8"/>
  <c r="K16" i="8"/>
  <c r="L15" i="8"/>
  <c r="L16" i="7"/>
  <c r="M15" i="7"/>
  <c r="I15" i="7"/>
  <c r="J14" i="7"/>
  <c r="L18" i="10"/>
  <c r="M18" i="10" s="1"/>
  <c r="I19" i="10"/>
  <c r="J19" i="10" s="1"/>
  <c r="F18" i="10"/>
  <c r="G18" i="10" s="1"/>
  <c r="G40" i="3"/>
  <c r="M40" i="3"/>
  <c r="J40" i="3"/>
  <c r="M39" i="3"/>
  <c r="J39" i="3"/>
  <c r="G39" i="3"/>
  <c r="O26" i="14" l="1"/>
  <c r="P26" i="14" s="1"/>
  <c r="L25" i="14"/>
  <c r="M25" i="14" s="1"/>
  <c r="I16" i="7"/>
  <c r="J15" i="7"/>
  <c r="E17" i="8"/>
  <c r="F16" i="8"/>
  <c r="L17" i="7"/>
  <c r="M16" i="7"/>
  <c r="K17" i="8"/>
  <c r="L16" i="8"/>
  <c r="H17" i="8"/>
  <c r="I16" i="8"/>
  <c r="F16" i="7"/>
  <c r="G15" i="7"/>
  <c r="I20" i="10"/>
  <c r="J20" i="10" s="1"/>
  <c r="F19" i="10"/>
  <c r="G19" i="10" s="1"/>
  <c r="L19" i="10"/>
  <c r="M19" i="10" s="1"/>
  <c r="M38" i="3"/>
  <c r="J38" i="3"/>
  <c r="G38" i="3"/>
  <c r="M37" i="3"/>
  <c r="J37" i="3"/>
  <c r="G37" i="3"/>
  <c r="M36" i="3"/>
  <c r="J36" i="3"/>
  <c r="G36" i="3"/>
  <c r="M35" i="3"/>
  <c r="J35" i="3"/>
  <c r="G35" i="3"/>
  <c r="M34" i="3"/>
  <c r="J34" i="3"/>
  <c r="G34" i="3"/>
  <c r="G33" i="3"/>
  <c r="J33" i="3"/>
  <c r="M33" i="3"/>
  <c r="M32" i="3"/>
  <c r="J32" i="3"/>
  <c r="G32" i="3"/>
  <c r="N14" i="6"/>
  <c r="O14" i="6" s="1"/>
  <c r="K14" i="6"/>
  <c r="L14" i="6" s="1"/>
  <c r="O9" i="6"/>
  <c r="O10" i="6"/>
  <c r="O11" i="6"/>
  <c r="O12" i="6"/>
  <c r="O13" i="6"/>
  <c r="L9" i="6"/>
  <c r="L10" i="6"/>
  <c r="L11" i="6"/>
  <c r="L12" i="6"/>
  <c r="L13" i="6"/>
  <c r="H15" i="6"/>
  <c r="I15" i="6" s="1"/>
  <c r="I9" i="6"/>
  <c r="I10" i="6"/>
  <c r="I11" i="6"/>
  <c r="I12" i="6"/>
  <c r="I13" i="6"/>
  <c r="I14" i="6"/>
  <c r="I8" i="6"/>
  <c r="L8" i="6"/>
  <c r="O8" i="6"/>
  <c r="M31" i="3"/>
  <c r="J31" i="3"/>
  <c r="G31" i="3"/>
  <c r="G30" i="3"/>
  <c r="M30" i="3"/>
  <c r="J30" i="3"/>
  <c r="M29" i="3"/>
  <c r="J29" i="3"/>
  <c r="G29" i="3"/>
  <c r="L26" i="14" l="1"/>
  <c r="M26" i="14" s="1"/>
  <c r="F17" i="7"/>
  <c r="G16" i="7"/>
  <c r="K18" i="8"/>
  <c r="L17" i="8"/>
  <c r="E18" i="8"/>
  <c r="F17" i="8"/>
  <c r="N15" i="6"/>
  <c r="H18" i="8"/>
  <c r="I17" i="8"/>
  <c r="L18" i="7"/>
  <c r="M17" i="7"/>
  <c r="I17" i="7"/>
  <c r="J16" i="7"/>
  <c r="F20" i="10"/>
  <c r="G20" i="10" s="1"/>
  <c r="L20" i="10"/>
  <c r="M20" i="10" s="1"/>
  <c r="I21" i="10"/>
  <c r="J21" i="10" s="1"/>
  <c r="H16" i="6"/>
  <c r="K15" i="6"/>
  <c r="M28" i="3"/>
  <c r="J28" i="3"/>
  <c r="G28" i="3"/>
  <c r="M27" i="3"/>
  <c r="J27" i="3"/>
  <c r="G27" i="3"/>
  <c r="O15" i="6" l="1"/>
  <c r="N16" i="6"/>
  <c r="I18" i="7"/>
  <c r="J17" i="7"/>
  <c r="H19" i="8"/>
  <c r="I18" i="8"/>
  <c r="E19" i="8"/>
  <c r="F18" i="8"/>
  <c r="F18" i="7"/>
  <c r="G17" i="7"/>
  <c r="K19" i="8"/>
  <c r="L18" i="8"/>
  <c r="L19" i="7"/>
  <c r="M18" i="7"/>
  <c r="L21" i="10"/>
  <c r="M21" i="10" s="1"/>
  <c r="I22" i="10"/>
  <c r="J22" i="10" s="1"/>
  <c r="F21" i="10"/>
  <c r="G21" i="10" s="1"/>
  <c r="H17" i="6"/>
  <c r="I16" i="6"/>
  <c r="K16" i="6"/>
  <c r="L15" i="6"/>
  <c r="M26" i="3"/>
  <c r="J26" i="3"/>
  <c r="G26" i="3"/>
  <c r="M25" i="3"/>
  <c r="J25" i="3"/>
  <c r="G25" i="3"/>
  <c r="G24" i="3"/>
  <c r="M24" i="3"/>
  <c r="J24" i="3"/>
  <c r="M23" i="3"/>
  <c r="J23" i="3"/>
  <c r="G23" i="3"/>
  <c r="L20" i="7" l="1"/>
  <c r="M19" i="7"/>
  <c r="F19" i="7"/>
  <c r="G18" i="7"/>
  <c r="I19" i="7"/>
  <c r="J18" i="7"/>
  <c r="O16" i="6"/>
  <c r="N17" i="6"/>
  <c r="K20" i="8"/>
  <c r="L19" i="8"/>
  <c r="E20" i="8"/>
  <c r="F19" i="8"/>
  <c r="H20" i="8"/>
  <c r="I19" i="8"/>
  <c r="I23" i="10"/>
  <c r="J23" i="10" s="1"/>
  <c r="F22" i="10"/>
  <c r="G22" i="10" s="1"/>
  <c r="L22" i="10"/>
  <c r="M22" i="10" s="1"/>
  <c r="K17" i="6"/>
  <c r="L16" i="6"/>
  <c r="I17" i="6"/>
  <c r="H18" i="6"/>
  <c r="M22" i="3"/>
  <c r="J22" i="3"/>
  <c r="G22" i="3"/>
  <c r="M21" i="3"/>
  <c r="J21" i="3"/>
  <c r="G21" i="3"/>
  <c r="M20" i="3"/>
  <c r="J20" i="3"/>
  <c r="G20" i="3"/>
  <c r="M19" i="3"/>
  <c r="J19" i="3"/>
  <c r="G19" i="3"/>
  <c r="M18" i="3"/>
  <c r="J18" i="3"/>
  <c r="G18" i="3"/>
  <c r="O17" i="6" l="1"/>
  <c r="N18" i="6"/>
  <c r="H21" i="8"/>
  <c r="I20" i="8"/>
  <c r="K21" i="8"/>
  <c r="L20" i="8"/>
  <c r="L21" i="7"/>
  <c r="M20" i="7"/>
  <c r="E21" i="8"/>
  <c r="F20" i="8"/>
  <c r="I20" i="7"/>
  <c r="J19" i="7"/>
  <c r="F20" i="7"/>
  <c r="G19" i="7"/>
  <c r="F23" i="10"/>
  <c r="G23" i="10" s="1"/>
  <c r="L23" i="10"/>
  <c r="M23" i="10" s="1"/>
  <c r="I24" i="10"/>
  <c r="J24" i="10" s="1"/>
  <c r="L17" i="6"/>
  <c r="K18" i="6"/>
  <c r="H19" i="6"/>
  <c r="I18" i="6"/>
  <c r="M17" i="3"/>
  <c r="G17" i="3"/>
  <c r="J17" i="3"/>
  <c r="M9" i="3"/>
  <c r="M10" i="3"/>
  <c r="M11" i="3"/>
  <c r="M12" i="3"/>
  <c r="M13" i="3"/>
  <c r="M14" i="3"/>
  <c r="M15" i="3"/>
  <c r="M16" i="3"/>
  <c r="M8" i="3"/>
  <c r="J11" i="3"/>
  <c r="J12" i="3"/>
  <c r="J13" i="3"/>
  <c r="J14" i="3"/>
  <c r="J15" i="3"/>
  <c r="J16" i="3"/>
  <c r="J10" i="3"/>
  <c r="G10" i="3"/>
  <c r="G11" i="3"/>
  <c r="G12" i="3"/>
  <c r="G13" i="3"/>
  <c r="G14" i="3"/>
  <c r="G15" i="3"/>
  <c r="G16" i="3"/>
  <c r="G9" i="3"/>
  <c r="I21" i="7" l="1"/>
  <c r="J20" i="7"/>
  <c r="E22" i="8"/>
  <c r="F21" i="8"/>
  <c r="H22" i="8"/>
  <c r="I21" i="8"/>
  <c r="F21" i="7"/>
  <c r="G20" i="7"/>
  <c r="N19" i="6"/>
  <c r="O18" i="6"/>
  <c r="L22" i="7"/>
  <c r="M21" i="7"/>
  <c r="K22" i="8"/>
  <c r="L21" i="8"/>
  <c r="L24" i="10"/>
  <c r="M24" i="10" s="1"/>
  <c r="I25" i="10"/>
  <c r="J25" i="10" s="1"/>
  <c r="F24" i="10"/>
  <c r="G24" i="10" s="1"/>
  <c r="H20" i="6"/>
  <c r="I19" i="6"/>
  <c r="K19" i="6"/>
  <c r="L18" i="6"/>
  <c r="K23" i="8" l="1"/>
  <c r="L22" i="8"/>
  <c r="N20" i="6"/>
  <c r="O19" i="6"/>
  <c r="F22" i="7"/>
  <c r="G21" i="7"/>
  <c r="I22" i="7"/>
  <c r="J21" i="7"/>
  <c r="L23" i="7"/>
  <c r="M22" i="7"/>
  <c r="H23" i="8"/>
  <c r="I22" i="8"/>
  <c r="E23" i="8"/>
  <c r="F22" i="8"/>
  <c r="I26" i="10"/>
  <c r="J26" i="10" s="1"/>
  <c r="F25" i="10"/>
  <c r="G25" i="10" s="1"/>
  <c r="L25" i="10"/>
  <c r="M25" i="10" s="1"/>
  <c r="K20" i="6"/>
  <c r="L19" i="6"/>
  <c r="H21" i="6"/>
  <c r="I20" i="6"/>
  <c r="H24" i="8" l="1"/>
  <c r="I23" i="8"/>
  <c r="L24" i="7"/>
  <c r="M23" i="7"/>
  <c r="N21" i="6"/>
  <c r="O20" i="6"/>
  <c r="E24" i="8"/>
  <c r="F23" i="8"/>
  <c r="I23" i="7"/>
  <c r="J22" i="7"/>
  <c r="F23" i="7"/>
  <c r="G22" i="7"/>
  <c r="K24" i="8"/>
  <c r="L23" i="8"/>
  <c r="F26" i="10"/>
  <c r="G26" i="10" s="1"/>
  <c r="L26" i="10"/>
  <c r="M26" i="10" s="1"/>
  <c r="I27" i="10"/>
  <c r="J27" i="10" s="1"/>
  <c r="H22" i="6"/>
  <c r="I21" i="6"/>
  <c r="K21" i="6"/>
  <c r="L20" i="6"/>
  <c r="H25" i="8" l="1"/>
  <c r="I24" i="8"/>
  <c r="F24" i="7"/>
  <c r="G23" i="7"/>
  <c r="K25" i="8"/>
  <c r="L24" i="8"/>
  <c r="I24" i="7"/>
  <c r="J23" i="7"/>
  <c r="E25" i="8"/>
  <c r="F24" i="8"/>
  <c r="N22" i="6"/>
  <c r="O21" i="6"/>
  <c r="L25" i="7"/>
  <c r="M24" i="7"/>
  <c r="L27" i="10"/>
  <c r="M27" i="10" s="1"/>
  <c r="I28" i="10"/>
  <c r="J28" i="10" s="1"/>
  <c r="F27" i="10"/>
  <c r="G27" i="10" s="1"/>
  <c r="K22" i="6"/>
  <c r="L21" i="6"/>
  <c r="H23" i="6"/>
  <c r="I22" i="6"/>
  <c r="N23" i="6" l="1"/>
  <c r="O22" i="6"/>
  <c r="I25" i="7"/>
  <c r="J24" i="7"/>
  <c r="H26" i="8"/>
  <c r="I25" i="8"/>
  <c r="L26" i="7"/>
  <c r="M25" i="7"/>
  <c r="E26" i="8"/>
  <c r="F25" i="8"/>
  <c r="K26" i="8"/>
  <c r="L25" i="8"/>
  <c r="F25" i="7"/>
  <c r="G24" i="7"/>
  <c r="I29" i="10"/>
  <c r="J29" i="10" s="1"/>
  <c r="F28" i="10"/>
  <c r="G28" i="10" s="1"/>
  <c r="L28" i="10"/>
  <c r="M28" i="10" s="1"/>
  <c r="K23" i="6"/>
  <c r="L22" i="6"/>
  <c r="H24" i="6"/>
  <c r="I23" i="6"/>
  <c r="K27" i="8" l="1"/>
  <c r="L26" i="8"/>
  <c r="L27" i="7"/>
  <c r="M26" i="7"/>
  <c r="N24" i="6"/>
  <c r="O23" i="6"/>
  <c r="F26" i="7"/>
  <c r="G25" i="7"/>
  <c r="E27" i="8"/>
  <c r="F26" i="8"/>
  <c r="H27" i="8"/>
  <c r="I26" i="8"/>
  <c r="I26" i="7"/>
  <c r="J25" i="7"/>
  <c r="F29" i="10"/>
  <c r="G29" i="10" s="1"/>
  <c r="L29" i="10"/>
  <c r="M29" i="10" s="1"/>
  <c r="I30" i="10"/>
  <c r="J30" i="10" s="1"/>
  <c r="H25" i="6"/>
  <c r="I24" i="6"/>
  <c r="K24" i="6"/>
  <c r="L23" i="6"/>
  <c r="H28" i="8" l="1"/>
  <c r="I27" i="8"/>
  <c r="F27" i="7"/>
  <c r="G26" i="7"/>
  <c r="K28" i="8"/>
  <c r="L27" i="8"/>
  <c r="I27" i="7"/>
  <c r="J26" i="7"/>
  <c r="E28" i="8"/>
  <c r="F27" i="8"/>
  <c r="N25" i="6"/>
  <c r="O24" i="6"/>
  <c r="L28" i="7"/>
  <c r="M27" i="7"/>
  <c r="L30" i="10"/>
  <c r="M30" i="10" s="1"/>
  <c r="I31" i="10"/>
  <c r="J31" i="10" s="1"/>
  <c r="F30" i="10"/>
  <c r="G30" i="10" s="1"/>
  <c r="K25" i="6"/>
  <c r="L24" i="6"/>
  <c r="H26" i="6"/>
  <c r="I25" i="6"/>
  <c r="N26" i="6" l="1"/>
  <c r="O25" i="6"/>
  <c r="I28" i="7"/>
  <c r="J27" i="7"/>
  <c r="H29" i="8"/>
  <c r="I28" i="8"/>
  <c r="L29" i="7"/>
  <c r="M28" i="7"/>
  <c r="E29" i="8"/>
  <c r="F28" i="8"/>
  <c r="K29" i="8"/>
  <c r="L28" i="8"/>
  <c r="F28" i="7"/>
  <c r="G27" i="7"/>
  <c r="I32" i="10"/>
  <c r="J32" i="10" s="1"/>
  <c r="F31" i="10"/>
  <c r="G31" i="10" s="1"/>
  <c r="L31" i="10"/>
  <c r="M31" i="10" s="1"/>
  <c r="K26" i="6"/>
  <c r="L25" i="6"/>
  <c r="H27" i="6"/>
  <c r="I26" i="6"/>
  <c r="F29" i="7" l="1"/>
  <c r="G28" i="7"/>
  <c r="E30" i="8"/>
  <c r="F29" i="8"/>
  <c r="N27" i="6"/>
  <c r="O26" i="6"/>
  <c r="I27" i="6"/>
  <c r="H28" i="6"/>
  <c r="K30" i="8"/>
  <c r="L29" i="8"/>
  <c r="L30" i="7"/>
  <c r="M29" i="7"/>
  <c r="H30" i="8"/>
  <c r="I29" i="8"/>
  <c r="I29" i="7"/>
  <c r="J28" i="7"/>
  <c r="F32" i="10"/>
  <c r="G32" i="10" s="1"/>
  <c r="L32" i="10"/>
  <c r="M32" i="10" s="1"/>
  <c r="I33" i="10"/>
  <c r="J33" i="10" s="1"/>
  <c r="K27" i="6"/>
  <c r="L26" i="6"/>
  <c r="I28" i="6" l="1"/>
  <c r="H29" i="6"/>
  <c r="I29" i="6" s="1"/>
  <c r="I30" i="7"/>
  <c r="J29" i="7"/>
  <c r="L31" i="7"/>
  <c r="M30" i="7"/>
  <c r="E31" i="8"/>
  <c r="F30" i="8"/>
  <c r="L27" i="6"/>
  <c r="K28" i="6"/>
  <c r="H31" i="8"/>
  <c r="I30" i="8"/>
  <c r="K31" i="8"/>
  <c r="L30" i="8"/>
  <c r="O27" i="6"/>
  <c r="N28" i="6"/>
  <c r="F30" i="7"/>
  <c r="G29" i="7"/>
  <c r="L33" i="10"/>
  <c r="M33" i="10" s="1"/>
  <c r="I34" i="10"/>
  <c r="J34" i="10" s="1"/>
  <c r="F33" i="10"/>
  <c r="G33" i="10" s="1"/>
  <c r="N29" i="6" l="1"/>
  <c r="O29" i="6" s="1"/>
  <c r="O28" i="6"/>
  <c r="K29" i="6"/>
  <c r="L29" i="6" s="1"/>
  <c r="L28" i="6"/>
  <c r="F31" i="7"/>
  <c r="G30" i="7"/>
  <c r="H32" i="8"/>
  <c r="I31" i="8"/>
  <c r="E32" i="8"/>
  <c r="F31" i="8"/>
  <c r="I31" i="7"/>
  <c r="J30" i="7"/>
  <c r="K32" i="8"/>
  <c r="L31" i="8"/>
  <c r="L32" i="7"/>
  <c r="M31" i="7"/>
  <c r="I35" i="10"/>
  <c r="F34" i="10"/>
  <c r="G34" i="10" s="1"/>
  <c r="L34" i="10"/>
  <c r="M34" i="10" s="1"/>
  <c r="K33" i="8" l="1"/>
  <c r="L32" i="8"/>
  <c r="I32" i="7"/>
  <c r="J31" i="7"/>
  <c r="H33" i="8"/>
  <c r="I32" i="8"/>
  <c r="J35" i="10"/>
  <c r="I36" i="10"/>
  <c r="J36" i="10" s="1"/>
  <c r="L33" i="7"/>
  <c r="M32" i="7"/>
  <c r="E33" i="8"/>
  <c r="F32" i="8"/>
  <c r="F32" i="7"/>
  <c r="G31" i="7"/>
  <c r="F35" i="10"/>
  <c r="L35" i="10"/>
  <c r="G35" i="10" l="1"/>
  <c r="F36" i="10"/>
  <c r="G36" i="10" s="1"/>
  <c r="F33" i="7"/>
  <c r="G32" i="7"/>
  <c r="I33" i="7"/>
  <c r="J32" i="7"/>
  <c r="L34" i="7"/>
  <c r="M33" i="7"/>
  <c r="M35" i="10"/>
  <c r="L36" i="10"/>
  <c r="M36" i="10" s="1"/>
  <c r="E34" i="8"/>
  <c r="F33" i="8"/>
  <c r="H34" i="8"/>
  <c r="I33" i="8"/>
  <c r="K34" i="8"/>
  <c r="L33" i="8"/>
  <c r="K35" i="8" l="1"/>
  <c r="L35" i="8" s="1"/>
  <c r="L34" i="8"/>
  <c r="I34" i="7"/>
  <c r="J33" i="7"/>
  <c r="H35" i="8"/>
  <c r="I35" i="8" s="1"/>
  <c r="I34" i="8"/>
  <c r="E35" i="8"/>
  <c r="F35" i="8" s="1"/>
  <c r="F34" i="8"/>
  <c r="L35" i="7"/>
  <c r="M35" i="7" s="1"/>
  <c r="M34" i="7"/>
  <c r="F34" i="7"/>
  <c r="G33" i="7"/>
  <c r="F35" i="7" l="1"/>
  <c r="G34" i="7"/>
  <c r="I35" i="7"/>
  <c r="J34" i="7"/>
  <c r="I36" i="7" l="1"/>
  <c r="J36" i="7" s="1"/>
  <c r="J35" i="7"/>
  <c r="F36" i="7"/>
  <c r="G36" i="7" s="1"/>
  <c r="G35" i="7"/>
</calcChain>
</file>

<file path=xl/sharedStrings.xml><?xml version="1.0" encoding="utf-8"?>
<sst xmlns="http://schemas.openxmlformats.org/spreadsheetml/2006/main" count="215" uniqueCount="77">
  <si>
    <t>Courtship conditioning 2-3.4.19</t>
  </si>
  <si>
    <t>starvation 3-4.4.19 on 1% agar</t>
  </si>
  <si>
    <t>Rejected</t>
  </si>
  <si>
    <t>Mated</t>
  </si>
  <si>
    <t>Dead</t>
  </si>
  <si>
    <t xml:space="preserve">Alive </t>
  </si>
  <si>
    <t>% Alive</t>
  </si>
  <si>
    <t>t (hr)</t>
  </si>
  <si>
    <t>days</t>
  </si>
  <si>
    <t>Courtship conditioning: 29.4.19</t>
  </si>
  <si>
    <t>collected on: 24.4.19</t>
  </si>
  <si>
    <t>food changed every week</t>
  </si>
  <si>
    <t>NPFRG4\TKLexA;LexAopFLPL\UAS&lt;dsFRT&lt;Cs-Chrimson-mVenus</t>
  </si>
  <si>
    <t>Control TKLexA;LexAopFLPL\+</t>
  </si>
  <si>
    <t>Control NPFRG4;UAS&lt;dsFRT&lt;Cs-Chrimson-mVenus\+</t>
  </si>
  <si>
    <t>activation on small led boxes for 5 minutes X 3 times a day X 2days</t>
  </si>
  <si>
    <t>Instead of courtship conditioning- in the begining of every conditioning hour.</t>
  </si>
  <si>
    <t>EXP: DH44G4\NPFRRNAi</t>
  </si>
  <si>
    <t>Control TKLexA;DH44 G4</t>
  </si>
  <si>
    <t>Control TK LEAX; NPFRRNAi</t>
  </si>
  <si>
    <r>
      <rPr>
        <b/>
        <sz val="14"/>
        <color theme="1"/>
        <rFont val="Calibri"/>
        <family val="2"/>
        <scheme val="minor"/>
      </rPr>
      <t>Collected</t>
    </r>
    <r>
      <rPr>
        <sz val="14"/>
        <color theme="1"/>
        <rFont val="Calibri"/>
        <family val="2"/>
        <scheme val="minor"/>
      </rPr>
      <t>: 23-24.7  single housed</t>
    </r>
  </si>
  <si>
    <r>
      <rPr>
        <b/>
        <sz val="14"/>
        <color theme="1"/>
        <rFont val="Calibri"/>
        <family val="2"/>
        <scheme val="minor"/>
      </rPr>
      <t>Conditioning</t>
    </r>
    <r>
      <rPr>
        <sz val="14"/>
        <color theme="1"/>
        <rFont val="Calibri"/>
        <family val="2"/>
        <scheme val="minor"/>
      </rPr>
      <t xml:space="preserve"> (handeling) 28-29.7</t>
    </r>
  </si>
  <si>
    <r>
      <rPr>
        <b/>
        <sz val="14"/>
        <color theme="1"/>
        <rFont val="Calibri"/>
        <family val="2"/>
        <scheme val="minor"/>
      </rPr>
      <t xml:space="preserve">Starvation </t>
    </r>
    <r>
      <rPr>
        <sz val="14"/>
        <color theme="1"/>
        <rFont val="Calibri"/>
        <family val="2"/>
        <scheme val="minor"/>
      </rPr>
      <t>(1%agar) began on 29.7</t>
    </r>
  </si>
  <si>
    <r>
      <rPr>
        <b/>
        <sz val="14"/>
        <color theme="1"/>
        <rFont val="Calibri"/>
        <family val="2"/>
        <scheme val="minor"/>
      </rPr>
      <t>Conditioning</t>
    </r>
    <r>
      <rPr>
        <sz val="14"/>
        <color theme="1"/>
        <rFont val="Calibri"/>
        <family val="2"/>
        <scheme val="minor"/>
      </rPr>
      <t xml:space="preserve"> 12-13.8</t>
    </r>
  </si>
  <si>
    <r>
      <rPr>
        <b/>
        <sz val="14"/>
        <color theme="1"/>
        <rFont val="Calibri"/>
        <family val="2"/>
        <scheme val="minor"/>
      </rPr>
      <t xml:space="preserve">Starvation </t>
    </r>
    <r>
      <rPr>
        <sz val="14"/>
        <color theme="1"/>
        <rFont val="Calibri"/>
        <family val="2"/>
        <scheme val="minor"/>
      </rPr>
      <t>(1%agar) began on 13.8</t>
    </r>
  </si>
  <si>
    <t>EXP: NPFRG4; UAS csChrimson</t>
  </si>
  <si>
    <t>7-8.6</t>
  </si>
  <si>
    <t>8-10.6 starvation</t>
  </si>
  <si>
    <t>Only experimental flies were subjected to red led lights. Control flies were kept in dark (were handled)</t>
  </si>
  <si>
    <t>exp  Light+heat</t>
  </si>
  <si>
    <t>Control  heat Dark</t>
  </si>
  <si>
    <t>Control Dark Cold</t>
  </si>
  <si>
    <t>Control Light Cold</t>
  </si>
  <si>
    <t>Activation with red leds for 2 days, 3 times a day for 5 minutes</t>
  </si>
  <si>
    <t>Shibiri- 10 minutes in 28 C for the experiment. Another 5 minutes for the heat control (while the experimental flies are activated).</t>
  </si>
  <si>
    <t>between experiments- kept in 19-20 C.</t>
  </si>
  <si>
    <t>heat (experimental and control) flies were transferred to preheated (28C) statives before each session.</t>
  </si>
  <si>
    <t>22.3-23.3</t>
  </si>
  <si>
    <t>23.3-25.3</t>
  </si>
  <si>
    <t>Activation 22-23.8.21</t>
  </si>
  <si>
    <t>Starvation 23-25.8.21</t>
  </si>
  <si>
    <t>Activation 7-8.11.21</t>
  </si>
  <si>
    <t>Starvation 8-10.11.21</t>
  </si>
  <si>
    <t>collected on17-18.11.21   single housed males</t>
  </si>
  <si>
    <t>Starvation 22-24.11.21</t>
  </si>
  <si>
    <t>Single-Naïve</t>
  </si>
  <si>
    <t>WT courtship conditioning: 18-19.1.21</t>
  </si>
  <si>
    <t>males collected on 12.1.21</t>
  </si>
  <si>
    <t>Oxidative stress: 20mM paraquat 19-20.1.21</t>
  </si>
  <si>
    <t>NPFR G4;UAS NPFR RNAi</t>
  </si>
  <si>
    <t xml:space="preserve">Courtship conditioning 21-22.11 </t>
  </si>
  <si>
    <t>Control NPFRG4; UAS csChrimson  (Dark)</t>
  </si>
  <si>
    <t xml:space="preserve">light-cold control- the white board was kept in 4C between sessions. Stative was kept in 4C while flies were exposed to leds. The white board of the experimental flies was kept in 28C between sessions, and so were the extra statives </t>
  </si>
  <si>
    <t>NPFR G4;Cs-Chrimson,Shibiri</t>
  </si>
  <si>
    <t>Activation</t>
  </si>
  <si>
    <t>Starvation</t>
  </si>
  <si>
    <t>DH44 G4 &gt; csChrimson</t>
  </si>
  <si>
    <t>exp Dh44 G4 &gt; csChrimson</t>
  </si>
  <si>
    <t>Dark  Dh44 G4 &gt; csChrimson</t>
  </si>
  <si>
    <t>NPFR-TK &gt; csChrimson</t>
  </si>
  <si>
    <t>Longavity WT flies</t>
  </si>
  <si>
    <t>NPFRG4;NPFLexA &gt; csChrimson</t>
  </si>
  <si>
    <t>exp NPFRG4;NPFLexA &gt; csChrimson</t>
  </si>
  <si>
    <t>Dark NPFRG4;NPFLexA &gt; csChrimson</t>
  </si>
  <si>
    <t>Genetic Control1 NPFR Gal4\+;NPF LexA\+</t>
  </si>
  <si>
    <t>Genetic Control2 LexAop FLPL\+;UAS&gt;dsFRT&gt;csChrimsom-mVenus\+</t>
  </si>
  <si>
    <t>Genetic Control1 Dh44\+</t>
  </si>
  <si>
    <t>Genetic Control2 CS-Chrimsom\+</t>
  </si>
  <si>
    <t>NPFRG4 &gt; csChrimson</t>
  </si>
  <si>
    <t>DH44G4;UAS-NPFRRNAi  males</t>
  </si>
  <si>
    <r>
      <rPr>
        <b/>
        <sz val="14"/>
        <color theme="1"/>
        <rFont val="Calibri"/>
        <family val="2"/>
        <scheme val="minor"/>
      </rPr>
      <t>Conditioning</t>
    </r>
    <r>
      <rPr>
        <sz val="14"/>
        <color theme="1"/>
        <rFont val="Calibri"/>
        <family val="2"/>
        <scheme val="minor"/>
      </rPr>
      <t xml:space="preserve"> (handling) 28-29.7</t>
    </r>
  </si>
  <si>
    <t>NPFRG4; UAS-TKRNAi males</t>
  </si>
  <si>
    <t>Control NPFRG4\+</t>
  </si>
  <si>
    <t>Control TK RNAi\+</t>
  </si>
  <si>
    <t>EXP: NPFRG4\UAS-TK RNAi</t>
  </si>
  <si>
    <r>
      <rPr>
        <b/>
        <sz val="14"/>
        <color theme="1"/>
        <rFont val="Calibri"/>
        <family val="2"/>
        <scheme val="minor"/>
      </rPr>
      <t>Collected</t>
    </r>
    <r>
      <rPr>
        <sz val="14"/>
        <color theme="1"/>
        <rFont val="Calibri"/>
        <family val="2"/>
        <scheme val="minor"/>
      </rPr>
      <t>: 7.8 single housed</t>
    </r>
  </si>
  <si>
    <t>WT males Starvation resistance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</si>
</sst>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b/>
      <sz val="12"/>
      <color theme="1"/>
      <name val="Calibri"/>
      <family val="2"/>
      <scheme val="minor"/>
    </font>
    <font>
      <b/>
      <sz val="18"/>
      <color theme="1"/>
      <name val="Calibri"/>
      <family val="2"/>
      <scheme val="minor"/>
    </font>
    <font>
      <b/>
      <sz val="14"/>
      <color theme="1"/>
      <name val="Calibri"/>
      <family val="2"/>
      <scheme val="minor"/>
    </font>
    <font>
      <b/>
      <sz val="11"/>
      <color theme="1"/>
      <name val="Calibri"/>
      <family val="2"/>
      <scheme val="minor"/>
    </font>
    <font>
      <sz val="10"/>
      <color rgb="FF000000"/>
      <name val="Lucida Console"/>
      <family val="2"/>
    </font>
    <font>
      <sz val="16"/>
      <color theme="1"/>
      <name val="Calibri"/>
      <family val="2"/>
      <scheme val="minor"/>
    </font>
    <font>
      <b/>
      <sz val="14"/>
      <color rgb="FF000000"/>
      <name val="Calibri"/>
      <family val="2"/>
      <scheme val="minor"/>
    </font>
    <font>
      <b/>
      <sz val="10"/>
      <color theme="1"/>
      <name val="Calibri"/>
      <family val="2"/>
      <scheme val="minor"/>
    </font>
    <font>
      <b/>
      <sz val="16"/>
      <color theme="1"/>
      <name val="Calibri"/>
      <family val="2"/>
      <scheme val="minor"/>
    </font>
    <font>
      <b/>
      <u/>
      <sz val="11"/>
      <color theme="1"/>
      <name val="Calibri"/>
      <family val="2"/>
      <scheme val="minor"/>
    </font>
    <font>
      <sz val="18"/>
      <color theme="1"/>
      <name val="Calibri"/>
      <family val="2"/>
      <scheme val="minor"/>
    </font>
    <font>
      <sz val="12"/>
      <color rgb="FF222222"/>
      <name val="Arial"/>
      <family val="2"/>
    </font>
    <font>
      <b/>
      <sz val="22"/>
      <color theme="1"/>
      <name val="Calibri"/>
      <family val="2"/>
      <scheme val="minor"/>
    </font>
    <font>
      <sz val="14"/>
      <color theme="1"/>
      <name val="Calibri"/>
      <family val="2"/>
      <scheme val="minor"/>
    </font>
    <font>
      <sz val="12"/>
      <color rgb="FF3C4043"/>
      <name val="Arial"/>
      <family val="2"/>
    </font>
    <font>
      <u/>
      <sz val="12"/>
      <color theme="10"/>
      <name val="Calibri"/>
      <family val="2"/>
      <scheme val="minor"/>
    </font>
    <font>
      <sz val="15"/>
      <color rgb="FF000000"/>
      <name val="Arial"/>
      <family val="2"/>
    </font>
    <font>
      <sz val="10"/>
      <name val="Arial"/>
      <family val="2"/>
    </font>
    <font>
      <sz val="12"/>
      <color theme="1"/>
      <name val="Calibri"/>
      <family val="2"/>
    </font>
    <font>
      <b/>
      <sz val="10"/>
      <color rgb="FF000000"/>
      <name val="Calibri"/>
      <family val="2"/>
    </font>
    <font>
      <b/>
      <sz val="14"/>
      <color rgb="FF000000"/>
      <name val="Calibri"/>
      <family val="2"/>
    </font>
    <font>
      <sz val="16"/>
      <color rgb="FF000000"/>
      <name val="Calibri"/>
      <family val="2"/>
    </font>
    <font>
      <sz val="12"/>
      <color rgb="FF000000"/>
      <name val="Calibri"/>
      <family val="2"/>
      <scheme val="minor"/>
    </font>
    <font>
      <b/>
      <sz val="12"/>
      <color rgb="FF000000"/>
      <name val="Calibri"/>
      <family val="2"/>
      <scheme val="minor"/>
    </font>
    <font>
      <b/>
      <sz val="20"/>
      <color theme="1"/>
      <name val="Calibri"/>
      <family val="2"/>
      <scheme val="minor"/>
    </font>
    <font>
      <b/>
      <sz val="10"/>
      <color rgb="FF00000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rgb="FF2A89A3"/>
        <bgColor indexed="64"/>
      </patternFill>
    </fill>
    <fill>
      <patternFill patternType="solid">
        <fgColor theme="5" tint="-0.249977111117893"/>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16" fillId="0" borderId="0" applyNumberFormat="0" applyFill="0" applyBorder="0" applyAlignment="0" applyProtection="0"/>
    <xf numFmtId="0" fontId="18" fillId="0" borderId="0"/>
  </cellStyleXfs>
  <cellXfs count="111">
    <xf numFmtId="0" fontId="0" fillId="0" borderId="0" xfId="0"/>
    <xf numFmtId="0" fontId="3" fillId="0" borderId="0" xfId="0" applyFont="1"/>
    <xf numFmtId="0" fontId="3" fillId="0" borderId="4" xfId="0" applyFont="1" applyBorder="1"/>
    <xf numFmtId="0" fontId="3" fillId="0" borderId="5" xfId="0" applyFont="1" applyBorder="1"/>
    <xf numFmtId="0" fontId="2" fillId="0" borderId="0" xfId="0" applyFont="1"/>
    <xf numFmtId="0" fontId="14"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xf numFmtId="0" fontId="15" fillId="0" borderId="0" xfId="0" applyFont="1"/>
    <xf numFmtId="0" fontId="17" fillId="0" borderId="0" xfId="0" applyFont="1"/>
    <xf numFmtId="0" fontId="6" fillId="0" borderId="0" xfId="0" applyFont="1"/>
    <xf numFmtId="0" fontId="0" fillId="0" borderId="0" xfId="0" applyAlignment="1">
      <alignment vertical="center"/>
    </xf>
    <xf numFmtId="0" fontId="13" fillId="0" borderId="0" xfId="0" applyFont="1"/>
    <xf numFmtId="0" fontId="8" fillId="5" borderId="2" xfId="0" applyFont="1" applyFill="1" applyBorder="1" applyAlignment="1">
      <alignment horizontal="center" wrapText="1"/>
    </xf>
    <xf numFmtId="0" fontId="8" fillId="2" borderId="1" xfId="0" applyFont="1" applyFill="1" applyBorder="1" applyAlignment="1">
      <alignment horizontal="center" wrapText="1"/>
    </xf>
    <xf numFmtId="0" fontId="8" fillId="2" borderId="2" xfId="0" applyFont="1" applyFill="1" applyBorder="1" applyAlignment="1">
      <alignment horizontal="center" wrapText="1"/>
    </xf>
    <xf numFmtId="0" fontId="8" fillId="2" borderId="3" xfId="0" applyFont="1" applyFill="1" applyBorder="1" applyAlignment="1">
      <alignment horizontal="center" wrapText="1"/>
    </xf>
    <xf numFmtId="0" fontId="8" fillId="6" borderId="1" xfId="0" applyFont="1" applyFill="1" applyBorder="1" applyAlignment="1">
      <alignment horizontal="center" wrapText="1"/>
    </xf>
    <xf numFmtId="0" fontId="8" fillId="6" borderId="2" xfId="0" applyFont="1" applyFill="1" applyBorder="1" applyAlignment="1">
      <alignment horizontal="center" wrapText="1"/>
    </xf>
    <xf numFmtId="0" fontId="8" fillId="6" borderId="3" xfId="0" applyFont="1" applyFill="1" applyBorder="1" applyAlignment="1">
      <alignment horizontal="center" wrapText="1"/>
    </xf>
    <xf numFmtId="0" fontId="8" fillId="5" borderId="1" xfId="0" applyFont="1" applyFill="1" applyBorder="1" applyAlignment="1">
      <alignment horizontal="center" wrapText="1"/>
    </xf>
    <xf numFmtId="0" fontId="8" fillId="5" borderId="3" xfId="0" applyFont="1" applyFill="1" applyBorder="1" applyAlignment="1">
      <alignment horizontal="center" wrapText="1"/>
    </xf>
    <xf numFmtId="0" fontId="8" fillId="7"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3" fillId="0" borderId="0" xfId="0" applyFont="1" applyAlignment="1">
      <alignment horizontal="left"/>
    </xf>
    <xf numFmtId="0" fontId="14" fillId="0" borderId="0" xfId="0" applyFont="1" applyAlignment="1">
      <alignment horizontal="left"/>
    </xf>
    <xf numFmtId="0" fontId="2" fillId="0" borderId="0" xfId="0" applyFont="1" applyFill="1"/>
    <xf numFmtId="0" fontId="0" fillId="0" borderId="0" xfId="0" applyFill="1"/>
    <xf numFmtId="0" fontId="1" fillId="0" borderId="0" xfId="0" applyFont="1" applyFill="1" applyAlignment="1">
      <alignment horizontal="center"/>
    </xf>
    <xf numFmtId="0" fontId="0" fillId="0" borderId="10" xfId="0" applyFill="1" applyBorder="1"/>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Font="1" applyFill="1" applyBorder="1" applyAlignment="1">
      <alignment horizontal="center"/>
    </xf>
    <xf numFmtId="0" fontId="0" fillId="0" borderId="11" xfId="0" applyFill="1" applyBorder="1"/>
    <xf numFmtId="0" fontId="1" fillId="0" borderId="4" xfId="0" applyFont="1" applyFill="1" applyBorder="1"/>
    <xf numFmtId="0" fontId="1" fillId="0" borderId="0" xfId="0" applyFont="1" applyFill="1"/>
    <xf numFmtId="0" fontId="1" fillId="0" borderId="5" xfId="0" applyFont="1" applyFill="1" applyBorder="1"/>
    <xf numFmtId="0" fontId="0" fillId="0" borderId="4" xfId="0" applyFill="1" applyBorder="1"/>
    <xf numFmtId="0" fontId="0" fillId="0" borderId="5" xfId="0" applyFill="1" applyBorder="1"/>
    <xf numFmtId="0" fontId="0" fillId="0" borderId="12" xfId="0" applyFill="1" applyBorder="1"/>
    <xf numFmtId="0" fontId="0" fillId="0" borderId="6" xfId="0" applyFill="1" applyBorder="1"/>
    <xf numFmtId="0" fontId="0" fillId="0" borderId="7" xfId="0" applyFill="1" applyBorder="1"/>
    <xf numFmtId="0" fontId="0" fillId="0" borderId="8" xfId="0" applyFill="1" applyBorder="1"/>
    <xf numFmtId="0" fontId="4" fillId="0" borderId="0" xfId="0" applyFont="1" applyFill="1" applyAlignment="1">
      <alignment horizontal="left" vertical="center" readingOrder="1"/>
    </xf>
    <xf numFmtId="0" fontId="5" fillId="0" borderId="0" xfId="0" applyFont="1" applyFill="1" applyAlignment="1">
      <alignment horizontal="left" vertical="center" readingOrder="1"/>
    </xf>
    <xf numFmtId="0" fontId="16" fillId="0" borderId="0" xfId="1" applyFill="1"/>
    <xf numFmtId="0" fontId="19" fillId="0" borderId="10" xfId="0" applyFont="1" applyFill="1" applyBorder="1"/>
    <xf numFmtId="0" fontId="19" fillId="0" borderId="11" xfId="0" applyFont="1" applyFill="1" applyBorder="1"/>
    <xf numFmtId="0" fontId="21" fillId="0" borderId="4" xfId="0" applyFont="1" applyFill="1" applyBorder="1"/>
    <xf numFmtId="0" fontId="21" fillId="0" borderId="0" xfId="0" applyFont="1" applyFill="1"/>
    <xf numFmtId="0" fontId="21" fillId="0" borderId="5" xfId="0" applyFont="1" applyFill="1" applyBorder="1"/>
    <xf numFmtId="0" fontId="23" fillId="0" borderId="4" xfId="0" applyFont="1" applyFill="1" applyBorder="1"/>
    <xf numFmtId="0" fontId="23" fillId="0" borderId="0" xfId="0" applyFont="1" applyFill="1"/>
    <xf numFmtId="0" fontId="23" fillId="0" borderId="6" xfId="0" applyFont="1" applyFill="1" applyBorder="1"/>
    <xf numFmtId="0" fontId="23" fillId="0" borderId="7" xfId="0" applyFont="1" applyFill="1" applyBorder="1"/>
    <xf numFmtId="0" fontId="6" fillId="0" borderId="0" xfId="0" applyFont="1" applyFill="1"/>
    <xf numFmtId="0" fontId="0" fillId="0" borderId="9" xfId="0" applyFill="1" applyBorder="1"/>
    <xf numFmtId="0" fontId="19" fillId="0" borderId="0" xfId="0" applyFont="1" applyFill="1"/>
    <xf numFmtId="0" fontId="25" fillId="0" borderId="0" xfId="0" applyFont="1" applyFill="1"/>
    <xf numFmtId="0" fontId="0" fillId="0" borderId="0" xfId="0" applyFill="1" applyAlignment="1">
      <alignment horizontal="left"/>
    </xf>
    <xf numFmtId="0" fontId="24" fillId="0" borderId="1" xfId="0" applyFont="1" applyFill="1" applyBorder="1" applyAlignment="1">
      <alignment horizontal="center" wrapText="1"/>
    </xf>
    <xf numFmtId="0" fontId="24" fillId="0" borderId="2" xfId="0" applyFont="1" applyFill="1" applyBorder="1" applyAlignment="1">
      <alignment horizontal="center" wrapText="1"/>
    </xf>
    <xf numFmtId="0" fontId="24" fillId="0" borderId="3" xfId="0" applyFont="1" applyFill="1" applyBorder="1" applyAlignment="1">
      <alignment horizontal="center" wrapText="1"/>
    </xf>
    <xf numFmtId="0" fontId="24" fillId="0" borderId="4" xfId="0" applyFont="1" applyFill="1" applyBorder="1"/>
    <xf numFmtId="0" fontId="24" fillId="0" borderId="0" xfId="0" applyFont="1" applyFill="1"/>
    <xf numFmtId="0" fontId="24" fillId="0" borderId="5" xfId="0" applyFont="1" applyFill="1" applyBorder="1"/>
    <xf numFmtId="0" fontId="9" fillId="0" borderId="0" xfId="0" applyFont="1" applyFill="1"/>
    <xf numFmtId="0" fontId="0" fillId="0" borderId="0" xfId="0" applyFill="1" applyAlignment="1">
      <alignment vertical="center"/>
    </xf>
    <xf numFmtId="0" fontId="19" fillId="0" borderId="10" xfId="0" applyFont="1" applyFill="1" applyBorder="1" applyAlignment="1">
      <alignment vertical="center"/>
    </xf>
    <xf numFmtId="0" fontId="20" fillId="0" borderId="1"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20" fillId="0" borderId="3" xfId="0" applyFont="1" applyFill="1" applyBorder="1" applyAlignment="1">
      <alignment horizontal="center" vertical="center" wrapText="1"/>
    </xf>
    <xf numFmtId="0" fontId="22" fillId="0" borderId="0" xfId="0" applyFont="1" applyFill="1"/>
    <xf numFmtId="0" fontId="8" fillId="0" borderId="0" xfId="0" applyFont="1" applyFill="1" applyAlignment="1">
      <alignment wrapText="1"/>
    </xf>
    <xf numFmtId="0" fontId="3" fillId="0" borderId="0" xfId="0" applyFont="1" applyFill="1" applyAlignment="1">
      <alignment vertical="center"/>
    </xf>
    <xf numFmtId="0" fontId="3" fillId="0" borderId="1" xfId="0" applyFont="1" applyFill="1" applyBorder="1" applyAlignment="1">
      <alignment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0" xfId="0" applyFont="1" applyFill="1" applyAlignment="1">
      <alignment horizontal="left"/>
    </xf>
    <xf numFmtId="0" fontId="8" fillId="0" borderId="1" xfId="0" applyFont="1" applyFill="1" applyBorder="1" applyAlignment="1">
      <alignment horizontal="center" wrapText="1"/>
    </xf>
    <xf numFmtId="0" fontId="8" fillId="0" borderId="2" xfId="0" applyFont="1" applyFill="1" applyBorder="1" applyAlignment="1">
      <alignment horizontal="center" wrapText="1"/>
    </xf>
    <xf numFmtId="0" fontId="8" fillId="0" borderId="3" xfId="0" applyFont="1" applyFill="1" applyBorder="1" applyAlignment="1">
      <alignment horizontal="center" wrapText="1"/>
    </xf>
    <xf numFmtId="0" fontId="10" fillId="0" borderId="0" xfId="0" applyFont="1" applyFill="1" applyAlignment="1">
      <alignment horizontal="left" vertical="center" readingOrder="1"/>
    </xf>
    <xf numFmtId="0" fontId="3" fillId="0" borderId="0" xfId="0" applyFont="1" applyFill="1"/>
    <xf numFmtId="0" fontId="0" fillId="0" borderId="0" xfId="0" applyFill="1" applyAlignment="1">
      <alignment horizontal="center"/>
    </xf>
    <xf numFmtId="0" fontId="0" fillId="0" borderId="11" xfId="0" applyFill="1" applyBorder="1" applyAlignment="1">
      <alignment horizontal="center" vertical="center"/>
    </xf>
    <xf numFmtId="0" fontId="1" fillId="0" borderId="1" xfId="0" applyFont="1" applyFill="1" applyBorder="1"/>
    <xf numFmtId="0" fontId="1" fillId="0" borderId="2" xfId="0" applyFont="1" applyFill="1" applyBorder="1"/>
    <xf numFmtId="0" fontId="1" fillId="0" borderId="3" xfId="0" applyFont="1" applyFill="1" applyBorder="1"/>
    <xf numFmtId="0" fontId="6" fillId="0" borderId="0" xfId="0" applyFont="1" applyFill="1" applyAlignment="1">
      <alignment horizontal="left" vertical="center" readingOrder="1"/>
    </xf>
    <xf numFmtId="0" fontId="11" fillId="0" borderId="0" xfId="0" applyFont="1" applyFill="1" applyAlignment="1">
      <alignment horizontal="left" vertical="center" readingOrder="1"/>
    </xf>
    <xf numFmtId="0" fontId="12" fillId="0" borderId="0" xfId="0" applyFont="1" applyFill="1" applyAlignment="1">
      <alignment horizontal="center"/>
    </xf>
    <xf numFmtId="0" fontId="0" fillId="0" borderId="1" xfId="0" applyFill="1" applyBorder="1" applyAlignment="1">
      <alignment vertical="center"/>
    </xf>
    <xf numFmtId="0" fontId="26" fillId="0" borderId="1"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26" fillId="0" borderId="3" xfId="0" applyFont="1" applyFill="1" applyBorder="1" applyAlignment="1">
      <alignment horizontal="center" vertical="center" wrapText="1"/>
    </xf>
    <xf numFmtId="0" fontId="7" fillId="0" borderId="4" xfId="0" applyFont="1" applyFill="1" applyBorder="1"/>
    <xf numFmtId="0" fontId="7" fillId="0" borderId="0" xfId="0" applyFont="1" applyFill="1"/>
    <xf numFmtId="0" fontId="7" fillId="0" borderId="5" xfId="0" applyFont="1" applyFill="1" applyBorder="1"/>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FF3346"/>
      <color rgb="FF2A89A3"/>
      <color rgb="FFFF769C"/>
      <color rgb="FFE86C8F"/>
      <color rgb="FF6BBE22"/>
      <color rgb="FFDE7E17"/>
      <color rgb="FFA581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D3:AR129"/>
  <sheetViews>
    <sheetView zoomScaleNormal="100" workbookViewId="0">
      <selection activeCell="D25" sqref="A1:XFD1048576"/>
    </sheetView>
  </sheetViews>
  <sheetFormatPr baseColWidth="10" defaultColWidth="11" defaultRowHeight="16" x14ac:dyDescent="0.2"/>
  <cols>
    <col min="1" max="32" width="11" style="38"/>
    <col min="33" max="33" width="12.1640625" style="38" bestFit="1" customWidth="1"/>
    <col min="34" max="35" width="11" style="38"/>
    <col min="36" max="36" width="12.1640625" style="38" bestFit="1" customWidth="1"/>
    <col min="37" max="16384" width="11" style="38"/>
  </cols>
  <sheetData>
    <row r="3" spans="4:15" ht="24" x14ac:dyDescent="0.3">
      <c r="D3" s="37" t="s">
        <v>76</v>
      </c>
      <c r="E3" s="37"/>
      <c r="F3" s="37"/>
    </row>
    <row r="5" spans="4:15" x14ac:dyDescent="0.2">
      <c r="D5" s="39" t="s">
        <v>0</v>
      </c>
      <c r="E5" s="39"/>
      <c r="F5" s="39"/>
    </row>
    <row r="6" spans="4:15" x14ac:dyDescent="0.2">
      <c r="D6" s="39" t="s">
        <v>1</v>
      </c>
      <c r="E6" s="39"/>
      <c r="F6" s="39"/>
    </row>
    <row r="8" spans="4:15" ht="17" thickBot="1" x14ac:dyDescent="0.25"/>
    <row r="9" spans="4:15" ht="19" x14ac:dyDescent="0.25">
      <c r="F9" s="40"/>
      <c r="G9" s="41" t="s">
        <v>2</v>
      </c>
      <c r="H9" s="42"/>
      <c r="I9" s="43"/>
      <c r="J9" s="42" t="s">
        <v>3</v>
      </c>
      <c r="K9" s="42"/>
      <c r="L9" s="42"/>
      <c r="M9" s="41" t="s">
        <v>45</v>
      </c>
      <c r="N9" s="42"/>
      <c r="O9" s="43"/>
    </row>
    <row r="10" spans="4:15" x14ac:dyDescent="0.2">
      <c r="F10" s="44" t="s">
        <v>7</v>
      </c>
      <c r="G10" s="45" t="s">
        <v>4</v>
      </c>
      <c r="H10" s="46" t="s">
        <v>5</v>
      </c>
      <c r="I10" s="47" t="s">
        <v>6</v>
      </c>
      <c r="J10" s="46" t="s">
        <v>4</v>
      </c>
      <c r="K10" s="46" t="s">
        <v>5</v>
      </c>
      <c r="L10" s="46" t="s">
        <v>6</v>
      </c>
      <c r="M10" s="45" t="s">
        <v>4</v>
      </c>
      <c r="N10" s="46" t="s">
        <v>5</v>
      </c>
      <c r="O10" s="47" t="s">
        <v>6</v>
      </c>
    </row>
    <row r="11" spans="4:15" x14ac:dyDescent="0.2">
      <c r="F11" s="44">
        <v>0</v>
      </c>
      <c r="G11" s="48">
        <v>0</v>
      </c>
      <c r="H11" s="38">
        <v>91</v>
      </c>
      <c r="I11" s="49">
        <v>100</v>
      </c>
      <c r="J11" s="38">
        <v>0</v>
      </c>
      <c r="K11" s="38">
        <v>102</v>
      </c>
      <c r="L11" s="38">
        <v>100</v>
      </c>
      <c r="M11" s="48">
        <v>0</v>
      </c>
      <c r="N11" s="38">
        <v>110</v>
      </c>
      <c r="O11" s="49">
        <v>100</v>
      </c>
    </row>
    <row r="12" spans="4:15" x14ac:dyDescent="0.2">
      <c r="F12" s="44">
        <v>2.5</v>
      </c>
      <c r="G12" s="48">
        <v>0</v>
      </c>
      <c r="H12" s="38">
        <v>91</v>
      </c>
      <c r="I12" s="49">
        <f>H12*100/91</f>
        <v>100</v>
      </c>
      <c r="J12" s="38">
        <v>0</v>
      </c>
      <c r="K12" s="38">
        <v>102</v>
      </c>
      <c r="L12" s="38">
        <f>K12*100/102</f>
        <v>100</v>
      </c>
      <c r="M12" s="48">
        <v>0</v>
      </c>
      <c r="N12" s="38">
        <v>110</v>
      </c>
      <c r="O12" s="49">
        <f>N12*100/110</f>
        <v>100</v>
      </c>
    </row>
    <row r="13" spans="4:15" x14ac:dyDescent="0.2">
      <c r="F13" s="44">
        <v>5</v>
      </c>
      <c r="G13" s="48">
        <v>0</v>
      </c>
      <c r="H13" s="38">
        <v>91</v>
      </c>
      <c r="I13" s="49">
        <f>H13*100/91</f>
        <v>100</v>
      </c>
      <c r="J13" s="38">
        <v>0</v>
      </c>
      <c r="K13" s="38">
        <v>102</v>
      </c>
      <c r="L13" s="38">
        <f>K13*100/102</f>
        <v>100</v>
      </c>
      <c r="M13" s="48">
        <v>0</v>
      </c>
      <c r="N13" s="38">
        <v>110</v>
      </c>
      <c r="O13" s="49">
        <f>N13*100/110</f>
        <v>100</v>
      </c>
    </row>
    <row r="14" spans="4:15" x14ac:dyDescent="0.2">
      <c r="F14" s="44">
        <v>7.5</v>
      </c>
      <c r="G14" s="48">
        <v>0</v>
      </c>
      <c r="H14" s="38">
        <v>91</v>
      </c>
      <c r="I14" s="49">
        <f t="shared" ref="I14:I24" si="0">H14*100/91</f>
        <v>100</v>
      </c>
      <c r="J14" s="38">
        <v>0</v>
      </c>
      <c r="K14" s="38">
        <v>102</v>
      </c>
      <c r="L14" s="38">
        <f t="shared" ref="L14:L24" si="1">K14*100/102</f>
        <v>100</v>
      </c>
      <c r="M14" s="48">
        <v>0</v>
      </c>
      <c r="N14" s="38">
        <v>110</v>
      </c>
      <c r="O14" s="49">
        <f t="shared" ref="O14:O24" si="2">N14*100/110</f>
        <v>100</v>
      </c>
    </row>
    <row r="15" spans="4:15" x14ac:dyDescent="0.2">
      <c r="F15" s="44">
        <v>10</v>
      </c>
      <c r="G15" s="48">
        <v>0</v>
      </c>
      <c r="H15" s="38">
        <v>91</v>
      </c>
      <c r="I15" s="49">
        <f t="shared" si="0"/>
        <v>100</v>
      </c>
      <c r="J15" s="38">
        <v>0</v>
      </c>
      <c r="K15" s="38">
        <v>102</v>
      </c>
      <c r="L15" s="38">
        <f t="shared" si="1"/>
        <v>100</v>
      </c>
      <c r="M15" s="48">
        <v>0</v>
      </c>
      <c r="N15" s="38">
        <v>110</v>
      </c>
      <c r="O15" s="49">
        <f t="shared" si="2"/>
        <v>100</v>
      </c>
    </row>
    <row r="16" spans="4:15" x14ac:dyDescent="0.2">
      <c r="F16" s="44">
        <v>15</v>
      </c>
      <c r="G16" s="48">
        <v>13</v>
      </c>
      <c r="H16" s="38">
        <v>78</v>
      </c>
      <c r="I16" s="49">
        <f t="shared" si="0"/>
        <v>85.714285714285708</v>
      </c>
      <c r="J16" s="38">
        <v>1</v>
      </c>
      <c r="K16" s="38">
        <v>101</v>
      </c>
      <c r="L16" s="38">
        <f t="shared" si="1"/>
        <v>99.019607843137251</v>
      </c>
      <c r="M16" s="48">
        <v>0</v>
      </c>
      <c r="N16" s="38">
        <v>110</v>
      </c>
      <c r="O16" s="49">
        <f t="shared" si="2"/>
        <v>100</v>
      </c>
    </row>
    <row r="17" spans="6:15" x14ac:dyDescent="0.2">
      <c r="F17" s="44">
        <v>17.5</v>
      </c>
      <c r="G17" s="48">
        <v>34</v>
      </c>
      <c r="H17" s="38">
        <v>44</v>
      </c>
      <c r="I17" s="49">
        <f t="shared" si="0"/>
        <v>48.35164835164835</v>
      </c>
      <c r="J17" s="38">
        <v>3</v>
      </c>
      <c r="K17" s="38">
        <v>98</v>
      </c>
      <c r="L17" s="38">
        <f t="shared" si="1"/>
        <v>96.078431372549019</v>
      </c>
      <c r="M17" s="48">
        <v>7</v>
      </c>
      <c r="N17" s="38">
        <v>103</v>
      </c>
      <c r="O17" s="49">
        <f t="shared" si="2"/>
        <v>93.63636363636364</v>
      </c>
    </row>
    <row r="18" spans="6:15" x14ac:dyDescent="0.2">
      <c r="F18" s="44">
        <v>20</v>
      </c>
      <c r="G18" s="48">
        <v>19</v>
      </c>
      <c r="H18" s="38">
        <v>25</v>
      </c>
      <c r="I18" s="49">
        <f t="shared" si="0"/>
        <v>27.472527472527471</v>
      </c>
      <c r="J18" s="38">
        <v>17</v>
      </c>
      <c r="K18" s="38">
        <v>81</v>
      </c>
      <c r="L18" s="38">
        <f t="shared" si="1"/>
        <v>79.411764705882348</v>
      </c>
      <c r="M18" s="48">
        <v>16</v>
      </c>
      <c r="N18" s="38">
        <v>87</v>
      </c>
      <c r="O18" s="49">
        <f t="shared" si="2"/>
        <v>79.090909090909093</v>
      </c>
    </row>
    <row r="19" spans="6:15" x14ac:dyDescent="0.2">
      <c r="F19" s="44">
        <v>22.5</v>
      </c>
      <c r="G19" s="48">
        <v>20</v>
      </c>
      <c r="H19" s="38">
        <v>5</v>
      </c>
      <c r="I19" s="49">
        <f t="shared" si="0"/>
        <v>5.4945054945054945</v>
      </c>
      <c r="J19" s="38">
        <v>17</v>
      </c>
      <c r="K19" s="38">
        <v>64</v>
      </c>
      <c r="L19" s="38">
        <f t="shared" si="1"/>
        <v>62.745098039215684</v>
      </c>
      <c r="M19" s="48">
        <v>34</v>
      </c>
      <c r="N19" s="38">
        <v>53</v>
      </c>
      <c r="O19" s="49">
        <f t="shared" si="2"/>
        <v>48.18181818181818</v>
      </c>
    </row>
    <row r="20" spans="6:15" x14ac:dyDescent="0.2">
      <c r="F20" s="44">
        <v>25</v>
      </c>
      <c r="G20" s="48">
        <v>4</v>
      </c>
      <c r="H20" s="38">
        <v>1</v>
      </c>
      <c r="I20" s="49">
        <f t="shared" si="0"/>
        <v>1.098901098901099</v>
      </c>
      <c r="J20" s="38">
        <v>27</v>
      </c>
      <c r="K20" s="38">
        <v>37</v>
      </c>
      <c r="L20" s="38">
        <f t="shared" si="1"/>
        <v>36.274509803921568</v>
      </c>
      <c r="M20" s="48">
        <v>31</v>
      </c>
      <c r="N20" s="38">
        <v>22</v>
      </c>
      <c r="O20" s="49">
        <f t="shared" si="2"/>
        <v>20</v>
      </c>
    </row>
    <row r="21" spans="6:15" x14ac:dyDescent="0.2">
      <c r="F21" s="44">
        <v>27.5</v>
      </c>
      <c r="G21" s="48">
        <v>0</v>
      </c>
      <c r="H21" s="38">
        <v>1</v>
      </c>
      <c r="I21" s="49">
        <f t="shared" si="0"/>
        <v>1.098901098901099</v>
      </c>
      <c r="J21" s="38">
        <v>22</v>
      </c>
      <c r="K21" s="38">
        <v>15</v>
      </c>
      <c r="L21" s="38">
        <f t="shared" si="1"/>
        <v>14.705882352941176</v>
      </c>
      <c r="M21" s="48">
        <v>9</v>
      </c>
      <c r="N21" s="38">
        <v>13</v>
      </c>
      <c r="O21" s="49">
        <f t="shared" si="2"/>
        <v>11.818181818181818</v>
      </c>
    </row>
    <row r="22" spans="6:15" x14ac:dyDescent="0.2">
      <c r="F22" s="44">
        <v>30</v>
      </c>
      <c r="G22" s="48">
        <v>0</v>
      </c>
      <c r="H22" s="38">
        <v>1</v>
      </c>
      <c r="I22" s="49">
        <f t="shared" si="0"/>
        <v>1.098901098901099</v>
      </c>
      <c r="J22" s="38">
        <v>10</v>
      </c>
      <c r="K22" s="38">
        <v>5</v>
      </c>
      <c r="L22" s="38">
        <f t="shared" si="1"/>
        <v>4.9019607843137258</v>
      </c>
      <c r="M22" s="48">
        <v>11</v>
      </c>
      <c r="N22" s="38">
        <v>2</v>
      </c>
      <c r="O22" s="49">
        <f t="shared" si="2"/>
        <v>1.8181818181818181</v>
      </c>
    </row>
    <row r="23" spans="6:15" x14ac:dyDescent="0.2">
      <c r="F23" s="44">
        <v>33</v>
      </c>
      <c r="G23" s="48">
        <v>1</v>
      </c>
      <c r="H23" s="38">
        <v>0</v>
      </c>
      <c r="I23" s="49">
        <f t="shared" si="0"/>
        <v>0</v>
      </c>
      <c r="J23" s="38">
        <v>3</v>
      </c>
      <c r="K23" s="38">
        <v>2</v>
      </c>
      <c r="L23" s="38">
        <f t="shared" si="1"/>
        <v>1.9607843137254901</v>
      </c>
      <c r="M23" s="48">
        <v>2</v>
      </c>
      <c r="N23" s="38">
        <v>0</v>
      </c>
      <c r="O23" s="49">
        <f t="shared" si="2"/>
        <v>0</v>
      </c>
    </row>
    <row r="24" spans="6:15" ht="17" thickBot="1" x14ac:dyDescent="0.25">
      <c r="F24" s="50">
        <v>35</v>
      </c>
      <c r="G24" s="51">
        <v>0</v>
      </c>
      <c r="H24" s="52">
        <v>0</v>
      </c>
      <c r="I24" s="53">
        <f t="shared" si="0"/>
        <v>0</v>
      </c>
      <c r="J24" s="52">
        <v>2</v>
      </c>
      <c r="K24" s="52">
        <v>0</v>
      </c>
      <c r="L24" s="52">
        <f t="shared" si="1"/>
        <v>0</v>
      </c>
      <c r="M24" s="51">
        <v>0</v>
      </c>
      <c r="N24" s="52">
        <v>0</v>
      </c>
      <c r="O24" s="53">
        <f t="shared" si="2"/>
        <v>0</v>
      </c>
    </row>
    <row r="49" spans="5:5" x14ac:dyDescent="0.2">
      <c r="E49" s="54"/>
    </row>
    <row r="50" spans="5:5" x14ac:dyDescent="0.2">
      <c r="E50" s="54"/>
    </row>
    <row r="51" spans="5:5" x14ac:dyDescent="0.2">
      <c r="E51" s="54"/>
    </row>
    <row r="52" spans="5:5" x14ac:dyDescent="0.2">
      <c r="E52" s="54"/>
    </row>
    <row r="53" spans="5:5" x14ac:dyDescent="0.2">
      <c r="E53" s="55"/>
    </row>
    <row r="54" spans="5:5" x14ac:dyDescent="0.2">
      <c r="E54" s="55"/>
    </row>
    <row r="55" spans="5:5" x14ac:dyDescent="0.2">
      <c r="E55" s="55"/>
    </row>
    <row r="56" spans="5:5" x14ac:dyDescent="0.2">
      <c r="E56" s="55"/>
    </row>
    <row r="57" spans="5:5" x14ac:dyDescent="0.2">
      <c r="E57" s="55"/>
    </row>
    <row r="58" spans="5:5" x14ac:dyDescent="0.2">
      <c r="E58" s="55"/>
    </row>
    <row r="59" spans="5:5" x14ac:dyDescent="0.2">
      <c r="E59" s="55"/>
    </row>
    <row r="60" spans="5:5" x14ac:dyDescent="0.2">
      <c r="E60" s="55"/>
    </row>
    <row r="61" spans="5:5" x14ac:dyDescent="0.2">
      <c r="E61" s="55"/>
    </row>
    <row r="129" spans="44:44" x14ac:dyDescent="0.2">
      <c r="AR129" s="56"/>
    </row>
  </sheetData>
  <mergeCells count="5">
    <mergeCell ref="M9:O9"/>
    <mergeCell ref="D5:F5"/>
    <mergeCell ref="D6:F6"/>
    <mergeCell ref="G9:I9"/>
    <mergeCell ref="J9:L9"/>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BADE-F6B1-DF42-92F5-C3C95805959B}">
  <dimension ref="B2:K20"/>
  <sheetViews>
    <sheetView workbookViewId="0">
      <selection activeCell="F28" sqref="A1:XFD1048576"/>
    </sheetView>
  </sheetViews>
  <sheetFormatPr baseColWidth="10" defaultRowHeight="16" x14ac:dyDescent="0.2"/>
  <cols>
    <col min="1" max="16384" width="10.83203125" style="38"/>
  </cols>
  <sheetData>
    <row r="2" spans="2:11" ht="24" x14ac:dyDescent="0.3">
      <c r="B2" s="37" t="s">
        <v>47</v>
      </c>
      <c r="C2" s="37"/>
      <c r="D2" s="37"/>
    </row>
    <row r="3" spans="2:11" ht="24" x14ac:dyDescent="0.3">
      <c r="B3" s="37" t="s">
        <v>46</v>
      </c>
      <c r="C3" s="37"/>
      <c r="D3" s="37"/>
    </row>
    <row r="4" spans="2:11" ht="24" x14ac:dyDescent="0.3">
      <c r="B4" s="37" t="s">
        <v>48</v>
      </c>
      <c r="C4" s="37"/>
      <c r="D4" s="37"/>
    </row>
    <row r="5" spans="2:11" ht="24" x14ac:dyDescent="0.3">
      <c r="B5" s="37"/>
      <c r="C5" s="37"/>
      <c r="D5" s="37"/>
    </row>
    <row r="8" spans="2:11" ht="17" thickBot="1" x14ac:dyDescent="0.25"/>
    <row r="9" spans="2:11" ht="19" x14ac:dyDescent="0.25">
      <c r="B9" s="57"/>
      <c r="C9" s="41" t="s">
        <v>2</v>
      </c>
      <c r="D9" s="42"/>
      <c r="E9" s="43"/>
      <c r="F9" s="42" t="s">
        <v>3</v>
      </c>
      <c r="G9" s="42"/>
      <c r="H9" s="42"/>
      <c r="I9" s="41" t="s">
        <v>45</v>
      </c>
      <c r="J9" s="42"/>
      <c r="K9" s="43"/>
    </row>
    <row r="10" spans="2:11" ht="19" x14ac:dyDescent="0.25">
      <c r="B10" s="58" t="s">
        <v>7</v>
      </c>
      <c r="C10" s="59" t="s">
        <v>4</v>
      </c>
      <c r="D10" s="60" t="s">
        <v>5</v>
      </c>
      <c r="E10" s="61" t="s">
        <v>6</v>
      </c>
      <c r="F10" s="60" t="s">
        <v>4</v>
      </c>
      <c r="G10" s="60" t="s">
        <v>5</v>
      </c>
      <c r="H10" s="60" t="s">
        <v>6</v>
      </c>
      <c r="I10" s="59" t="s">
        <v>4</v>
      </c>
      <c r="J10" s="60" t="s">
        <v>5</v>
      </c>
      <c r="K10" s="61" t="s">
        <v>6</v>
      </c>
    </row>
    <row r="11" spans="2:11" x14ac:dyDescent="0.2">
      <c r="B11" s="44">
        <v>0</v>
      </c>
      <c r="C11" s="62"/>
      <c r="D11" s="38">
        <v>50</v>
      </c>
      <c r="E11" s="49">
        <f>D11*100/50</f>
        <v>100</v>
      </c>
      <c r="F11" s="63"/>
      <c r="G11" s="38">
        <v>53</v>
      </c>
      <c r="H11" s="38">
        <f>G11*100/53</f>
        <v>100</v>
      </c>
      <c r="I11" s="62"/>
      <c r="J11" s="38">
        <v>54</v>
      </c>
      <c r="K11" s="49">
        <f>J11*100/54</f>
        <v>100</v>
      </c>
    </row>
    <row r="12" spans="2:11" x14ac:dyDescent="0.2">
      <c r="B12" s="44">
        <v>14.5</v>
      </c>
      <c r="C12" s="62">
        <v>27</v>
      </c>
      <c r="D12" s="38">
        <f t="shared" ref="D12:D20" si="0">D11-C12</f>
        <v>23</v>
      </c>
      <c r="E12" s="49">
        <f t="shared" ref="E12:E18" si="1">D12*100/50</f>
        <v>46</v>
      </c>
      <c r="F12" s="63">
        <v>16</v>
      </c>
      <c r="G12" s="38">
        <f t="shared" ref="G12:G20" si="2">G11-F12</f>
        <v>37</v>
      </c>
      <c r="H12" s="38">
        <f t="shared" ref="H12:H20" si="3">G12*100/53</f>
        <v>69.811320754716988</v>
      </c>
      <c r="I12" s="62">
        <v>14</v>
      </c>
      <c r="J12" s="38">
        <f t="shared" ref="J12:J20" si="4">J11-I12</f>
        <v>40</v>
      </c>
      <c r="K12" s="49">
        <f t="shared" ref="K12:K20" si="5">J12*100/54</f>
        <v>74.074074074074076</v>
      </c>
    </row>
    <row r="13" spans="2:11" x14ac:dyDescent="0.2">
      <c r="B13" s="44">
        <v>16.5</v>
      </c>
      <c r="C13" s="62">
        <v>11</v>
      </c>
      <c r="D13" s="38">
        <f t="shared" si="0"/>
        <v>12</v>
      </c>
      <c r="E13" s="49">
        <f t="shared" si="1"/>
        <v>24</v>
      </c>
      <c r="F13" s="63">
        <v>7</v>
      </c>
      <c r="G13" s="38">
        <f t="shared" si="2"/>
        <v>30</v>
      </c>
      <c r="H13" s="38">
        <f t="shared" si="3"/>
        <v>56.60377358490566</v>
      </c>
      <c r="I13" s="62">
        <v>10</v>
      </c>
      <c r="J13" s="38">
        <f t="shared" si="4"/>
        <v>30</v>
      </c>
      <c r="K13" s="49">
        <f t="shared" si="5"/>
        <v>55.555555555555557</v>
      </c>
    </row>
    <row r="14" spans="2:11" x14ac:dyDescent="0.2">
      <c r="B14" s="44">
        <v>18.5</v>
      </c>
      <c r="C14" s="62">
        <v>6</v>
      </c>
      <c r="D14" s="38">
        <f t="shared" si="0"/>
        <v>6</v>
      </c>
      <c r="E14" s="49">
        <f t="shared" si="1"/>
        <v>12</v>
      </c>
      <c r="F14" s="63">
        <v>12</v>
      </c>
      <c r="G14" s="38">
        <f t="shared" si="2"/>
        <v>18</v>
      </c>
      <c r="H14" s="38">
        <f t="shared" si="3"/>
        <v>33.962264150943398</v>
      </c>
      <c r="I14" s="62">
        <v>9</v>
      </c>
      <c r="J14" s="38">
        <f t="shared" si="4"/>
        <v>21</v>
      </c>
      <c r="K14" s="49">
        <f t="shared" si="5"/>
        <v>38.888888888888886</v>
      </c>
    </row>
    <row r="15" spans="2:11" x14ac:dyDescent="0.2">
      <c r="B15" s="44">
        <v>20.5</v>
      </c>
      <c r="C15" s="62">
        <v>5</v>
      </c>
      <c r="D15" s="38">
        <f t="shared" si="0"/>
        <v>1</v>
      </c>
      <c r="E15" s="49">
        <f t="shared" si="1"/>
        <v>2</v>
      </c>
      <c r="F15" s="63">
        <v>8</v>
      </c>
      <c r="G15" s="38">
        <f t="shared" si="2"/>
        <v>10</v>
      </c>
      <c r="H15" s="38">
        <f t="shared" si="3"/>
        <v>18.867924528301888</v>
      </c>
      <c r="I15" s="62">
        <v>12</v>
      </c>
      <c r="J15" s="38">
        <f t="shared" si="4"/>
        <v>9</v>
      </c>
      <c r="K15" s="49">
        <f t="shared" si="5"/>
        <v>16.666666666666668</v>
      </c>
    </row>
    <row r="16" spans="2:11" x14ac:dyDescent="0.2">
      <c r="B16" s="44">
        <v>22.5</v>
      </c>
      <c r="C16" s="62">
        <v>0</v>
      </c>
      <c r="D16" s="38">
        <f t="shared" si="0"/>
        <v>1</v>
      </c>
      <c r="E16" s="49">
        <f t="shared" si="1"/>
        <v>2</v>
      </c>
      <c r="F16" s="63">
        <v>8</v>
      </c>
      <c r="G16" s="38">
        <f t="shared" si="2"/>
        <v>2</v>
      </c>
      <c r="H16" s="38">
        <f t="shared" si="3"/>
        <v>3.7735849056603774</v>
      </c>
      <c r="I16" s="62">
        <v>5</v>
      </c>
      <c r="J16" s="38">
        <f t="shared" si="4"/>
        <v>4</v>
      </c>
      <c r="K16" s="49">
        <f t="shared" si="5"/>
        <v>7.4074074074074074</v>
      </c>
    </row>
    <row r="17" spans="2:11" x14ac:dyDescent="0.2">
      <c r="B17" s="44">
        <v>24.5</v>
      </c>
      <c r="C17" s="62">
        <v>0</v>
      </c>
      <c r="D17" s="38">
        <f t="shared" si="0"/>
        <v>1</v>
      </c>
      <c r="E17" s="49">
        <f t="shared" si="1"/>
        <v>2</v>
      </c>
      <c r="F17" s="63">
        <v>2</v>
      </c>
      <c r="G17" s="38">
        <f t="shared" si="2"/>
        <v>0</v>
      </c>
      <c r="H17" s="38">
        <f t="shared" si="3"/>
        <v>0</v>
      </c>
      <c r="I17" s="62">
        <v>1</v>
      </c>
      <c r="J17" s="38">
        <f t="shared" si="4"/>
        <v>3</v>
      </c>
      <c r="K17" s="49">
        <f t="shared" si="5"/>
        <v>5.5555555555555554</v>
      </c>
    </row>
    <row r="18" spans="2:11" x14ac:dyDescent="0.2">
      <c r="B18" s="44">
        <v>26.5</v>
      </c>
      <c r="C18" s="62">
        <v>1</v>
      </c>
      <c r="D18" s="38">
        <f t="shared" si="0"/>
        <v>0</v>
      </c>
      <c r="E18" s="49">
        <f t="shared" si="1"/>
        <v>0</v>
      </c>
      <c r="F18" s="63"/>
      <c r="G18" s="38">
        <f t="shared" si="2"/>
        <v>0</v>
      </c>
      <c r="H18" s="38">
        <f t="shared" si="3"/>
        <v>0</v>
      </c>
      <c r="I18" s="62">
        <v>1</v>
      </c>
      <c r="J18" s="38">
        <f t="shared" si="4"/>
        <v>2</v>
      </c>
      <c r="K18" s="49">
        <f t="shared" si="5"/>
        <v>3.7037037037037037</v>
      </c>
    </row>
    <row r="19" spans="2:11" x14ac:dyDescent="0.2">
      <c r="B19" s="58">
        <v>28.5</v>
      </c>
      <c r="C19" s="62"/>
      <c r="D19" s="38">
        <f t="shared" si="0"/>
        <v>0</v>
      </c>
      <c r="E19" s="49">
        <f t="shared" ref="E19:E20" si="6">D19*100/52</f>
        <v>0</v>
      </c>
      <c r="F19" s="63"/>
      <c r="G19" s="38">
        <f t="shared" si="2"/>
        <v>0</v>
      </c>
      <c r="H19" s="38">
        <f t="shared" si="3"/>
        <v>0</v>
      </c>
      <c r="I19" s="62">
        <v>2</v>
      </c>
      <c r="J19" s="38">
        <f t="shared" si="4"/>
        <v>0</v>
      </c>
      <c r="K19" s="49">
        <f t="shared" si="5"/>
        <v>0</v>
      </c>
    </row>
    <row r="20" spans="2:11" ht="17" thickBot="1" x14ac:dyDescent="0.25">
      <c r="B20" s="50"/>
      <c r="C20" s="64"/>
      <c r="D20" s="52">
        <f t="shared" si="0"/>
        <v>0</v>
      </c>
      <c r="E20" s="53">
        <f t="shared" si="6"/>
        <v>0</v>
      </c>
      <c r="F20" s="65"/>
      <c r="G20" s="52">
        <f t="shared" si="2"/>
        <v>0</v>
      </c>
      <c r="H20" s="52">
        <f t="shared" si="3"/>
        <v>0</v>
      </c>
      <c r="I20" s="64"/>
      <c r="J20" s="52">
        <f t="shared" si="4"/>
        <v>0</v>
      </c>
      <c r="K20" s="53">
        <f t="shared" si="5"/>
        <v>0</v>
      </c>
    </row>
  </sheetData>
  <mergeCells count="3">
    <mergeCell ref="C9:E9"/>
    <mergeCell ref="F9:H9"/>
    <mergeCell ref="I9:K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AC38-EC9B-4B43-9428-DE1C3C87339C}">
  <dimension ref="A1:M30"/>
  <sheetViews>
    <sheetView zoomScaleNormal="100" workbookViewId="0">
      <selection activeCell="I30" sqref="A1:XFD1048576"/>
    </sheetView>
  </sheetViews>
  <sheetFormatPr baseColWidth="10" defaultRowHeight="18" customHeight="1" x14ac:dyDescent="0.2"/>
  <cols>
    <col min="1" max="16384" width="10.83203125" style="38"/>
  </cols>
  <sheetData>
    <row r="1" spans="1:12" ht="18" customHeight="1" x14ac:dyDescent="0.3">
      <c r="A1" s="37" t="s">
        <v>49</v>
      </c>
      <c r="D1" s="38" t="s">
        <v>43</v>
      </c>
    </row>
    <row r="2" spans="1:12" ht="18" customHeight="1" x14ac:dyDescent="0.25">
      <c r="A2" s="66" t="s">
        <v>50</v>
      </c>
    </row>
    <row r="3" spans="1:12" ht="18" customHeight="1" x14ac:dyDescent="0.25">
      <c r="A3" s="66" t="s">
        <v>44</v>
      </c>
    </row>
    <row r="4" spans="1:12" ht="18" customHeight="1" thickBot="1" x14ac:dyDescent="0.25"/>
    <row r="5" spans="1:12" ht="18" customHeight="1" x14ac:dyDescent="0.25">
      <c r="C5" s="40"/>
      <c r="D5" s="41" t="s">
        <v>2</v>
      </c>
      <c r="E5" s="42"/>
      <c r="F5" s="43"/>
      <c r="G5" s="42" t="s">
        <v>3</v>
      </c>
      <c r="H5" s="42"/>
      <c r="I5" s="42"/>
      <c r="J5" s="41" t="s">
        <v>45</v>
      </c>
      <c r="K5" s="42"/>
      <c r="L5" s="43"/>
    </row>
    <row r="6" spans="1:12" ht="18" customHeight="1" x14ac:dyDescent="0.25">
      <c r="C6" s="58" t="s">
        <v>7</v>
      </c>
      <c r="D6" s="59" t="s">
        <v>4</v>
      </c>
      <c r="E6" s="60" t="s">
        <v>5</v>
      </c>
      <c r="F6" s="61" t="s">
        <v>6</v>
      </c>
      <c r="G6" s="59" t="s">
        <v>4</v>
      </c>
      <c r="H6" s="60" t="s">
        <v>5</v>
      </c>
      <c r="I6" s="61" t="s">
        <v>6</v>
      </c>
      <c r="J6" s="59" t="s">
        <v>4</v>
      </c>
      <c r="K6" s="60" t="s">
        <v>5</v>
      </c>
      <c r="L6" s="61" t="s">
        <v>6</v>
      </c>
    </row>
    <row r="7" spans="1:12" ht="18" customHeight="1" x14ac:dyDescent="0.2">
      <c r="C7" s="44">
        <v>0</v>
      </c>
      <c r="D7" s="62"/>
      <c r="E7" s="38">
        <v>65</v>
      </c>
      <c r="F7" s="49">
        <f>E7*100/65</f>
        <v>100</v>
      </c>
      <c r="G7" s="62"/>
      <c r="H7" s="38">
        <v>68</v>
      </c>
      <c r="I7" s="49">
        <f>H7*100/68</f>
        <v>100</v>
      </c>
      <c r="J7" s="62"/>
      <c r="K7" s="38">
        <v>63</v>
      </c>
      <c r="L7" s="49">
        <f>K7*100/63</f>
        <v>100</v>
      </c>
    </row>
    <row r="8" spans="1:12" ht="18" customHeight="1" x14ac:dyDescent="0.2">
      <c r="C8" s="44">
        <v>17</v>
      </c>
      <c r="D8" s="62">
        <v>3</v>
      </c>
      <c r="E8" s="38">
        <f t="shared" ref="E8:E21" si="0">E7-D8</f>
        <v>62</v>
      </c>
      <c r="F8" s="49">
        <f t="shared" ref="F8:F21" si="1">E8*100/65</f>
        <v>95.384615384615387</v>
      </c>
      <c r="G8" s="62">
        <v>2</v>
      </c>
      <c r="H8" s="38">
        <f t="shared" ref="H8:H21" si="2">H7-G8</f>
        <v>66</v>
      </c>
      <c r="I8" s="49">
        <f t="shared" ref="I8:I21" si="3">H8*100/68</f>
        <v>97.058823529411768</v>
      </c>
      <c r="J8" s="62">
        <v>3</v>
      </c>
      <c r="K8" s="38">
        <f t="shared" ref="K8:K21" si="4">K7-J8</f>
        <v>60</v>
      </c>
      <c r="L8" s="49">
        <f t="shared" ref="L8:L21" si="5">K8*100/63</f>
        <v>95.238095238095241</v>
      </c>
    </row>
    <row r="9" spans="1:12" ht="18" customHeight="1" x14ac:dyDescent="0.2">
      <c r="C9" s="44">
        <v>19</v>
      </c>
      <c r="D9" s="62">
        <v>8</v>
      </c>
      <c r="E9" s="38">
        <f t="shared" si="0"/>
        <v>54</v>
      </c>
      <c r="F9" s="49">
        <f t="shared" si="1"/>
        <v>83.07692307692308</v>
      </c>
      <c r="G9" s="62">
        <v>5</v>
      </c>
      <c r="H9" s="38">
        <f t="shared" si="2"/>
        <v>61</v>
      </c>
      <c r="I9" s="49">
        <f t="shared" si="3"/>
        <v>89.705882352941174</v>
      </c>
      <c r="J9" s="62">
        <v>1</v>
      </c>
      <c r="K9" s="38">
        <f t="shared" si="4"/>
        <v>59</v>
      </c>
      <c r="L9" s="49">
        <f t="shared" si="5"/>
        <v>93.650793650793645</v>
      </c>
    </row>
    <row r="10" spans="1:12" ht="18" customHeight="1" x14ac:dyDescent="0.2">
      <c r="C10" s="44">
        <v>21</v>
      </c>
      <c r="D10" s="62">
        <v>9</v>
      </c>
      <c r="E10" s="38">
        <f t="shared" si="0"/>
        <v>45</v>
      </c>
      <c r="F10" s="49">
        <f t="shared" si="1"/>
        <v>69.230769230769226</v>
      </c>
      <c r="G10" s="62">
        <v>16</v>
      </c>
      <c r="H10" s="38">
        <f t="shared" si="2"/>
        <v>45</v>
      </c>
      <c r="I10" s="49">
        <f t="shared" si="3"/>
        <v>66.17647058823529</v>
      </c>
      <c r="J10" s="62">
        <v>1</v>
      </c>
      <c r="K10" s="38">
        <f t="shared" si="4"/>
        <v>58</v>
      </c>
      <c r="L10" s="49">
        <f t="shared" si="5"/>
        <v>92.063492063492063</v>
      </c>
    </row>
    <row r="11" spans="1:12" ht="18" customHeight="1" x14ac:dyDescent="0.2">
      <c r="C11" s="44">
        <v>23</v>
      </c>
      <c r="D11" s="62">
        <v>13</v>
      </c>
      <c r="E11" s="38">
        <f t="shared" si="0"/>
        <v>32</v>
      </c>
      <c r="F11" s="49">
        <f t="shared" si="1"/>
        <v>49.230769230769234</v>
      </c>
      <c r="G11" s="62">
        <v>12</v>
      </c>
      <c r="H11" s="38">
        <f t="shared" si="2"/>
        <v>33</v>
      </c>
      <c r="I11" s="49">
        <f t="shared" si="3"/>
        <v>48.529411764705884</v>
      </c>
      <c r="J11" s="62">
        <v>5</v>
      </c>
      <c r="K11" s="38">
        <f t="shared" si="4"/>
        <v>53</v>
      </c>
      <c r="L11" s="49">
        <f t="shared" si="5"/>
        <v>84.126984126984127</v>
      </c>
    </row>
    <row r="12" spans="1:12" ht="18" customHeight="1" x14ac:dyDescent="0.2">
      <c r="C12" s="44">
        <v>24</v>
      </c>
      <c r="D12" s="62">
        <v>6</v>
      </c>
      <c r="E12" s="38">
        <f t="shared" si="0"/>
        <v>26</v>
      </c>
      <c r="F12" s="49">
        <f t="shared" si="1"/>
        <v>40</v>
      </c>
      <c r="G12" s="62">
        <v>6</v>
      </c>
      <c r="H12" s="38">
        <f t="shared" si="2"/>
        <v>27</v>
      </c>
      <c r="I12" s="49">
        <f t="shared" si="3"/>
        <v>39.705882352941174</v>
      </c>
      <c r="J12" s="62">
        <v>10</v>
      </c>
      <c r="K12" s="38">
        <f t="shared" si="4"/>
        <v>43</v>
      </c>
      <c r="L12" s="49">
        <f t="shared" si="5"/>
        <v>68.253968253968253</v>
      </c>
    </row>
    <row r="13" spans="1:12" ht="18" customHeight="1" x14ac:dyDescent="0.2">
      <c r="C13" s="44">
        <v>25</v>
      </c>
      <c r="D13" s="62">
        <v>5</v>
      </c>
      <c r="E13" s="38">
        <f t="shared" si="0"/>
        <v>21</v>
      </c>
      <c r="F13" s="49">
        <f t="shared" si="1"/>
        <v>32.307692307692307</v>
      </c>
      <c r="G13" s="62">
        <v>3</v>
      </c>
      <c r="H13" s="38">
        <f t="shared" si="2"/>
        <v>24</v>
      </c>
      <c r="I13" s="49">
        <f t="shared" si="3"/>
        <v>35.294117647058826</v>
      </c>
      <c r="J13" s="62">
        <v>7</v>
      </c>
      <c r="K13" s="38">
        <f t="shared" si="4"/>
        <v>36</v>
      </c>
      <c r="L13" s="49">
        <f t="shared" si="5"/>
        <v>57.142857142857146</v>
      </c>
    </row>
    <row r="14" spans="1:12" ht="18" customHeight="1" x14ac:dyDescent="0.2">
      <c r="C14" s="44">
        <v>26</v>
      </c>
      <c r="D14" s="62">
        <v>5</v>
      </c>
      <c r="E14" s="38">
        <f t="shared" si="0"/>
        <v>16</v>
      </c>
      <c r="F14" s="49">
        <f t="shared" si="1"/>
        <v>24.615384615384617</v>
      </c>
      <c r="G14" s="62">
        <v>5</v>
      </c>
      <c r="H14" s="38">
        <f t="shared" si="2"/>
        <v>19</v>
      </c>
      <c r="I14" s="49">
        <f t="shared" si="3"/>
        <v>27.941176470588236</v>
      </c>
      <c r="J14" s="62">
        <v>6</v>
      </c>
      <c r="K14" s="38">
        <f t="shared" si="4"/>
        <v>30</v>
      </c>
      <c r="L14" s="49">
        <f t="shared" si="5"/>
        <v>47.61904761904762</v>
      </c>
    </row>
    <row r="15" spans="1:12" ht="18" customHeight="1" x14ac:dyDescent="0.2">
      <c r="C15" s="44">
        <v>27</v>
      </c>
      <c r="D15" s="62">
        <v>4</v>
      </c>
      <c r="E15" s="38">
        <f t="shared" si="0"/>
        <v>12</v>
      </c>
      <c r="F15" s="49">
        <f t="shared" si="1"/>
        <v>18.46153846153846</v>
      </c>
      <c r="G15" s="62">
        <v>5</v>
      </c>
      <c r="H15" s="38">
        <f t="shared" si="2"/>
        <v>14</v>
      </c>
      <c r="I15" s="49">
        <f t="shared" si="3"/>
        <v>20.588235294117649</v>
      </c>
      <c r="J15" s="62">
        <v>8</v>
      </c>
      <c r="K15" s="38">
        <f t="shared" si="4"/>
        <v>22</v>
      </c>
      <c r="L15" s="49">
        <f t="shared" si="5"/>
        <v>34.920634920634917</v>
      </c>
    </row>
    <row r="16" spans="1:12" ht="18" customHeight="1" x14ac:dyDescent="0.2">
      <c r="C16" s="44">
        <v>28</v>
      </c>
      <c r="D16" s="62">
        <v>2</v>
      </c>
      <c r="E16" s="38">
        <f t="shared" si="0"/>
        <v>10</v>
      </c>
      <c r="F16" s="49">
        <f t="shared" si="1"/>
        <v>15.384615384615385</v>
      </c>
      <c r="G16" s="62">
        <v>4</v>
      </c>
      <c r="H16" s="38">
        <f t="shared" si="2"/>
        <v>10</v>
      </c>
      <c r="I16" s="49">
        <f t="shared" si="3"/>
        <v>14.705882352941176</v>
      </c>
      <c r="J16" s="62">
        <v>5</v>
      </c>
      <c r="K16" s="38">
        <f t="shared" si="4"/>
        <v>17</v>
      </c>
      <c r="L16" s="49">
        <f t="shared" si="5"/>
        <v>26.984126984126984</v>
      </c>
    </row>
    <row r="17" spans="3:13" ht="18" customHeight="1" x14ac:dyDescent="0.2">
      <c r="C17" s="44">
        <v>29</v>
      </c>
      <c r="D17" s="62">
        <v>1</v>
      </c>
      <c r="E17" s="38">
        <f t="shared" si="0"/>
        <v>9</v>
      </c>
      <c r="F17" s="49">
        <f t="shared" si="1"/>
        <v>13.846153846153847</v>
      </c>
      <c r="G17" s="62">
        <v>2</v>
      </c>
      <c r="H17" s="38">
        <f t="shared" si="2"/>
        <v>8</v>
      </c>
      <c r="I17" s="49">
        <f t="shared" si="3"/>
        <v>11.764705882352942</v>
      </c>
      <c r="J17" s="62">
        <v>3</v>
      </c>
      <c r="K17" s="38">
        <f t="shared" si="4"/>
        <v>14</v>
      </c>
      <c r="L17" s="49">
        <f t="shared" si="5"/>
        <v>22.222222222222221</v>
      </c>
    </row>
    <row r="18" spans="3:13" ht="18" customHeight="1" x14ac:dyDescent="0.2">
      <c r="C18" s="44">
        <v>30</v>
      </c>
      <c r="D18" s="62">
        <v>2</v>
      </c>
      <c r="E18" s="38">
        <f t="shared" si="0"/>
        <v>7</v>
      </c>
      <c r="F18" s="49">
        <f t="shared" si="1"/>
        <v>10.76923076923077</v>
      </c>
      <c r="G18" s="62">
        <v>5</v>
      </c>
      <c r="H18" s="38">
        <f t="shared" si="2"/>
        <v>3</v>
      </c>
      <c r="I18" s="49">
        <f t="shared" si="3"/>
        <v>4.4117647058823533</v>
      </c>
      <c r="J18" s="62">
        <v>7</v>
      </c>
      <c r="K18" s="38">
        <f t="shared" si="4"/>
        <v>7</v>
      </c>
      <c r="L18" s="49">
        <f t="shared" si="5"/>
        <v>11.111111111111111</v>
      </c>
    </row>
    <row r="19" spans="3:13" ht="18" customHeight="1" x14ac:dyDescent="0.2">
      <c r="C19" s="44">
        <v>32</v>
      </c>
      <c r="D19" s="62">
        <v>6</v>
      </c>
      <c r="E19" s="38">
        <f t="shared" si="0"/>
        <v>1</v>
      </c>
      <c r="F19" s="49">
        <f t="shared" si="1"/>
        <v>1.5384615384615385</v>
      </c>
      <c r="G19" s="62">
        <v>3</v>
      </c>
      <c r="H19" s="38">
        <f t="shared" si="2"/>
        <v>0</v>
      </c>
      <c r="I19" s="49">
        <f t="shared" si="3"/>
        <v>0</v>
      </c>
      <c r="J19" s="62">
        <v>3</v>
      </c>
      <c r="K19" s="38">
        <f t="shared" si="4"/>
        <v>4</v>
      </c>
      <c r="L19" s="49">
        <f t="shared" si="5"/>
        <v>6.3492063492063489</v>
      </c>
    </row>
    <row r="20" spans="3:13" ht="18" customHeight="1" x14ac:dyDescent="0.2">
      <c r="C20" s="44">
        <v>34</v>
      </c>
      <c r="D20" s="62">
        <v>1</v>
      </c>
      <c r="E20" s="38">
        <f t="shared" si="0"/>
        <v>0</v>
      </c>
      <c r="F20" s="49">
        <f t="shared" si="1"/>
        <v>0</v>
      </c>
      <c r="G20" s="62"/>
      <c r="H20" s="38">
        <f t="shared" si="2"/>
        <v>0</v>
      </c>
      <c r="I20" s="49">
        <f t="shared" si="3"/>
        <v>0</v>
      </c>
      <c r="J20" s="62">
        <v>4</v>
      </c>
      <c r="K20" s="38">
        <f t="shared" si="4"/>
        <v>0</v>
      </c>
      <c r="L20" s="49">
        <f t="shared" si="5"/>
        <v>0</v>
      </c>
    </row>
    <row r="21" spans="3:13" ht="18" customHeight="1" thickBot="1" x14ac:dyDescent="0.25">
      <c r="C21" s="50">
        <v>35</v>
      </c>
      <c r="D21" s="67"/>
      <c r="E21" s="52">
        <f t="shared" si="0"/>
        <v>0</v>
      </c>
      <c r="F21" s="53">
        <f t="shared" si="1"/>
        <v>0</v>
      </c>
      <c r="G21" s="67"/>
      <c r="H21" s="52">
        <f t="shared" si="2"/>
        <v>0</v>
      </c>
      <c r="I21" s="53">
        <f t="shared" si="3"/>
        <v>0</v>
      </c>
      <c r="J21" s="51"/>
      <c r="K21" s="52">
        <f t="shared" si="4"/>
        <v>0</v>
      </c>
      <c r="L21" s="53">
        <f t="shared" si="5"/>
        <v>0</v>
      </c>
    </row>
    <row r="26" spans="3:13" ht="18" customHeight="1" x14ac:dyDescent="0.2">
      <c r="C26" s="68"/>
      <c r="D26" s="68"/>
      <c r="E26" s="68"/>
      <c r="F26" s="68"/>
      <c r="G26" s="68"/>
      <c r="H26" s="68"/>
      <c r="I26" s="68"/>
      <c r="J26" s="68"/>
      <c r="K26" s="68"/>
      <c r="L26" s="68"/>
      <c r="M26" s="68"/>
    </row>
    <row r="27" spans="3:13" ht="18" customHeight="1" x14ac:dyDescent="0.2">
      <c r="C27" s="68"/>
      <c r="D27" s="68"/>
      <c r="E27" s="68"/>
      <c r="F27" s="68"/>
      <c r="G27" s="68"/>
      <c r="H27" s="68"/>
      <c r="I27" s="68"/>
      <c r="J27" s="68"/>
      <c r="K27" s="68"/>
      <c r="L27" s="68"/>
      <c r="M27" s="68"/>
    </row>
    <row r="28" spans="3:13" ht="18" customHeight="1" x14ac:dyDescent="0.2">
      <c r="C28" s="68"/>
      <c r="D28" s="68"/>
      <c r="E28" s="68"/>
      <c r="F28" s="68"/>
      <c r="G28" s="68"/>
      <c r="H28" s="68"/>
      <c r="I28" s="68"/>
      <c r="J28" s="68"/>
      <c r="K28" s="68"/>
      <c r="L28" s="68"/>
      <c r="M28" s="68"/>
    </row>
    <row r="29" spans="3:13" ht="18" customHeight="1" x14ac:dyDescent="0.2">
      <c r="C29" s="68"/>
      <c r="D29" s="68"/>
      <c r="E29" s="68"/>
      <c r="F29" s="68"/>
      <c r="G29" s="68"/>
      <c r="H29" s="68"/>
      <c r="I29" s="68"/>
      <c r="J29" s="68"/>
      <c r="K29" s="68"/>
      <c r="L29" s="68"/>
      <c r="M29" s="68"/>
    </row>
    <row r="30" spans="3:13" ht="18" customHeight="1" x14ac:dyDescent="0.2">
      <c r="C30" s="68"/>
      <c r="D30" s="68"/>
      <c r="E30" s="68"/>
      <c r="F30" s="68"/>
      <c r="G30" s="68"/>
      <c r="H30" s="68"/>
      <c r="I30" s="68"/>
      <c r="J30" s="68"/>
      <c r="K30" s="68"/>
      <c r="L30" s="68"/>
      <c r="M30" s="68"/>
    </row>
  </sheetData>
  <mergeCells count="3">
    <mergeCell ref="D5:F5"/>
    <mergeCell ref="G5:I5"/>
    <mergeCell ref="J5:L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31EF-6FD2-C946-97B4-FDD1078820F2}">
  <dimension ref="C1:P26"/>
  <sheetViews>
    <sheetView zoomScaleNormal="100" workbookViewId="0">
      <selection activeCell="G14" sqref="A1:XFD1048576"/>
    </sheetView>
  </sheetViews>
  <sheetFormatPr baseColWidth="10" defaultRowHeight="16" x14ac:dyDescent="0.2"/>
  <cols>
    <col min="1" max="16384" width="10.83203125" style="38"/>
  </cols>
  <sheetData>
    <row r="1" spans="3:16" ht="26" x14ac:dyDescent="0.3">
      <c r="C1" s="38" t="s">
        <v>26</v>
      </c>
      <c r="D1" s="69" t="s">
        <v>68</v>
      </c>
    </row>
    <row r="2" spans="3:16" ht="21" customHeight="1" x14ac:dyDescent="0.2">
      <c r="D2" s="70" t="s">
        <v>15</v>
      </c>
      <c r="E2" s="70"/>
      <c r="F2" s="70"/>
      <c r="G2" s="70"/>
      <c r="H2" s="70"/>
      <c r="I2" s="70"/>
      <c r="J2" s="70"/>
    </row>
    <row r="3" spans="3:16" x14ac:dyDescent="0.2">
      <c r="D3" s="70" t="s">
        <v>16</v>
      </c>
      <c r="E3" s="70"/>
      <c r="F3" s="70"/>
      <c r="G3" s="70"/>
      <c r="H3" s="70"/>
      <c r="I3" s="70"/>
      <c r="J3" s="70"/>
      <c r="K3" s="70"/>
      <c r="L3" s="38" t="s">
        <v>28</v>
      </c>
    </row>
    <row r="4" spans="3:16" x14ac:dyDescent="0.2">
      <c r="C4" s="38" t="s">
        <v>27</v>
      </c>
    </row>
    <row r="5" spans="3:16" ht="17" thickBot="1" x14ac:dyDescent="0.25"/>
    <row r="6" spans="3:16" x14ac:dyDescent="0.2">
      <c r="J6" s="40"/>
      <c r="K6" s="71" t="s">
        <v>25</v>
      </c>
      <c r="L6" s="72"/>
      <c r="M6" s="73"/>
      <c r="N6" s="72" t="s">
        <v>51</v>
      </c>
      <c r="O6" s="72"/>
      <c r="P6" s="73"/>
    </row>
    <row r="7" spans="3:16" x14ac:dyDescent="0.2">
      <c r="J7" s="44" t="s">
        <v>7</v>
      </c>
      <c r="K7" s="74" t="s">
        <v>4</v>
      </c>
      <c r="L7" s="75" t="s">
        <v>5</v>
      </c>
      <c r="M7" s="76" t="s">
        <v>6</v>
      </c>
      <c r="N7" s="75" t="s">
        <v>4</v>
      </c>
      <c r="O7" s="75" t="s">
        <v>5</v>
      </c>
      <c r="P7" s="76" t="s">
        <v>6</v>
      </c>
    </row>
    <row r="8" spans="3:16" x14ac:dyDescent="0.2">
      <c r="J8" s="44">
        <v>0</v>
      </c>
      <c r="K8" s="62"/>
      <c r="L8" s="38">
        <v>55</v>
      </c>
      <c r="M8" s="49">
        <f>L8*100/55</f>
        <v>100</v>
      </c>
      <c r="N8" s="63"/>
      <c r="O8" s="38">
        <v>72</v>
      </c>
      <c r="P8" s="49">
        <f>O8*100/72</f>
        <v>100</v>
      </c>
    </row>
    <row r="9" spans="3:16" x14ac:dyDescent="0.2">
      <c r="J9" s="44">
        <v>20</v>
      </c>
      <c r="K9" s="62">
        <v>8</v>
      </c>
      <c r="L9" s="38">
        <f t="shared" ref="L9:L26" si="0">L8-K9</f>
        <v>47</v>
      </c>
      <c r="M9" s="49">
        <f t="shared" ref="M9:M26" si="1">L9*100/55</f>
        <v>85.454545454545453</v>
      </c>
      <c r="N9" s="63">
        <v>3</v>
      </c>
      <c r="O9" s="38">
        <f t="shared" ref="O9:O26" si="2">O8-N9</f>
        <v>69</v>
      </c>
      <c r="P9" s="49">
        <f t="shared" ref="P9:P26" si="3">O9*100/72</f>
        <v>95.833333333333329</v>
      </c>
    </row>
    <row r="10" spans="3:16" x14ac:dyDescent="0.2">
      <c r="J10" s="44">
        <v>23</v>
      </c>
      <c r="K10" s="62">
        <v>13</v>
      </c>
      <c r="L10" s="38">
        <f t="shared" si="0"/>
        <v>34</v>
      </c>
      <c r="M10" s="49">
        <f t="shared" si="1"/>
        <v>61.81818181818182</v>
      </c>
      <c r="N10" s="63">
        <v>3</v>
      </c>
      <c r="O10" s="38">
        <f t="shared" si="2"/>
        <v>66</v>
      </c>
      <c r="P10" s="49">
        <f t="shared" si="3"/>
        <v>91.666666666666671</v>
      </c>
    </row>
    <row r="11" spans="3:16" x14ac:dyDescent="0.2">
      <c r="J11" s="44">
        <v>25</v>
      </c>
      <c r="K11" s="62">
        <v>4</v>
      </c>
      <c r="L11" s="38">
        <f t="shared" si="0"/>
        <v>30</v>
      </c>
      <c r="M11" s="49">
        <f t="shared" si="1"/>
        <v>54.545454545454547</v>
      </c>
      <c r="N11" s="63">
        <v>9</v>
      </c>
      <c r="O11" s="38">
        <f t="shared" si="2"/>
        <v>57</v>
      </c>
      <c r="P11" s="49">
        <f t="shared" si="3"/>
        <v>79.166666666666671</v>
      </c>
    </row>
    <row r="12" spans="3:16" x14ac:dyDescent="0.2">
      <c r="J12" s="44">
        <v>27.5</v>
      </c>
      <c r="K12" s="62">
        <v>11</v>
      </c>
      <c r="L12" s="38">
        <f t="shared" si="0"/>
        <v>19</v>
      </c>
      <c r="M12" s="49">
        <f t="shared" si="1"/>
        <v>34.545454545454547</v>
      </c>
      <c r="N12" s="63">
        <v>17</v>
      </c>
      <c r="O12" s="38">
        <f t="shared" si="2"/>
        <v>40</v>
      </c>
      <c r="P12" s="49">
        <f t="shared" si="3"/>
        <v>55.555555555555557</v>
      </c>
    </row>
    <row r="13" spans="3:16" x14ac:dyDescent="0.2">
      <c r="J13" s="44">
        <v>28.5</v>
      </c>
      <c r="K13" s="62">
        <v>2</v>
      </c>
      <c r="L13" s="38">
        <f t="shared" si="0"/>
        <v>17</v>
      </c>
      <c r="M13" s="49">
        <f t="shared" si="1"/>
        <v>30.90909090909091</v>
      </c>
      <c r="N13" s="63">
        <v>3</v>
      </c>
      <c r="O13" s="38">
        <f t="shared" si="2"/>
        <v>37</v>
      </c>
      <c r="P13" s="49">
        <f t="shared" si="3"/>
        <v>51.388888888888886</v>
      </c>
    </row>
    <row r="14" spans="3:16" x14ac:dyDescent="0.2">
      <c r="J14" s="44">
        <v>29.5</v>
      </c>
      <c r="K14" s="62">
        <v>0</v>
      </c>
      <c r="L14" s="38">
        <f t="shared" si="0"/>
        <v>17</v>
      </c>
      <c r="M14" s="49">
        <f t="shared" si="1"/>
        <v>30.90909090909091</v>
      </c>
      <c r="N14" s="63">
        <v>5</v>
      </c>
      <c r="O14" s="38">
        <f t="shared" si="2"/>
        <v>32</v>
      </c>
      <c r="P14" s="49">
        <f t="shared" si="3"/>
        <v>44.444444444444443</v>
      </c>
    </row>
    <row r="15" spans="3:16" x14ac:dyDescent="0.2">
      <c r="J15" s="44">
        <v>30.5</v>
      </c>
      <c r="K15" s="62">
        <v>2</v>
      </c>
      <c r="L15" s="38">
        <f t="shared" si="0"/>
        <v>15</v>
      </c>
      <c r="M15" s="49">
        <f t="shared" si="1"/>
        <v>27.272727272727273</v>
      </c>
      <c r="N15" s="63">
        <v>3</v>
      </c>
      <c r="O15" s="38">
        <f t="shared" si="2"/>
        <v>29</v>
      </c>
      <c r="P15" s="49">
        <f t="shared" si="3"/>
        <v>40.277777777777779</v>
      </c>
    </row>
    <row r="16" spans="3:16" x14ac:dyDescent="0.2">
      <c r="J16" s="44">
        <v>31.5</v>
      </c>
      <c r="K16" s="62">
        <v>4</v>
      </c>
      <c r="L16" s="38">
        <f t="shared" si="0"/>
        <v>11</v>
      </c>
      <c r="M16" s="49">
        <f t="shared" si="1"/>
        <v>20</v>
      </c>
      <c r="N16" s="63">
        <v>3</v>
      </c>
      <c r="O16" s="38">
        <f t="shared" si="2"/>
        <v>26</v>
      </c>
      <c r="P16" s="49">
        <f t="shared" si="3"/>
        <v>36.111111111111114</v>
      </c>
    </row>
    <row r="17" spans="10:16" x14ac:dyDescent="0.2">
      <c r="J17" s="44">
        <v>32.5</v>
      </c>
      <c r="K17" s="62">
        <v>7</v>
      </c>
      <c r="L17" s="38">
        <f t="shared" si="0"/>
        <v>4</v>
      </c>
      <c r="M17" s="49">
        <f t="shared" si="1"/>
        <v>7.2727272727272725</v>
      </c>
      <c r="N17" s="63">
        <v>2</v>
      </c>
      <c r="O17" s="38">
        <f t="shared" si="2"/>
        <v>24</v>
      </c>
      <c r="P17" s="49">
        <f t="shared" si="3"/>
        <v>33.333333333333336</v>
      </c>
    </row>
    <row r="18" spans="10:16" x14ac:dyDescent="0.2">
      <c r="J18" s="44">
        <v>33.5</v>
      </c>
      <c r="K18" s="62">
        <v>1</v>
      </c>
      <c r="L18" s="38">
        <f t="shared" si="0"/>
        <v>3</v>
      </c>
      <c r="M18" s="49">
        <f t="shared" si="1"/>
        <v>5.4545454545454541</v>
      </c>
      <c r="N18" s="63">
        <v>3</v>
      </c>
      <c r="O18" s="38">
        <f t="shared" si="2"/>
        <v>21</v>
      </c>
      <c r="P18" s="49">
        <f t="shared" si="3"/>
        <v>29.166666666666668</v>
      </c>
    </row>
    <row r="19" spans="10:16" x14ac:dyDescent="0.2">
      <c r="J19" s="44">
        <v>35.5</v>
      </c>
      <c r="K19" s="62">
        <v>1</v>
      </c>
      <c r="L19" s="38">
        <f t="shared" si="0"/>
        <v>2</v>
      </c>
      <c r="M19" s="49">
        <f t="shared" si="1"/>
        <v>3.6363636363636362</v>
      </c>
      <c r="N19" s="63">
        <v>9</v>
      </c>
      <c r="O19" s="38">
        <f t="shared" si="2"/>
        <v>12</v>
      </c>
      <c r="P19" s="49">
        <f t="shared" si="3"/>
        <v>16.666666666666668</v>
      </c>
    </row>
    <row r="20" spans="10:16" x14ac:dyDescent="0.2">
      <c r="J20" s="44">
        <v>36.5</v>
      </c>
      <c r="K20" s="62">
        <v>0</v>
      </c>
      <c r="L20" s="38">
        <f t="shared" si="0"/>
        <v>2</v>
      </c>
      <c r="M20" s="49">
        <f t="shared" si="1"/>
        <v>3.6363636363636362</v>
      </c>
      <c r="N20" s="63">
        <v>4</v>
      </c>
      <c r="O20" s="38">
        <f t="shared" si="2"/>
        <v>8</v>
      </c>
      <c r="P20" s="49">
        <f t="shared" si="3"/>
        <v>11.111111111111111</v>
      </c>
    </row>
    <row r="21" spans="10:16" x14ac:dyDescent="0.2">
      <c r="J21" s="44">
        <v>37.5</v>
      </c>
      <c r="K21" s="62">
        <v>0</v>
      </c>
      <c r="L21" s="38">
        <f t="shared" si="0"/>
        <v>2</v>
      </c>
      <c r="M21" s="49">
        <f t="shared" si="1"/>
        <v>3.6363636363636362</v>
      </c>
      <c r="N21" s="63">
        <v>2</v>
      </c>
      <c r="O21" s="38">
        <f t="shared" si="2"/>
        <v>6</v>
      </c>
      <c r="P21" s="49">
        <f t="shared" si="3"/>
        <v>8.3333333333333339</v>
      </c>
    </row>
    <row r="22" spans="10:16" x14ac:dyDescent="0.2">
      <c r="J22" s="44">
        <v>40.5</v>
      </c>
      <c r="K22" s="48">
        <v>1</v>
      </c>
      <c r="L22" s="38">
        <f t="shared" si="0"/>
        <v>1</v>
      </c>
      <c r="M22" s="49">
        <f t="shared" si="1"/>
        <v>1.8181818181818181</v>
      </c>
      <c r="N22" s="38">
        <v>2</v>
      </c>
      <c r="O22" s="38">
        <f t="shared" si="2"/>
        <v>4</v>
      </c>
      <c r="P22" s="49">
        <f t="shared" si="3"/>
        <v>5.5555555555555554</v>
      </c>
    </row>
    <row r="23" spans="10:16" x14ac:dyDescent="0.2">
      <c r="J23" s="44">
        <v>43</v>
      </c>
      <c r="K23" s="48">
        <v>1</v>
      </c>
      <c r="L23" s="38">
        <f t="shared" si="0"/>
        <v>0</v>
      </c>
      <c r="M23" s="49">
        <f t="shared" si="1"/>
        <v>0</v>
      </c>
      <c r="N23" s="38">
        <v>1</v>
      </c>
      <c r="O23" s="38">
        <f t="shared" si="2"/>
        <v>3</v>
      </c>
      <c r="P23" s="49">
        <f t="shared" si="3"/>
        <v>4.166666666666667</v>
      </c>
    </row>
    <row r="24" spans="10:16" x14ac:dyDescent="0.2">
      <c r="J24" s="44">
        <v>44</v>
      </c>
      <c r="K24" s="48">
        <v>0</v>
      </c>
      <c r="L24" s="38">
        <f t="shared" si="0"/>
        <v>0</v>
      </c>
      <c r="M24" s="49">
        <f t="shared" si="1"/>
        <v>0</v>
      </c>
      <c r="N24" s="38">
        <v>2</v>
      </c>
      <c r="O24" s="38">
        <f t="shared" si="2"/>
        <v>1</v>
      </c>
      <c r="P24" s="49">
        <f t="shared" si="3"/>
        <v>1.3888888888888888</v>
      </c>
    </row>
    <row r="25" spans="10:16" x14ac:dyDescent="0.2">
      <c r="J25" s="44">
        <v>46</v>
      </c>
      <c r="K25" s="48"/>
      <c r="L25" s="38">
        <f t="shared" si="0"/>
        <v>0</v>
      </c>
      <c r="M25" s="49">
        <f t="shared" si="1"/>
        <v>0</v>
      </c>
      <c r="N25" s="38">
        <v>0</v>
      </c>
      <c r="O25" s="38">
        <f t="shared" si="2"/>
        <v>1</v>
      </c>
      <c r="P25" s="49">
        <f t="shared" si="3"/>
        <v>1.3888888888888888</v>
      </c>
    </row>
    <row r="26" spans="10:16" ht="17" thickBot="1" x14ac:dyDescent="0.25">
      <c r="J26" s="50">
        <v>47</v>
      </c>
      <c r="K26" s="51"/>
      <c r="L26" s="52">
        <f t="shared" si="0"/>
        <v>0</v>
      </c>
      <c r="M26" s="53">
        <f t="shared" si="1"/>
        <v>0</v>
      </c>
      <c r="N26" s="52">
        <v>1</v>
      </c>
      <c r="O26" s="52">
        <f t="shared" si="2"/>
        <v>0</v>
      </c>
      <c r="P26" s="53">
        <f t="shared" si="3"/>
        <v>0</v>
      </c>
    </row>
  </sheetData>
  <mergeCells count="4">
    <mergeCell ref="K6:M6"/>
    <mergeCell ref="N6:P6"/>
    <mergeCell ref="D2:J2"/>
    <mergeCell ref="D3: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BD0B-CBCD-9347-98A6-790ACC0DA642}">
  <dimension ref="B1:V48"/>
  <sheetViews>
    <sheetView zoomScaleNormal="100" workbookViewId="0">
      <selection activeCell="J33" sqref="A1:XFD1048576"/>
    </sheetView>
  </sheetViews>
  <sheetFormatPr baseColWidth="10" defaultRowHeight="16" x14ac:dyDescent="0.2"/>
  <cols>
    <col min="1" max="16384" width="10.83203125" style="38"/>
  </cols>
  <sheetData>
    <row r="1" spans="2:22" x14ac:dyDescent="0.2">
      <c r="B1" s="38" t="s">
        <v>54</v>
      </c>
      <c r="C1" s="38" t="s">
        <v>37</v>
      </c>
      <c r="D1" s="38" t="s">
        <v>55</v>
      </c>
      <c r="E1" s="38" t="s">
        <v>38</v>
      </c>
    </row>
    <row r="2" spans="2:22" ht="21" x14ac:dyDescent="0.25">
      <c r="C2" s="77" t="s">
        <v>53</v>
      </c>
    </row>
    <row r="3" spans="2:22" x14ac:dyDescent="0.2">
      <c r="D3" s="38" t="s">
        <v>33</v>
      </c>
    </row>
    <row r="4" spans="2:22" x14ac:dyDescent="0.2">
      <c r="D4" s="38" t="s">
        <v>34</v>
      </c>
    </row>
    <row r="5" spans="2:22" x14ac:dyDescent="0.2">
      <c r="D5" s="38" t="s">
        <v>35</v>
      </c>
    </row>
    <row r="6" spans="2:22" x14ac:dyDescent="0.2">
      <c r="D6" s="38" t="s">
        <v>52</v>
      </c>
      <c r="U6" s="48"/>
    </row>
    <row r="7" spans="2:22" ht="17" thickBot="1" x14ac:dyDescent="0.25">
      <c r="D7" s="38" t="s">
        <v>36</v>
      </c>
    </row>
    <row r="8" spans="2:22" s="78" customFormat="1" ht="35" customHeight="1" x14ac:dyDescent="0.2">
      <c r="C8" s="38"/>
      <c r="D8" s="79"/>
      <c r="E8" s="80" t="s">
        <v>29</v>
      </c>
      <c r="F8" s="81"/>
      <c r="G8" s="82"/>
      <c r="H8" s="80" t="s">
        <v>30</v>
      </c>
      <c r="I8" s="81"/>
      <c r="J8" s="82"/>
      <c r="K8" s="80" t="s">
        <v>32</v>
      </c>
      <c r="L8" s="81"/>
      <c r="M8" s="82"/>
      <c r="N8" s="81" t="s">
        <v>31</v>
      </c>
      <c r="O8" s="81"/>
      <c r="P8" s="82"/>
    </row>
    <row r="9" spans="2:22" ht="19" x14ac:dyDescent="0.25">
      <c r="D9" s="58" t="s">
        <v>7</v>
      </c>
      <c r="E9" s="59" t="s">
        <v>4</v>
      </c>
      <c r="F9" s="60" t="s">
        <v>5</v>
      </c>
      <c r="G9" s="61" t="s">
        <v>6</v>
      </c>
      <c r="H9" s="59" t="s">
        <v>4</v>
      </c>
      <c r="I9" s="60" t="s">
        <v>5</v>
      </c>
      <c r="J9" s="61" t="s">
        <v>6</v>
      </c>
      <c r="K9" s="59" t="s">
        <v>4</v>
      </c>
      <c r="L9" s="60" t="s">
        <v>5</v>
      </c>
      <c r="M9" s="61" t="s">
        <v>6</v>
      </c>
      <c r="N9" s="60" t="s">
        <v>4</v>
      </c>
      <c r="O9" s="60" t="s">
        <v>5</v>
      </c>
      <c r="P9" s="61" t="s">
        <v>6</v>
      </c>
    </row>
    <row r="10" spans="2:22" x14ac:dyDescent="0.2">
      <c r="D10" s="44">
        <v>0</v>
      </c>
      <c r="E10" s="62"/>
      <c r="F10" s="38">
        <v>52</v>
      </c>
      <c r="G10" s="49">
        <f>F10*100/52</f>
        <v>100</v>
      </c>
      <c r="H10" s="62"/>
      <c r="I10" s="38">
        <v>52</v>
      </c>
      <c r="J10" s="49">
        <f>I10*100/52</f>
        <v>100</v>
      </c>
      <c r="K10" s="62"/>
      <c r="L10" s="38">
        <v>52</v>
      </c>
      <c r="M10" s="49">
        <f>L10*100/52</f>
        <v>100</v>
      </c>
      <c r="N10" s="63"/>
      <c r="O10" s="38">
        <v>50</v>
      </c>
      <c r="P10" s="49">
        <f>O10*100/50</f>
        <v>100</v>
      </c>
    </row>
    <row r="11" spans="2:22" x14ac:dyDescent="0.2">
      <c r="D11" s="44">
        <v>20</v>
      </c>
      <c r="E11" s="62">
        <v>0</v>
      </c>
      <c r="F11" s="38">
        <f t="shared" ref="F11:F28" si="0">F10-E11</f>
        <v>52</v>
      </c>
      <c r="G11" s="49">
        <f t="shared" ref="G11:G28" si="1">F11*100/52</f>
        <v>100</v>
      </c>
      <c r="H11" s="62">
        <v>0</v>
      </c>
      <c r="I11" s="38">
        <f t="shared" ref="I11:I28" si="2">I10-H11</f>
        <v>52</v>
      </c>
      <c r="J11" s="49">
        <f>I11*100/52</f>
        <v>100</v>
      </c>
      <c r="K11" s="62">
        <v>0</v>
      </c>
      <c r="L11" s="38">
        <f t="shared" ref="L11:L28" si="3">L10-K11</f>
        <v>52</v>
      </c>
      <c r="M11" s="49">
        <f>L11*100/52</f>
        <v>100</v>
      </c>
      <c r="N11" s="63">
        <v>1</v>
      </c>
      <c r="O11" s="38">
        <f t="shared" ref="O11:O28" si="4">O10-N11</f>
        <v>49</v>
      </c>
      <c r="P11" s="49">
        <f>O11*100/50</f>
        <v>98</v>
      </c>
    </row>
    <row r="12" spans="2:22" x14ac:dyDescent="0.2">
      <c r="D12" s="44">
        <v>22</v>
      </c>
      <c r="E12" s="62">
        <v>0</v>
      </c>
      <c r="F12" s="38">
        <f t="shared" si="0"/>
        <v>52</v>
      </c>
      <c r="G12" s="49">
        <f t="shared" si="1"/>
        <v>100</v>
      </c>
      <c r="H12" s="62">
        <v>0</v>
      </c>
      <c r="I12" s="38">
        <f t="shared" si="2"/>
        <v>52</v>
      </c>
      <c r="J12" s="49">
        <f t="shared" ref="J12:J28" si="5">I12*100/52</f>
        <v>100</v>
      </c>
      <c r="K12" s="62">
        <v>0</v>
      </c>
      <c r="L12" s="38">
        <f t="shared" si="3"/>
        <v>52</v>
      </c>
      <c r="M12" s="49">
        <f t="shared" ref="M12:M28" si="6">L12*100/52</f>
        <v>100</v>
      </c>
      <c r="N12" s="63">
        <v>0</v>
      </c>
      <c r="O12" s="38">
        <f t="shared" si="4"/>
        <v>49</v>
      </c>
      <c r="P12" s="49">
        <f t="shared" ref="P12:P28" si="7">O12*100/50</f>
        <v>98</v>
      </c>
    </row>
    <row r="13" spans="2:22" x14ac:dyDescent="0.2">
      <c r="D13" s="44">
        <v>24</v>
      </c>
      <c r="E13" s="62">
        <v>0</v>
      </c>
      <c r="F13" s="38">
        <f t="shared" si="0"/>
        <v>52</v>
      </c>
      <c r="G13" s="49">
        <f t="shared" si="1"/>
        <v>100</v>
      </c>
      <c r="H13" s="62">
        <v>0</v>
      </c>
      <c r="I13" s="38">
        <f t="shared" si="2"/>
        <v>52</v>
      </c>
      <c r="J13" s="49">
        <f t="shared" si="5"/>
        <v>100</v>
      </c>
      <c r="K13" s="62">
        <v>0</v>
      </c>
      <c r="L13" s="38">
        <f t="shared" si="3"/>
        <v>52</v>
      </c>
      <c r="M13" s="49">
        <f t="shared" si="6"/>
        <v>100</v>
      </c>
      <c r="N13" s="63">
        <v>0</v>
      </c>
      <c r="O13" s="38">
        <f t="shared" si="4"/>
        <v>49</v>
      </c>
      <c r="P13" s="49">
        <f t="shared" si="7"/>
        <v>98</v>
      </c>
    </row>
    <row r="14" spans="2:22" ht="21" x14ac:dyDescent="0.25">
      <c r="D14" s="44">
        <v>26</v>
      </c>
      <c r="E14" s="62">
        <v>0</v>
      </c>
      <c r="F14" s="38">
        <f t="shared" si="0"/>
        <v>52</v>
      </c>
      <c r="G14" s="49">
        <f t="shared" si="1"/>
        <v>100</v>
      </c>
      <c r="H14" s="62">
        <v>0</v>
      </c>
      <c r="I14" s="38">
        <f t="shared" si="2"/>
        <v>52</v>
      </c>
      <c r="J14" s="49">
        <f t="shared" si="5"/>
        <v>100</v>
      </c>
      <c r="K14" s="62">
        <v>0</v>
      </c>
      <c r="L14" s="38">
        <f t="shared" si="3"/>
        <v>52</v>
      </c>
      <c r="M14" s="49">
        <f t="shared" si="6"/>
        <v>100</v>
      </c>
      <c r="N14" s="63">
        <v>0</v>
      </c>
      <c r="O14" s="38">
        <f t="shared" si="4"/>
        <v>49</v>
      </c>
      <c r="P14" s="49">
        <f t="shared" si="7"/>
        <v>98</v>
      </c>
      <c r="V14" s="83"/>
    </row>
    <row r="15" spans="2:22" ht="21" x14ac:dyDescent="0.25">
      <c r="D15" s="44">
        <v>28</v>
      </c>
      <c r="E15" s="62">
        <v>1</v>
      </c>
      <c r="F15" s="38">
        <f t="shared" si="0"/>
        <v>51</v>
      </c>
      <c r="G15" s="49">
        <f t="shared" si="1"/>
        <v>98.07692307692308</v>
      </c>
      <c r="H15" s="62">
        <v>0</v>
      </c>
      <c r="I15" s="38">
        <f t="shared" si="2"/>
        <v>52</v>
      </c>
      <c r="J15" s="49">
        <f t="shared" si="5"/>
        <v>100</v>
      </c>
      <c r="K15" s="62">
        <v>1</v>
      </c>
      <c r="L15" s="38">
        <f t="shared" si="3"/>
        <v>51</v>
      </c>
      <c r="M15" s="49">
        <f t="shared" si="6"/>
        <v>98.07692307692308</v>
      </c>
      <c r="N15" s="63">
        <v>0</v>
      </c>
      <c r="O15" s="38">
        <f t="shared" si="4"/>
        <v>49</v>
      </c>
      <c r="P15" s="49">
        <f t="shared" si="7"/>
        <v>98</v>
      </c>
      <c r="V15" s="83"/>
    </row>
    <row r="16" spans="2:22" ht="21" x14ac:dyDescent="0.25">
      <c r="D16" s="44">
        <v>30</v>
      </c>
      <c r="E16" s="62">
        <v>2</v>
      </c>
      <c r="F16" s="38">
        <f t="shared" si="0"/>
        <v>49</v>
      </c>
      <c r="G16" s="49">
        <f t="shared" si="1"/>
        <v>94.230769230769226</v>
      </c>
      <c r="H16" s="62">
        <v>0</v>
      </c>
      <c r="I16" s="38">
        <f t="shared" si="2"/>
        <v>52</v>
      </c>
      <c r="J16" s="49">
        <f t="shared" si="5"/>
        <v>100</v>
      </c>
      <c r="K16" s="62">
        <v>5</v>
      </c>
      <c r="L16" s="38">
        <f t="shared" si="3"/>
        <v>46</v>
      </c>
      <c r="M16" s="49">
        <f t="shared" si="6"/>
        <v>88.461538461538467</v>
      </c>
      <c r="N16" s="63">
        <v>0</v>
      </c>
      <c r="O16" s="38">
        <f t="shared" si="4"/>
        <v>49</v>
      </c>
      <c r="P16" s="49">
        <f t="shared" si="7"/>
        <v>98</v>
      </c>
      <c r="V16" s="83"/>
    </row>
    <row r="17" spans="4:22" ht="21" x14ac:dyDescent="0.25">
      <c r="D17" s="44">
        <v>32</v>
      </c>
      <c r="E17" s="62">
        <v>4</v>
      </c>
      <c r="F17" s="38">
        <f t="shared" si="0"/>
        <v>45</v>
      </c>
      <c r="G17" s="49">
        <f t="shared" si="1"/>
        <v>86.538461538461533</v>
      </c>
      <c r="H17" s="62">
        <v>0</v>
      </c>
      <c r="I17" s="38">
        <f t="shared" si="2"/>
        <v>52</v>
      </c>
      <c r="J17" s="49">
        <f t="shared" si="5"/>
        <v>100</v>
      </c>
      <c r="K17" s="62">
        <v>4</v>
      </c>
      <c r="L17" s="38">
        <f t="shared" si="3"/>
        <v>42</v>
      </c>
      <c r="M17" s="49">
        <f t="shared" si="6"/>
        <v>80.769230769230774</v>
      </c>
      <c r="N17" s="63">
        <v>0</v>
      </c>
      <c r="O17" s="38">
        <f t="shared" si="4"/>
        <v>49</v>
      </c>
      <c r="P17" s="49">
        <f t="shared" si="7"/>
        <v>98</v>
      </c>
      <c r="V17" s="83"/>
    </row>
    <row r="18" spans="4:22" ht="21" x14ac:dyDescent="0.25">
      <c r="D18" s="44">
        <v>34</v>
      </c>
      <c r="E18" s="62">
        <v>4</v>
      </c>
      <c r="F18" s="38">
        <f t="shared" si="0"/>
        <v>41</v>
      </c>
      <c r="G18" s="49">
        <f t="shared" si="1"/>
        <v>78.84615384615384</v>
      </c>
      <c r="H18" s="62">
        <v>4</v>
      </c>
      <c r="I18" s="38">
        <f t="shared" si="2"/>
        <v>48</v>
      </c>
      <c r="J18" s="49">
        <f t="shared" si="5"/>
        <v>92.307692307692307</v>
      </c>
      <c r="K18" s="62">
        <v>5</v>
      </c>
      <c r="L18" s="38">
        <f t="shared" si="3"/>
        <v>37</v>
      </c>
      <c r="M18" s="49">
        <f t="shared" si="6"/>
        <v>71.15384615384616</v>
      </c>
      <c r="N18" s="63">
        <v>0</v>
      </c>
      <c r="O18" s="38">
        <f t="shared" si="4"/>
        <v>49</v>
      </c>
      <c r="P18" s="49">
        <f t="shared" si="7"/>
        <v>98</v>
      </c>
      <c r="V18" s="83"/>
    </row>
    <row r="19" spans="4:22" ht="21" x14ac:dyDescent="0.25">
      <c r="D19" s="44">
        <v>36</v>
      </c>
      <c r="E19" s="62">
        <v>4</v>
      </c>
      <c r="F19" s="38">
        <f t="shared" si="0"/>
        <v>37</v>
      </c>
      <c r="G19" s="49">
        <f t="shared" si="1"/>
        <v>71.15384615384616</v>
      </c>
      <c r="H19" s="62">
        <v>4</v>
      </c>
      <c r="I19" s="38">
        <f t="shared" si="2"/>
        <v>44</v>
      </c>
      <c r="J19" s="49">
        <f t="shared" si="5"/>
        <v>84.615384615384613</v>
      </c>
      <c r="K19" s="62">
        <v>6</v>
      </c>
      <c r="L19" s="38">
        <f t="shared" si="3"/>
        <v>31</v>
      </c>
      <c r="M19" s="49">
        <f t="shared" si="6"/>
        <v>59.615384615384613</v>
      </c>
      <c r="N19" s="63">
        <v>2</v>
      </c>
      <c r="O19" s="38">
        <f t="shared" si="4"/>
        <v>47</v>
      </c>
      <c r="P19" s="49">
        <f t="shared" si="7"/>
        <v>94</v>
      </c>
      <c r="V19" s="83"/>
    </row>
    <row r="20" spans="4:22" ht="21" x14ac:dyDescent="0.25">
      <c r="D20" s="44">
        <v>38</v>
      </c>
      <c r="E20" s="62">
        <v>7</v>
      </c>
      <c r="F20" s="38">
        <f t="shared" si="0"/>
        <v>30</v>
      </c>
      <c r="G20" s="49">
        <f t="shared" si="1"/>
        <v>57.692307692307693</v>
      </c>
      <c r="H20" s="62">
        <v>2</v>
      </c>
      <c r="I20" s="38">
        <f t="shared" si="2"/>
        <v>42</v>
      </c>
      <c r="J20" s="49">
        <f t="shared" si="5"/>
        <v>80.769230769230774</v>
      </c>
      <c r="K20" s="62">
        <v>7</v>
      </c>
      <c r="L20" s="38">
        <f t="shared" si="3"/>
        <v>24</v>
      </c>
      <c r="M20" s="49">
        <f t="shared" si="6"/>
        <v>46.153846153846153</v>
      </c>
      <c r="N20" s="63">
        <v>4</v>
      </c>
      <c r="O20" s="38">
        <f t="shared" si="4"/>
        <v>43</v>
      </c>
      <c r="P20" s="49">
        <f t="shared" si="7"/>
        <v>86</v>
      </c>
      <c r="V20" s="83"/>
    </row>
    <row r="21" spans="4:22" ht="21" x14ac:dyDescent="0.25">
      <c r="D21" s="44">
        <v>40</v>
      </c>
      <c r="E21" s="62">
        <v>7</v>
      </c>
      <c r="F21" s="38">
        <f t="shared" si="0"/>
        <v>23</v>
      </c>
      <c r="G21" s="49">
        <f t="shared" si="1"/>
        <v>44.230769230769234</v>
      </c>
      <c r="H21" s="62">
        <v>3</v>
      </c>
      <c r="I21" s="38">
        <f t="shared" si="2"/>
        <v>39</v>
      </c>
      <c r="J21" s="49">
        <f t="shared" si="5"/>
        <v>75</v>
      </c>
      <c r="K21" s="62">
        <v>3</v>
      </c>
      <c r="L21" s="38">
        <f t="shared" si="3"/>
        <v>21</v>
      </c>
      <c r="M21" s="49">
        <f t="shared" si="6"/>
        <v>40.384615384615387</v>
      </c>
      <c r="N21" s="63">
        <v>7</v>
      </c>
      <c r="O21" s="38">
        <f t="shared" si="4"/>
        <v>36</v>
      </c>
      <c r="P21" s="49">
        <f t="shared" si="7"/>
        <v>72</v>
      </c>
      <c r="V21" s="83"/>
    </row>
    <row r="22" spans="4:22" ht="21" x14ac:dyDescent="0.25">
      <c r="D22" s="44">
        <v>42</v>
      </c>
      <c r="E22" s="62">
        <v>4</v>
      </c>
      <c r="F22" s="38">
        <f t="shared" si="0"/>
        <v>19</v>
      </c>
      <c r="G22" s="49">
        <f t="shared" si="1"/>
        <v>36.53846153846154</v>
      </c>
      <c r="H22" s="62">
        <v>8</v>
      </c>
      <c r="I22" s="38">
        <f t="shared" si="2"/>
        <v>31</v>
      </c>
      <c r="J22" s="49">
        <f t="shared" si="5"/>
        <v>59.615384615384613</v>
      </c>
      <c r="K22" s="62">
        <v>4</v>
      </c>
      <c r="L22" s="38">
        <f t="shared" si="3"/>
        <v>17</v>
      </c>
      <c r="M22" s="49">
        <f t="shared" si="6"/>
        <v>32.692307692307693</v>
      </c>
      <c r="N22" s="63">
        <v>9</v>
      </c>
      <c r="O22" s="38">
        <f t="shared" si="4"/>
        <v>27</v>
      </c>
      <c r="P22" s="49">
        <f t="shared" si="7"/>
        <v>54</v>
      </c>
      <c r="V22" s="83"/>
    </row>
    <row r="23" spans="4:22" ht="21" x14ac:dyDescent="0.25">
      <c r="D23" s="44">
        <v>44</v>
      </c>
      <c r="E23" s="62">
        <v>5</v>
      </c>
      <c r="F23" s="38">
        <f t="shared" si="0"/>
        <v>14</v>
      </c>
      <c r="G23" s="49">
        <f t="shared" si="1"/>
        <v>26.923076923076923</v>
      </c>
      <c r="H23" s="62">
        <v>7</v>
      </c>
      <c r="I23" s="38">
        <f t="shared" si="2"/>
        <v>24</v>
      </c>
      <c r="J23" s="49">
        <f t="shared" si="5"/>
        <v>46.153846153846153</v>
      </c>
      <c r="K23" s="62">
        <v>5</v>
      </c>
      <c r="L23" s="38">
        <f t="shared" si="3"/>
        <v>12</v>
      </c>
      <c r="M23" s="49">
        <f t="shared" si="6"/>
        <v>23.076923076923077</v>
      </c>
      <c r="N23" s="63">
        <v>6</v>
      </c>
      <c r="O23" s="38">
        <f t="shared" si="4"/>
        <v>21</v>
      </c>
      <c r="P23" s="49">
        <f t="shared" si="7"/>
        <v>42</v>
      </c>
      <c r="V23" s="83"/>
    </row>
    <row r="24" spans="4:22" ht="21" x14ac:dyDescent="0.25">
      <c r="D24" s="44">
        <v>46</v>
      </c>
      <c r="E24" s="48">
        <v>4</v>
      </c>
      <c r="F24" s="38">
        <f t="shared" si="0"/>
        <v>10</v>
      </c>
      <c r="G24" s="49">
        <f t="shared" si="1"/>
        <v>19.23076923076923</v>
      </c>
      <c r="H24" s="48">
        <v>5</v>
      </c>
      <c r="I24" s="38">
        <f t="shared" si="2"/>
        <v>19</v>
      </c>
      <c r="J24" s="49">
        <f t="shared" si="5"/>
        <v>36.53846153846154</v>
      </c>
      <c r="K24" s="48">
        <v>5</v>
      </c>
      <c r="L24" s="38">
        <f t="shared" si="3"/>
        <v>7</v>
      </c>
      <c r="M24" s="49">
        <f t="shared" si="6"/>
        <v>13.461538461538462</v>
      </c>
      <c r="N24" s="38">
        <v>3</v>
      </c>
      <c r="O24" s="38">
        <f t="shared" si="4"/>
        <v>18</v>
      </c>
      <c r="P24" s="49">
        <f t="shared" si="7"/>
        <v>36</v>
      </c>
      <c r="V24" s="83"/>
    </row>
    <row r="25" spans="4:22" ht="21" x14ac:dyDescent="0.25">
      <c r="D25" s="44">
        <v>48</v>
      </c>
      <c r="E25" s="48">
        <v>3</v>
      </c>
      <c r="F25" s="38">
        <f t="shared" si="0"/>
        <v>7</v>
      </c>
      <c r="G25" s="49">
        <f t="shared" si="1"/>
        <v>13.461538461538462</v>
      </c>
      <c r="H25" s="48">
        <v>6</v>
      </c>
      <c r="I25" s="38">
        <f t="shared" si="2"/>
        <v>13</v>
      </c>
      <c r="J25" s="49">
        <f t="shared" si="5"/>
        <v>25</v>
      </c>
      <c r="K25" s="48">
        <v>3</v>
      </c>
      <c r="L25" s="38">
        <f t="shared" si="3"/>
        <v>4</v>
      </c>
      <c r="M25" s="49">
        <f t="shared" si="6"/>
        <v>7.6923076923076925</v>
      </c>
      <c r="N25" s="38">
        <v>2</v>
      </c>
      <c r="O25" s="38">
        <f t="shared" si="4"/>
        <v>16</v>
      </c>
      <c r="P25" s="49">
        <f t="shared" si="7"/>
        <v>32</v>
      </c>
      <c r="V25" s="83"/>
    </row>
    <row r="26" spans="4:22" x14ac:dyDescent="0.2">
      <c r="D26" s="44">
        <v>51</v>
      </c>
      <c r="E26" s="48">
        <v>4</v>
      </c>
      <c r="F26" s="38">
        <f t="shared" si="0"/>
        <v>3</v>
      </c>
      <c r="G26" s="49">
        <f t="shared" si="1"/>
        <v>5.7692307692307692</v>
      </c>
      <c r="H26" s="48">
        <v>5</v>
      </c>
      <c r="I26" s="38">
        <f t="shared" si="2"/>
        <v>8</v>
      </c>
      <c r="J26" s="49">
        <f t="shared" si="5"/>
        <v>15.384615384615385</v>
      </c>
      <c r="K26" s="48">
        <v>1</v>
      </c>
      <c r="L26" s="38">
        <f t="shared" si="3"/>
        <v>3</v>
      </c>
      <c r="M26" s="49">
        <f t="shared" si="6"/>
        <v>5.7692307692307692</v>
      </c>
      <c r="N26" s="38">
        <v>9</v>
      </c>
      <c r="O26" s="38">
        <f t="shared" si="4"/>
        <v>7</v>
      </c>
      <c r="P26" s="49">
        <f t="shared" si="7"/>
        <v>14</v>
      </c>
      <c r="V26" s="68"/>
    </row>
    <row r="27" spans="4:22" x14ac:dyDescent="0.2">
      <c r="D27" s="44">
        <v>54</v>
      </c>
      <c r="E27" s="48">
        <v>1</v>
      </c>
      <c r="F27" s="38">
        <f t="shared" si="0"/>
        <v>2</v>
      </c>
      <c r="G27" s="49">
        <f t="shared" si="1"/>
        <v>3.8461538461538463</v>
      </c>
      <c r="H27" s="48">
        <v>3</v>
      </c>
      <c r="I27" s="38">
        <f t="shared" si="2"/>
        <v>5</v>
      </c>
      <c r="J27" s="49">
        <f t="shared" si="5"/>
        <v>9.615384615384615</v>
      </c>
      <c r="K27" s="48">
        <v>1</v>
      </c>
      <c r="L27" s="38">
        <f t="shared" si="3"/>
        <v>2</v>
      </c>
      <c r="M27" s="49">
        <f t="shared" si="6"/>
        <v>3.8461538461538463</v>
      </c>
      <c r="N27" s="38">
        <v>2</v>
      </c>
      <c r="O27" s="38">
        <f t="shared" si="4"/>
        <v>5</v>
      </c>
      <c r="P27" s="49">
        <f t="shared" si="7"/>
        <v>10</v>
      </c>
      <c r="V27" s="68"/>
    </row>
    <row r="28" spans="4:22" ht="17" thickBot="1" x14ac:dyDescent="0.25">
      <c r="D28" s="50">
        <v>60</v>
      </c>
      <c r="E28" s="51">
        <v>2</v>
      </c>
      <c r="F28" s="52">
        <f t="shared" si="0"/>
        <v>0</v>
      </c>
      <c r="G28" s="53">
        <f t="shared" si="1"/>
        <v>0</v>
      </c>
      <c r="H28" s="51">
        <v>5</v>
      </c>
      <c r="I28" s="52">
        <f t="shared" si="2"/>
        <v>0</v>
      </c>
      <c r="J28" s="53">
        <f t="shared" si="5"/>
        <v>0</v>
      </c>
      <c r="K28" s="51">
        <v>2</v>
      </c>
      <c r="L28" s="52">
        <f t="shared" si="3"/>
        <v>0</v>
      </c>
      <c r="M28" s="53">
        <f t="shared" si="6"/>
        <v>0</v>
      </c>
      <c r="N28" s="52">
        <v>5</v>
      </c>
      <c r="O28" s="52">
        <f t="shared" si="4"/>
        <v>0</v>
      </c>
      <c r="P28" s="53">
        <f t="shared" si="7"/>
        <v>0</v>
      </c>
      <c r="V28" s="68"/>
    </row>
    <row r="29" spans="4:22" x14ac:dyDescent="0.2">
      <c r="V29" s="68"/>
    </row>
    <row r="30" spans="4:22" x14ac:dyDescent="0.2">
      <c r="V30" s="68"/>
    </row>
    <row r="31" spans="4:22" x14ac:dyDescent="0.2">
      <c r="V31" s="68"/>
    </row>
    <row r="48" spans="21:21" x14ac:dyDescent="0.2">
      <c r="U48" s="84"/>
    </row>
  </sheetData>
  <mergeCells count="4">
    <mergeCell ref="E8:G8"/>
    <mergeCell ref="H8:J8"/>
    <mergeCell ref="K8:M8"/>
    <mergeCell ref="N8:P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2916F-7FA7-3A4F-B94B-8BE242B9E6E5}">
  <dimension ref="A1:P20"/>
  <sheetViews>
    <sheetView zoomScaleNormal="100" workbookViewId="0">
      <selection activeCell="I31" sqref="A1:XFD1048576"/>
    </sheetView>
  </sheetViews>
  <sheetFormatPr baseColWidth="10" defaultRowHeight="16" x14ac:dyDescent="0.2"/>
  <cols>
    <col min="1" max="16384" width="10.83203125" style="38"/>
  </cols>
  <sheetData>
    <row r="1" spans="1:16" ht="24" x14ac:dyDescent="0.3">
      <c r="A1" s="37"/>
      <c r="B1" s="37" t="s">
        <v>56</v>
      </c>
    </row>
    <row r="2" spans="1:16" ht="21" x14ac:dyDescent="0.25">
      <c r="B2" s="66" t="s">
        <v>41</v>
      </c>
    </row>
    <row r="3" spans="1:16" ht="21" x14ac:dyDescent="0.25">
      <c r="B3" s="66" t="s">
        <v>42</v>
      </c>
    </row>
    <row r="5" spans="1:16" ht="17" thickBot="1" x14ac:dyDescent="0.25"/>
    <row r="6" spans="1:16" s="85" customFormat="1" ht="41" customHeight="1" x14ac:dyDescent="0.2">
      <c r="D6" s="86"/>
      <c r="E6" s="87" t="s">
        <v>57</v>
      </c>
      <c r="F6" s="88"/>
      <c r="G6" s="89"/>
      <c r="H6" s="87" t="s">
        <v>58</v>
      </c>
      <c r="I6" s="88"/>
      <c r="J6" s="89"/>
      <c r="K6" s="88" t="s">
        <v>66</v>
      </c>
      <c r="L6" s="88"/>
      <c r="M6" s="88"/>
      <c r="N6" s="87" t="s">
        <v>67</v>
      </c>
      <c r="O6" s="88"/>
      <c r="P6" s="89"/>
    </row>
    <row r="7" spans="1:16" x14ac:dyDescent="0.2">
      <c r="D7" s="48" t="s">
        <v>7</v>
      </c>
      <c r="E7" s="74" t="s">
        <v>4</v>
      </c>
      <c r="F7" s="75" t="s">
        <v>5</v>
      </c>
      <c r="G7" s="76" t="s">
        <v>6</v>
      </c>
      <c r="H7" s="74" t="s">
        <v>4</v>
      </c>
      <c r="I7" s="75" t="s">
        <v>5</v>
      </c>
      <c r="J7" s="76" t="s">
        <v>6</v>
      </c>
      <c r="K7" s="63" t="s">
        <v>4</v>
      </c>
      <c r="L7" s="63" t="s">
        <v>5</v>
      </c>
      <c r="M7" s="63" t="s">
        <v>6</v>
      </c>
      <c r="N7" s="74" t="s">
        <v>4</v>
      </c>
      <c r="O7" s="75" t="s">
        <v>5</v>
      </c>
      <c r="P7" s="76" t="s">
        <v>6</v>
      </c>
    </row>
    <row r="8" spans="1:16" x14ac:dyDescent="0.2">
      <c r="D8" s="48">
        <v>0</v>
      </c>
      <c r="E8" s="62"/>
      <c r="F8" s="38">
        <v>56</v>
      </c>
      <c r="G8" s="49">
        <f>F8*100/56</f>
        <v>100</v>
      </c>
      <c r="H8" s="62"/>
      <c r="I8" s="38">
        <v>56</v>
      </c>
      <c r="J8" s="49">
        <f>I8*100/56</f>
        <v>100</v>
      </c>
      <c r="K8" s="63"/>
      <c r="L8" s="38">
        <v>56</v>
      </c>
      <c r="M8" s="38">
        <f>L8*100/56</f>
        <v>100</v>
      </c>
      <c r="N8" s="62"/>
      <c r="O8" s="38">
        <v>56</v>
      </c>
      <c r="P8" s="49">
        <f>O8*100/56</f>
        <v>100</v>
      </c>
    </row>
    <row r="9" spans="1:16" x14ac:dyDescent="0.2">
      <c r="D9" s="48">
        <v>19.5</v>
      </c>
      <c r="E9" s="62">
        <v>0</v>
      </c>
      <c r="F9" s="38">
        <f t="shared" ref="F9:F20" si="0">F8-E9</f>
        <v>56</v>
      </c>
      <c r="G9" s="49">
        <f t="shared" ref="G9:G20" si="1">F9*100/56</f>
        <v>100</v>
      </c>
      <c r="H9" s="62">
        <v>2</v>
      </c>
      <c r="I9" s="38">
        <f t="shared" ref="I9:I20" si="2">I8-H9</f>
        <v>54</v>
      </c>
      <c r="J9" s="49">
        <f t="shared" ref="J9:J20" si="3">I9*100/56</f>
        <v>96.428571428571431</v>
      </c>
      <c r="K9" s="63">
        <v>0</v>
      </c>
      <c r="L9" s="38">
        <f t="shared" ref="L9:L20" si="4">L8-K9</f>
        <v>56</v>
      </c>
      <c r="M9" s="38">
        <f t="shared" ref="M9:M20" si="5">L9*100/56</f>
        <v>100</v>
      </c>
      <c r="N9" s="62">
        <v>0</v>
      </c>
      <c r="O9" s="38">
        <f t="shared" ref="O9:O20" si="6">O8-N9</f>
        <v>56</v>
      </c>
      <c r="P9" s="49">
        <f t="shared" ref="P9:P20" si="7">O9*100/56</f>
        <v>100</v>
      </c>
    </row>
    <row r="10" spans="1:16" x14ac:dyDescent="0.2">
      <c r="D10" s="48">
        <v>22</v>
      </c>
      <c r="E10" s="62">
        <v>2</v>
      </c>
      <c r="F10" s="38">
        <f t="shared" si="0"/>
        <v>54</v>
      </c>
      <c r="G10" s="49">
        <f t="shared" si="1"/>
        <v>96.428571428571431</v>
      </c>
      <c r="H10" s="62">
        <v>1</v>
      </c>
      <c r="I10" s="38">
        <f t="shared" si="2"/>
        <v>53</v>
      </c>
      <c r="J10" s="49">
        <f t="shared" si="3"/>
        <v>94.642857142857139</v>
      </c>
      <c r="K10" s="63">
        <v>0</v>
      </c>
      <c r="L10" s="38">
        <f t="shared" si="4"/>
        <v>56</v>
      </c>
      <c r="M10" s="38">
        <f t="shared" si="5"/>
        <v>100</v>
      </c>
      <c r="N10" s="62">
        <v>0</v>
      </c>
      <c r="O10" s="38">
        <f t="shared" si="6"/>
        <v>56</v>
      </c>
      <c r="P10" s="49">
        <f t="shared" si="7"/>
        <v>100</v>
      </c>
    </row>
    <row r="11" spans="1:16" x14ac:dyDescent="0.2">
      <c r="D11" s="48">
        <v>25</v>
      </c>
      <c r="E11" s="62">
        <v>5</v>
      </c>
      <c r="F11" s="38">
        <f t="shared" si="0"/>
        <v>49</v>
      </c>
      <c r="G11" s="49">
        <f t="shared" si="1"/>
        <v>87.5</v>
      </c>
      <c r="H11" s="62">
        <v>2</v>
      </c>
      <c r="I11" s="38">
        <f t="shared" si="2"/>
        <v>51</v>
      </c>
      <c r="J11" s="49">
        <f t="shared" si="3"/>
        <v>91.071428571428569</v>
      </c>
      <c r="K11" s="63">
        <v>0</v>
      </c>
      <c r="L11" s="38">
        <f t="shared" si="4"/>
        <v>56</v>
      </c>
      <c r="M11" s="38">
        <f t="shared" si="5"/>
        <v>100</v>
      </c>
      <c r="N11" s="62">
        <v>2</v>
      </c>
      <c r="O11" s="38">
        <f t="shared" si="6"/>
        <v>54</v>
      </c>
      <c r="P11" s="49">
        <f t="shared" si="7"/>
        <v>96.428571428571431</v>
      </c>
    </row>
    <row r="12" spans="1:16" x14ac:dyDescent="0.2">
      <c r="D12" s="48">
        <v>27.5</v>
      </c>
      <c r="E12" s="62">
        <v>9</v>
      </c>
      <c r="F12" s="38">
        <f t="shared" si="0"/>
        <v>40</v>
      </c>
      <c r="G12" s="49">
        <f t="shared" si="1"/>
        <v>71.428571428571431</v>
      </c>
      <c r="H12" s="62">
        <v>10</v>
      </c>
      <c r="I12" s="38">
        <f t="shared" si="2"/>
        <v>41</v>
      </c>
      <c r="J12" s="49">
        <f t="shared" si="3"/>
        <v>73.214285714285708</v>
      </c>
      <c r="K12" s="63">
        <v>10</v>
      </c>
      <c r="L12" s="38">
        <f t="shared" si="4"/>
        <v>46</v>
      </c>
      <c r="M12" s="38">
        <f t="shared" si="5"/>
        <v>82.142857142857139</v>
      </c>
      <c r="N12" s="62">
        <v>7</v>
      </c>
      <c r="O12" s="38">
        <f t="shared" si="6"/>
        <v>47</v>
      </c>
      <c r="P12" s="49">
        <f t="shared" si="7"/>
        <v>83.928571428571431</v>
      </c>
    </row>
    <row r="13" spans="1:16" x14ac:dyDescent="0.2">
      <c r="D13" s="48">
        <v>29.5</v>
      </c>
      <c r="E13" s="62">
        <v>9</v>
      </c>
      <c r="F13" s="38">
        <f t="shared" si="0"/>
        <v>31</v>
      </c>
      <c r="G13" s="49">
        <f t="shared" si="1"/>
        <v>55.357142857142854</v>
      </c>
      <c r="H13" s="62">
        <v>9</v>
      </c>
      <c r="I13" s="38">
        <f t="shared" si="2"/>
        <v>32</v>
      </c>
      <c r="J13" s="49">
        <f t="shared" si="3"/>
        <v>57.142857142857146</v>
      </c>
      <c r="K13" s="63">
        <v>17</v>
      </c>
      <c r="L13" s="38">
        <f t="shared" si="4"/>
        <v>29</v>
      </c>
      <c r="M13" s="38">
        <f t="shared" si="5"/>
        <v>51.785714285714285</v>
      </c>
      <c r="N13" s="62">
        <v>12</v>
      </c>
      <c r="O13" s="38">
        <f t="shared" si="6"/>
        <v>35</v>
      </c>
      <c r="P13" s="49">
        <f t="shared" si="7"/>
        <v>62.5</v>
      </c>
    </row>
    <row r="14" spans="1:16" x14ac:dyDescent="0.2">
      <c r="D14" s="48">
        <v>31.5</v>
      </c>
      <c r="E14" s="62">
        <v>9</v>
      </c>
      <c r="F14" s="38">
        <f t="shared" si="0"/>
        <v>22</v>
      </c>
      <c r="G14" s="49">
        <f t="shared" si="1"/>
        <v>39.285714285714285</v>
      </c>
      <c r="H14" s="62">
        <v>8</v>
      </c>
      <c r="I14" s="38">
        <f t="shared" si="2"/>
        <v>24</v>
      </c>
      <c r="J14" s="49">
        <f t="shared" si="3"/>
        <v>42.857142857142854</v>
      </c>
      <c r="K14" s="63">
        <v>11</v>
      </c>
      <c r="L14" s="38">
        <f t="shared" si="4"/>
        <v>18</v>
      </c>
      <c r="M14" s="38">
        <f t="shared" si="5"/>
        <v>32.142857142857146</v>
      </c>
      <c r="N14" s="62">
        <v>11</v>
      </c>
      <c r="O14" s="38">
        <f t="shared" si="6"/>
        <v>24</v>
      </c>
      <c r="P14" s="49">
        <f t="shared" si="7"/>
        <v>42.857142857142854</v>
      </c>
    </row>
    <row r="15" spans="1:16" x14ac:dyDescent="0.2">
      <c r="D15" s="48">
        <v>33.5</v>
      </c>
      <c r="E15" s="62">
        <v>8</v>
      </c>
      <c r="F15" s="38">
        <f t="shared" si="0"/>
        <v>14</v>
      </c>
      <c r="G15" s="49">
        <f t="shared" si="1"/>
        <v>25</v>
      </c>
      <c r="H15" s="62">
        <v>6</v>
      </c>
      <c r="I15" s="38">
        <f t="shared" si="2"/>
        <v>18</v>
      </c>
      <c r="J15" s="49">
        <f t="shared" si="3"/>
        <v>32.142857142857146</v>
      </c>
      <c r="K15" s="63">
        <v>8</v>
      </c>
      <c r="L15" s="38">
        <f t="shared" si="4"/>
        <v>10</v>
      </c>
      <c r="M15" s="38">
        <f t="shared" si="5"/>
        <v>17.857142857142858</v>
      </c>
      <c r="N15" s="62">
        <v>9</v>
      </c>
      <c r="O15" s="38">
        <f t="shared" si="6"/>
        <v>15</v>
      </c>
      <c r="P15" s="49">
        <f t="shared" si="7"/>
        <v>26.785714285714285</v>
      </c>
    </row>
    <row r="16" spans="1:16" x14ac:dyDescent="0.2">
      <c r="D16" s="48">
        <v>34.5</v>
      </c>
      <c r="E16" s="62">
        <v>5</v>
      </c>
      <c r="F16" s="38">
        <f t="shared" si="0"/>
        <v>9</v>
      </c>
      <c r="G16" s="49">
        <f t="shared" si="1"/>
        <v>16.071428571428573</v>
      </c>
      <c r="H16" s="62">
        <v>6</v>
      </c>
      <c r="I16" s="38">
        <f t="shared" si="2"/>
        <v>12</v>
      </c>
      <c r="J16" s="49">
        <f t="shared" si="3"/>
        <v>21.428571428571427</v>
      </c>
      <c r="K16" s="63">
        <v>4</v>
      </c>
      <c r="L16" s="38">
        <f t="shared" si="4"/>
        <v>6</v>
      </c>
      <c r="M16" s="38">
        <f t="shared" si="5"/>
        <v>10.714285714285714</v>
      </c>
      <c r="N16" s="62">
        <v>4</v>
      </c>
      <c r="O16" s="38">
        <f t="shared" si="6"/>
        <v>11</v>
      </c>
      <c r="P16" s="49">
        <f t="shared" si="7"/>
        <v>19.642857142857142</v>
      </c>
    </row>
    <row r="17" spans="4:16" x14ac:dyDescent="0.2">
      <c r="D17" s="48">
        <v>35.5</v>
      </c>
      <c r="E17" s="62">
        <v>1</v>
      </c>
      <c r="F17" s="38">
        <f t="shared" si="0"/>
        <v>8</v>
      </c>
      <c r="G17" s="49">
        <f t="shared" si="1"/>
        <v>14.285714285714286</v>
      </c>
      <c r="H17" s="62">
        <v>4</v>
      </c>
      <c r="I17" s="38">
        <f t="shared" si="2"/>
        <v>8</v>
      </c>
      <c r="J17" s="49">
        <f t="shared" si="3"/>
        <v>14.285714285714286</v>
      </c>
      <c r="K17" s="63">
        <v>2</v>
      </c>
      <c r="L17" s="38">
        <f t="shared" si="4"/>
        <v>4</v>
      </c>
      <c r="M17" s="38">
        <f t="shared" si="5"/>
        <v>7.1428571428571432</v>
      </c>
      <c r="N17" s="62">
        <v>3</v>
      </c>
      <c r="O17" s="38">
        <f t="shared" si="6"/>
        <v>8</v>
      </c>
      <c r="P17" s="49">
        <f t="shared" si="7"/>
        <v>14.285714285714286</v>
      </c>
    </row>
    <row r="18" spans="4:16" x14ac:dyDescent="0.2">
      <c r="D18" s="48">
        <v>37</v>
      </c>
      <c r="E18" s="62">
        <v>2</v>
      </c>
      <c r="F18" s="38">
        <f t="shared" si="0"/>
        <v>6</v>
      </c>
      <c r="G18" s="49">
        <f t="shared" si="1"/>
        <v>10.714285714285714</v>
      </c>
      <c r="H18" s="62">
        <v>4</v>
      </c>
      <c r="I18" s="38">
        <f t="shared" si="2"/>
        <v>4</v>
      </c>
      <c r="J18" s="49">
        <f t="shared" si="3"/>
        <v>7.1428571428571432</v>
      </c>
      <c r="K18" s="63">
        <v>1</v>
      </c>
      <c r="L18" s="38">
        <f t="shared" si="4"/>
        <v>3</v>
      </c>
      <c r="M18" s="38">
        <f t="shared" si="5"/>
        <v>5.3571428571428568</v>
      </c>
      <c r="N18" s="62">
        <v>2</v>
      </c>
      <c r="O18" s="38">
        <f t="shared" si="6"/>
        <v>6</v>
      </c>
      <c r="P18" s="49">
        <f t="shared" si="7"/>
        <v>10.714285714285714</v>
      </c>
    </row>
    <row r="19" spans="4:16" x14ac:dyDescent="0.2">
      <c r="D19" s="48">
        <v>39.5</v>
      </c>
      <c r="E19" s="62">
        <v>4</v>
      </c>
      <c r="F19" s="38">
        <f t="shared" si="0"/>
        <v>2</v>
      </c>
      <c r="G19" s="49">
        <f t="shared" si="1"/>
        <v>3.5714285714285716</v>
      </c>
      <c r="H19" s="62">
        <v>4</v>
      </c>
      <c r="I19" s="38">
        <f t="shared" si="2"/>
        <v>0</v>
      </c>
      <c r="J19" s="49">
        <f t="shared" si="3"/>
        <v>0</v>
      </c>
      <c r="K19" s="63">
        <v>3</v>
      </c>
      <c r="L19" s="38">
        <f t="shared" si="4"/>
        <v>0</v>
      </c>
      <c r="M19" s="38">
        <f t="shared" si="5"/>
        <v>0</v>
      </c>
      <c r="N19" s="62">
        <v>5</v>
      </c>
      <c r="O19" s="38">
        <f t="shared" si="6"/>
        <v>1</v>
      </c>
      <c r="P19" s="49">
        <f t="shared" si="7"/>
        <v>1.7857142857142858</v>
      </c>
    </row>
    <row r="20" spans="4:16" ht="17" thickBot="1" x14ac:dyDescent="0.25">
      <c r="D20" s="51">
        <v>41.5</v>
      </c>
      <c r="E20" s="64">
        <v>2</v>
      </c>
      <c r="F20" s="52">
        <f t="shared" si="0"/>
        <v>0</v>
      </c>
      <c r="G20" s="53">
        <f t="shared" si="1"/>
        <v>0</v>
      </c>
      <c r="H20" s="64"/>
      <c r="I20" s="52">
        <f t="shared" si="2"/>
        <v>0</v>
      </c>
      <c r="J20" s="53">
        <f t="shared" si="3"/>
        <v>0</v>
      </c>
      <c r="K20" s="65"/>
      <c r="L20" s="52">
        <f t="shared" si="4"/>
        <v>0</v>
      </c>
      <c r="M20" s="52">
        <f t="shared" si="5"/>
        <v>0</v>
      </c>
      <c r="N20" s="64">
        <v>1</v>
      </c>
      <c r="O20" s="52">
        <f t="shared" si="6"/>
        <v>0</v>
      </c>
      <c r="P20" s="53">
        <f t="shared" si="7"/>
        <v>0</v>
      </c>
    </row>
  </sheetData>
  <mergeCells count="4">
    <mergeCell ref="E6:G6"/>
    <mergeCell ref="H6:J6"/>
    <mergeCell ref="K6:M6"/>
    <mergeCell ref="N6:P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D2:O79"/>
  <sheetViews>
    <sheetView topLeftCell="C1" zoomScaleNormal="100" workbookViewId="0">
      <selection activeCell="L33" sqref="A1:XFD1048576"/>
    </sheetView>
  </sheetViews>
  <sheetFormatPr baseColWidth="10" defaultColWidth="11" defaultRowHeight="16" x14ac:dyDescent="0.2"/>
  <cols>
    <col min="1" max="16384" width="11" style="38"/>
  </cols>
  <sheetData>
    <row r="2" spans="4:15" ht="24" x14ac:dyDescent="0.3">
      <c r="D2" s="37" t="s">
        <v>59</v>
      </c>
    </row>
    <row r="3" spans="4:15" ht="21" x14ac:dyDescent="0.25">
      <c r="D3" s="90" t="s">
        <v>15</v>
      </c>
      <c r="E3" s="90"/>
      <c r="F3" s="90"/>
      <c r="G3" s="90"/>
      <c r="H3" s="90"/>
      <c r="I3" s="90"/>
      <c r="J3" s="90"/>
    </row>
    <row r="4" spans="4:15" ht="21" x14ac:dyDescent="0.25">
      <c r="D4" s="90" t="s">
        <v>16</v>
      </c>
      <c r="E4" s="90"/>
      <c r="F4" s="90"/>
      <c r="G4" s="90"/>
      <c r="H4" s="90"/>
      <c r="I4" s="90"/>
      <c r="J4" s="90"/>
      <c r="K4" s="90"/>
    </row>
    <row r="5" spans="4:15" ht="17" thickBot="1" x14ac:dyDescent="0.25"/>
    <row r="6" spans="4:15" ht="42" customHeight="1" x14ac:dyDescent="0.2">
      <c r="F6" s="40"/>
      <c r="G6" s="91" t="s">
        <v>12</v>
      </c>
      <c r="H6" s="92"/>
      <c r="I6" s="93"/>
      <c r="J6" s="92" t="s">
        <v>13</v>
      </c>
      <c r="K6" s="92"/>
      <c r="L6" s="92"/>
      <c r="M6" s="91" t="s">
        <v>14</v>
      </c>
      <c r="N6" s="92"/>
      <c r="O6" s="93"/>
    </row>
    <row r="7" spans="4:15" x14ac:dyDescent="0.2">
      <c r="F7" s="44" t="s">
        <v>7</v>
      </c>
      <c r="G7" s="45" t="s">
        <v>4</v>
      </c>
      <c r="H7" s="46" t="s">
        <v>5</v>
      </c>
      <c r="I7" s="47" t="s">
        <v>6</v>
      </c>
      <c r="J7" s="46" t="s">
        <v>4</v>
      </c>
      <c r="K7" s="46" t="s">
        <v>5</v>
      </c>
      <c r="L7" s="46" t="s">
        <v>6</v>
      </c>
      <c r="M7" s="45" t="s">
        <v>4</v>
      </c>
      <c r="N7" s="46" t="s">
        <v>5</v>
      </c>
      <c r="O7" s="47" t="s">
        <v>6</v>
      </c>
    </row>
    <row r="8" spans="4:15" x14ac:dyDescent="0.2">
      <c r="F8" s="44">
        <v>0</v>
      </c>
      <c r="G8" s="48">
        <v>0</v>
      </c>
      <c r="H8" s="38">
        <v>51</v>
      </c>
      <c r="I8" s="49">
        <f>H8*100/51</f>
        <v>100</v>
      </c>
      <c r="J8" s="38">
        <v>0</v>
      </c>
      <c r="K8" s="38">
        <v>44</v>
      </c>
      <c r="L8" s="38">
        <f>K8*100/44</f>
        <v>100</v>
      </c>
      <c r="M8" s="48">
        <v>0</v>
      </c>
      <c r="N8" s="38">
        <v>51</v>
      </c>
      <c r="O8" s="49">
        <f>N8*100/51</f>
        <v>100</v>
      </c>
    </row>
    <row r="9" spans="4:15" x14ac:dyDescent="0.2">
      <c r="F9" s="44">
        <v>2.5</v>
      </c>
      <c r="G9" s="48">
        <v>0</v>
      </c>
      <c r="H9" s="38">
        <v>51</v>
      </c>
      <c r="I9" s="49">
        <f t="shared" ref="I9:I29" si="0">H9*100/51</f>
        <v>100</v>
      </c>
      <c r="J9" s="38">
        <v>0</v>
      </c>
      <c r="K9" s="38">
        <v>44</v>
      </c>
      <c r="L9" s="38">
        <f t="shared" ref="L9:L29" si="1">K9*100/44</f>
        <v>100</v>
      </c>
      <c r="M9" s="48">
        <v>0</v>
      </c>
      <c r="N9" s="38">
        <v>51</v>
      </c>
      <c r="O9" s="49">
        <f t="shared" ref="O9:O29" si="2">N9*100/51</f>
        <v>100</v>
      </c>
    </row>
    <row r="10" spans="4:15" x14ac:dyDescent="0.2">
      <c r="F10" s="44">
        <v>5</v>
      </c>
      <c r="G10" s="48">
        <v>0</v>
      </c>
      <c r="H10" s="38">
        <v>51</v>
      </c>
      <c r="I10" s="49">
        <f t="shared" si="0"/>
        <v>100</v>
      </c>
      <c r="J10" s="38">
        <v>0</v>
      </c>
      <c r="K10" s="38">
        <v>44</v>
      </c>
      <c r="L10" s="38">
        <f t="shared" si="1"/>
        <v>100</v>
      </c>
      <c r="M10" s="48">
        <v>0</v>
      </c>
      <c r="N10" s="38">
        <v>51</v>
      </c>
      <c r="O10" s="49">
        <f t="shared" si="2"/>
        <v>100</v>
      </c>
    </row>
    <row r="11" spans="4:15" x14ac:dyDescent="0.2">
      <c r="F11" s="44">
        <v>7.5</v>
      </c>
      <c r="G11" s="48">
        <v>0</v>
      </c>
      <c r="H11" s="38">
        <v>51</v>
      </c>
      <c r="I11" s="49">
        <f t="shared" si="0"/>
        <v>100</v>
      </c>
      <c r="J11" s="38">
        <v>0</v>
      </c>
      <c r="K11" s="38">
        <v>44</v>
      </c>
      <c r="L11" s="38">
        <f t="shared" si="1"/>
        <v>100</v>
      </c>
      <c r="M11" s="48">
        <v>0</v>
      </c>
      <c r="N11" s="38">
        <v>51</v>
      </c>
      <c r="O11" s="49">
        <f t="shared" si="2"/>
        <v>100</v>
      </c>
    </row>
    <row r="12" spans="4:15" x14ac:dyDescent="0.2">
      <c r="F12" s="44">
        <v>10</v>
      </c>
      <c r="G12" s="48">
        <v>0</v>
      </c>
      <c r="H12" s="38">
        <v>51</v>
      </c>
      <c r="I12" s="49">
        <f t="shared" si="0"/>
        <v>100</v>
      </c>
      <c r="J12" s="38">
        <v>0</v>
      </c>
      <c r="K12" s="38">
        <v>44</v>
      </c>
      <c r="L12" s="38">
        <f t="shared" si="1"/>
        <v>100</v>
      </c>
      <c r="M12" s="48">
        <v>0</v>
      </c>
      <c r="N12" s="38">
        <v>51</v>
      </c>
      <c r="O12" s="49">
        <f t="shared" si="2"/>
        <v>100</v>
      </c>
    </row>
    <row r="13" spans="4:15" x14ac:dyDescent="0.2">
      <c r="F13" s="44">
        <v>12</v>
      </c>
      <c r="G13" s="48">
        <v>0</v>
      </c>
      <c r="H13" s="38">
        <v>51</v>
      </c>
      <c r="I13" s="49">
        <f t="shared" si="0"/>
        <v>100</v>
      </c>
      <c r="J13" s="38">
        <v>0</v>
      </c>
      <c r="K13" s="38">
        <v>44</v>
      </c>
      <c r="L13" s="38">
        <f t="shared" si="1"/>
        <v>100</v>
      </c>
      <c r="M13" s="48">
        <v>0</v>
      </c>
      <c r="N13" s="38">
        <v>51</v>
      </c>
      <c r="O13" s="49">
        <f t="shared" si="2"/>
        <v>100</v>
      </c>
    </row>
    <row r="14" spans="4:15" x14ac:dyDescent="0.2">
      <c r="F14" s="44">
        <v>14</v>
      </c>
      <c r="G14" s="48">
        <v>0</v>
      </c>
      <c r="H14" s="38">
        <v>51</v>
      </c>
      <c r="I14" s="49">
        <f t="shared" si="0"/>
        <v>100</v>
      </c>
      <c r="J14" s="38">
        <v>0</v>
      </c>
      <c r="K14" s="38">
        <f>K13-J14</f>
        <v>44</v>
      </c>
      <c r="L14" s="38">
        <f t="shared" si="1"/>
        <v>100</v>
      </c>
      <c r="M14" s="48">
        <v>0</v>
      </c>
      <c r="N14" s="38">
        <f>N13-M14</f>
        <v>51</v>
      </c>
      <c r="O14" s="49">
        <f t="shared" si="2"/>
        <v>100</v>
      </c>
    </row>
    <row r="15" spans="4:15" x14ac:dyDescent="0.2">
      <c r="F15" s="44">
        <v>17</v>
      </c>
      <c r="G15" s="48">
        <v>1</v>
      </c>
      <c r="H15" s="38">
        <f>H14-G15</f>
        <v>50</v>
      </c>
      <c r="I15" s="49">
        <f t="shared" si="0"/>
        <v>98.039215686274517</v>
      </c>
      <c r="J15" s="38">
        <v>0</v>
      </c>
      <c r="K15" s="38">
        <f t="shared" ref="K15:K27" si="3">K14-J15</f>
        <v>44</v>
      </c>
      <c r="L15" s="38">
        <f t="shared" si="1"/>
        <v>100</v>
      </c>
      <c r="M15" s="48">
        <v>0</v>
      </c>
      <c r="N15" s="38">
        <f t="shared" ref="N15:N27" si="4">N14-M15</f>
        <v>51</v>
      </c>
      <c r="O15" s="49">
        <f t="shared" si="2"/>
        <v>100</v>
      </c>
    </row>
    <row r="16" spans="4:15" x14ac:dyDescent="0.2">
      <c r="F16" s="44">
        <v>19</v>
      </c>
      <c r="G16" s="48">
        <v>0</v>
      </c>
      <c r="H16" s="38">
        <f t="shared" ref="H16:H27" si="5">H15-G16</f>
        <v>50</v>
      </c>
      <c r="I16" s="49">
        <f t="shared" si="0"/>
        <v>98.039215686274517</v>
      </c>
      <c r="J16" s="38">
        <v>0</v>
      </c>
      <c r="K16" s="38">
        <f t="shared" si="3"/>
        <v>44</v>
      </c>
      <c r="L16" s="38">
        <f t="shared" si="1"/>
        <v>100</v>
      </c>
      <c r="M16" s="48">
        <v>0</v>
      </c>
      <c r="N16" s="38">
        <f t="shared" si="4"/>
        <v>51</v>
      </c>
      <c r="O16" s="49">
        <f t="shared" si="2"/>
        <v>100</v>
      </c>
    </row>
    <row r="17" spans="6:15" x14ac:dyDescent="0.2">
      <c r="F17" s="44">
        <v>21.5</v>
      </c>
      <c r="G17" s="48">
        <v>1</v>
      </c>
      <c r="H17" s="38">
        <f t="shared" si="5"/>
        <v>49</v>
      </c>
      <c r="I17" s="49">
        <f t="shared" si="0"/>
        <v>96.078431372549019</v>
      </c>
      <c r="J17" s="38">
        <v>0</v>
      </c>
      <c r="K17" s="38">
        <f t="shared" si="3"/>
        <v>44</v>
      </c>
      <c r="L17" s="38">
        <f t="shared" si="1"/>
        <v>100</v>
      </c>
      <c r="M17" s="48">
        <v>0</v>
      </c>
      <c r="N17" s="38">
        <f t="shared" si="4"/>
        <v>51</v>
      </c>
      <c r="O17" s="49">
        <f t="shared" si="2"/>
        <v>100</v>
      </c>
    </row>
    <row r="18" spans="6:15" x14ac:dyDescent="0.2">
      <c r="F18" s="44">
        <v>23.5</v>
      </c>
      <c r="G18" s="48">
        <v>3</v>
      </c>
      <c r="H18" s="38">
        <f t="shared" si="5"/>
        <v>46</v>
      </c>
      <c r="I18" s="49">
        <f t="shared" si="0"/>
        <v>90.196078431372555</v>
      </c>
      <c r="J18" s="38">
        <v>3</v>
      </c>
      <c r="K18" s="38">
        <f t="shared" si="3"/>
        <v>41</v>
      </c>
      <c r="L18" s="38">
        <f t="shared" si="1"/>
        <v>93.181818181818187</v>
      </c>
      <c r="M18" s="48">
        <v>1</v>
      </c>
      <c r="N18" s="38">
        <f t="shared" si="4"/>
        <v>50</v>
      </c>
      <c r="O18" s="49">
        <f t="shared" si="2"/>
        <v>98.039215686274517</v>
      </c>
    </row>
    <row r="19" spans="6:15" x14ac:dyDescent="0.2">
      <c r="F19" s="44">
        <v>26</v>
      </c>
      <c r="G19" s="48">
        <v>0</v>
      </c>
      <c r="H19" s="38">
        <f t="shared" si="5"/>
        <v>46</v>
      </c>
      <c r="I19" s="49">
        <f t="shared" si="0"/>
        <v>90.196078431372555</v>
      </c>
      <c r="J19" s="38">
        <v>2</v>
      </c>
      <c r="K19" s="38">
        <f t="shared" si="3"/>
        <v>39</v>
      </c>
      <c r="L19" s="38">
        <f t="shared" si="1"/>
        <v>88.63636363636364</v>
      </c>
      <c r="M19" s="48">
        <v>0</v>
      </c>
      <c r="N19" s="38">
        <f t="shared" si="4"/>
        <v>50</v>
      </c>
      <c r="O19" s="49">
        <f t="shared" si="2"/>
        <v>98.039215686274517</v>
      </c>
    </row>
    <row r="20" spans="6:15" x14ac:dyDescent="0.2">
      <c r="F20" s="44">
        <v>28.5</v>
      </c>
      <c r="G20" s="48">
        <v>8</v>
      </c>
      <c r="H20" s="38">
        <f t="shared" si="5"/>
        <v>38</v>
      </c>
      <c r="I20" s="49">
        <f t="shared" si="0"/>
        <v>74.509803921568633</v>
      </c>
      <c r="J20" s="38">
        <v>1</v>
      </c>
      <c r="K20" s="38">
        <f t="shared" si="3"/>
        <v>38</v>
      </c>
      <c r="L20" s="38">
        <f t="shared" si="1"/>
        <v>86.36363636363636</v>
      </c>
      <c r="M20" s="48">
        <v>4</v>
      </c>
      <c r="N20" s="38">
        <f t="shared" si="4"/>
        <v>46</v>
      </c>
      <c r="O20" s="49">
        <f t="shared" si="2"/>
        <v>90.196078431372555</v>
      </c>
    </row>
    <row r="21" spans="6:15" x14ac:dyDescent="0.2">
      <c r="F21" s="44">
        <v>31</v>
      </c>
      <c r="G21" s="48">
        <v>12</v>
      </c>
      <c r="H21" s="38">
        <f t="shared" si="5"/>
        <v>26</v>
      </c>
      <c r="I21" s="49">
        <f t="shared" si="0"/>
        <v>50.980392156862742</v>
      </c>
      <c r="J21" s="38">
        <v>4</v>
      </c>
      <c r="K21" s="38">
        <f t="shared" si="3"/>
        <v>34</v>
      </c>
      <c r="L21" s="38">
        <f t="shared" si="1"/>
        <v>77.272727272727266</v>
      </c>
      <c r="M21" s="48">
        <v>9</v>
      </c>
      <c r="N21" s="38">
        <f t="shared" si="4"/>
        <v>37</v>
      </c>
      <c r="O21" s="49">
        <f t="shared" si="2"/>
        <v>72.549019607843135</v>
      </c>
    </row>
    <row r="22" spans="6:15" x14ac:dyDescent="0.2">
      <c r="F22" s="44">
        <v>33</v>
      </c>
      <c r="G22" s="48">
        <v>9</v>
      </c>
      <c r="H22" s="38">
        <f t="shared" si="5"/>
        <v>17</v>
      </c>
      <c r="I22" s="49">
        <f t="shared" si="0"/>
        <v>33.333333333333336</v>
      </c>
      <c r="J22" s="38">
        <v>7</v>
      </c>
      <c r="K22" s="38">
        <f t="shared" si="3"/>
        <v>27</v>
      </c>
      <c r="L22" s="38">
        <f t="shared" si="1"/>
        <v>61.363636363636367</v>
      </c>
      <c r="M22" s="48">
        <v>6</v>
      </c>
      <c r="N22" s="38">
        <f t="shared" si="4"/>
        <v>31</v>
      </c>
      <c r="O22" s="49">
        <f t="shared" si="2"/>
        <v>60.784313725490193</v>
      </c>
    </row>
    <row r="23" spans="6:15" x14ac:dyDescent="0.2">
      <c r="F23" s="44">
        <v>34</v>
      </c>
      <c r="G23" s="48">
        <v>1</v>
      </c>
      <c r="H23" s="38">
        <f t="shared" si="5"/>
        <v>16</v>
      </c>
      <c r="I23" s="49">
        <f t="shared" si="0"/>
        <v>31.372549019607842</v>
      </c>
      <c r="J23" s="38">
        <v>1</v>
      </c>
      <c r="K23" s="38">
        <f t="shared" si="3"/>
        <v>26</v>
      </c>
      <c r="L23" s="38">
        <f t="shared" si="1"/>
        <v>59.090909090909093</v>
      </c>
      <c r="M23" s="48">
        <v>2</v>
      </c>
      <c r="N23" s="38">
        <f t="shared" si="4"/>
        <v>29</v>
      </c>
      <c r="O23" s="49">
        <f t="shared" si="2"/>
        <v>56.862745098039213</v>
      </c>
    </row>
    <row r="24" spans="6:15" x14ac:dyDescent="0.2">
      <c r="F24" s="44">
        <v>36.5</v>
      </c>
      <c r="G24" s="48">
        <v>6</v>
      </c>
      <c r="H24" s="38">
        <f t="shared" si="5"/>
        <v>10</v>
      </c>
      <c r="I24" s="49">
        <f t="shared" si="0"/>
        <v>19.607843137254903</v>
      </c>
      <c r="J24" s="38">
        <v>9</v>
      </c>
      <c r="K24" s="38">
        <f t="shared" si="3"/>
        <v>17</v>
      </c>
      <c r="L24" s="38">
        <f t="shared" si="1"/>
        <v>38.636363636363633</v>
      </c>
      <c r="M24" s="48">
        <v>12</v>
      </c>
      <c r="N24" s="38">
        <f t="shared" si="4"/>
        <v>17</v>
      </c>
      <c r="O24" s="49">
        <f t="shared" si="2"/>
        <v>33.333333333333336</v>
      </c>
    </row>
    <row r="25" spans="6:15" x14ac:dyDescent="0.2">
      <c r="F25" s="44">
        <v>39.5</v>
      </c>
      <c r="G25" s="48">
        <v>7</v>
      </c>
      <c r="H25" s="38">
        <f t="shared" si="5"/>
        <v>3</v>
      </c>
      <c r="I25" s="49">
        <f t="shared" si="0"/>
        <v>5.882352941176471</v>
      </c>
      <c r="J25" s="38">
        <v>9</v>
      </c>
      <c r="K25" s="38">
        <f t="shared" si="3"/>
        <v>8</v>
      </c>
      <c r="L25" s="38">
        <f t="shared" si="1"/>
        <v>18.181818181818183</v>
      </c>
      <c r="M25" s="48">
        <v>9</v>
      </c>
      <c r="N25" s="38">
        <f t="shared" si="4"/>
        <v>8</v>
      </c>
      <c r="O25" s="49">
        <f t="shared" si="2"/>
        <v>15.686274509803921</v>
      </c>
    </row>
    <row r="26" spans="6:15" ht="16" customHeight="1" x14ac:dyDescent="0.2">
      <c r="F26" s="44">
        <v>41</v>
      </c>
      <c r="G26" s="48">
        <v>2</v>
      </c>
      <c r="H26" s="38">
        <f t="shared" si="5"/>
        <v>1</v>
      </c>
      <c r="I26" s="49">
        <f t="shared" si="0"/>
        <v>1.9607843137254901</v>
      </c>
      <c r="J26" s="38">
        <v>1</v>
      </c>
      <c r="K26" s="38">
        <f t="shared" si="3"/>
        <v>7</v>
      </c>
      <c r="L26" s="38">
        <f t="shared" si="1"/>
        <v>15.909090909090908</v>
      </c>
      <c r="M26" s="48">
        <v>2</v>
      </c>
      <c r="N26" s="38">
        <f t="shared" si="4"/>
        <v>6</v>
      </c>
      <c r="O26" s="49">
        <f t="shared" si="2"/>
        <v>11.764705882352942</v>
      </c>
    </row>
    <row r="27" spans="6:15" x14ac:dyDescent="0.2">
      <c r="F27" s="44">
        <v>43</v>
      </c>
      <c r="G27" s="48">
        <v>0</v>
      </c>
      <c r="H27" s="38">
        <f t="shared" si="5"/>
        <v>1</v>
      </c>
      <c r="I27" s="49">
        <f t="shared" si="0"/>
        <v>1.9607843137254901</v>
      </c>
      <c r="J27" s="38">
        <v>3</v>
      </c>
      <c r="K27" s="38">
        <f t="shared" si="3"/>
        <v>4</v>
      </c>
      <c r="L27" s="38">
        <f t="shared" si="1"/>
        <v>9.0909090909090917</v>
      </c>
      <c r="M27" s="48">
        <v>4</v>
      </c>
      <c r="N27" s="38">
        <f t="shared" si="4"/>
        <v>2</v>
      </c>
      <c r="O27" s="49">
        <f t="shared" si="2"/>
        <v>3.9215686274509802</v>
      </c>
    </row>
    <row r="28" spans="6:15" x14ac:dyDescent="0.2">
      <c r="F28" s="44">
        <v>45</v>
      </c>
      <c r="G28" s="48">
        <v>1</v>
      </c>
      <c r="H28" s="38">
        <f t="shared" ref="H28" si="6">H27-G28</f>
        <v>0</v>
      </c>
      <c r="I28" s="49">
        <f t="shared" si="0"/>
        <v>0</v>
      </c>
      <c r="J28" s="38">
        <v>2</v>
      </c>
      <c r="K28" s="38">
        <f t="shared" ref="K28:K29" si="7">K27-J28</f>
        <v>2</v>
      </c>
      <c r="L28" s="38">
        <f t="shared" si="1"/>
        <v>4.5454545454545459</v>
      </c>
      <c r="M28" s="48">
        <v>2</v>
      </c>
      <c r="N28" s="38">
        <f t="shared" ref="N28" si="8">N27-M28</f>
        <v>0</v>
      </c>
      <c r="O28" s="49">
        <f t="shared" si="2"/>
        <v>0</v>
      </c>
    </row>
    <row r="29" spans="6:15" ht="17" thickBot="1" x14ac:dyDescent="0.25">
      <c r="F29" s="50">
        <v>46</v>
      </c>
      <c r="G29" s="51">
        <v>0</v>
      </c>
      <c r="H29" s="52">
        <f t="shared" ref="H29" si="9">H28-G29</f>
        <v>0</v>
      </c>
      <c r="I29" s="53">
        <f t="shared" si="0"/>
        <v>0</v>
      </c>
      <c r="J29" s="52">
        <v>2</v>
      </c>
      <c r="K29" s="52">
        <f t="shared" si="7"/>
        <v>0</v>
      </c>
      <c r="L29" s="52">
        <f t="shared" si="1"/>
        <v>0</v>
      </c>
      <c r="M29" s="51">
        <v>0</v>
      </c>
      <c r="N29" s="52">
        <f t="shared" ref="N29" si="10">N28-M29</f>
        <v>0</v>
      </c>
      <c r="O29" s="53">
        <f t="shared" si="2"/>
        <v>0</v>
      </c>
    </row>
    <row r="73" spans="7:7" x14ac:dyDescent="0.2">
      <c r="G73" s="54"/>
    </row>
    <row r="75" spans="7:7" x14ac:dyDescent="0.2">
      <c r="G75" s="54"/>
    </row>
    <row r="76" spans="7:7" x14ac:dyDescent="0.2">
      <c r="G76" s="94"/>
    </row>
    <row r="77" spans="7:7" x14ac:dyDescent="0.2">
      <c r="G77" s="55"/>
    </row>
    <row r="78" spans="7:7" x14ac:dyDescent="0.2">
      <c r="G78" s="55"/>
    </row>
    <row r="79" spans="7:7" x14ac:dyDescent="0.2">
      <c r="G79" s="55"/>
    </row>
  </sheetData>
  <mergeCells count="5">
    <mergeCell ref="M6:O6"/>
    <mergeCell ref="D3:J3"/>
    <mergeCell ref="D4:K4"/>
    <mergeCell ref="G6:I6"/>
    <mergeCell ref="J6:L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T129"/>
  <sheetViews>
    <sheetView topLeftCell="B1" zoomScaleNormal="100" workbookViewId="0">
      <selection activeCell="Q21" sqref="A1:XFD1048576"/>
    </sheetView>
  </sheetViews>
  <sheetFormatPr baseColWidth="10" defaultColWidth="11" defaultRowHeight="16" x14ac:dyDescent="0.2"/>
  <cols>
    <col min="1" max="16384" width="11" style="38"/>
  </cols>
  <sheetData>
    <row r="1" spans="2:13" ht="24" x14ac:dyDescent="0.3">
      <c r="B1" s="37" t="s">
        <v>60</v>
      </c>
    </row>
    <row r="2" spans="2:13" ht="19" x14ac:dyDescent="0.25">
      <c r="D2" s="95" t="s">
        <v>9</v>
      </c>
      <c r="E2" s="95"/>
      <c r="F2" s="95"/>
      <c r="G2" s="95" t="s">
        <v>10</v>
      </c>
      <c r="H2" s="95"/>
      <c r="J2" s="96" t="s">
        <v>11</v>
      </c>
      <c r="K2" s="96"/>
    </row>
    <row r="3" spans="2:13" ht="17" thickBot="1" x14ac:dyDescent="0.25"/>
    <row r="4" spans="2:13" ht="20" thickBot="1" x14ac:dyDescent="0.3">
      <c r="D4" s="40"/>
      <c r="E4" s="41" t="s">
        <v>2</v>
      </c>
      <c r="F4" s="42"/>
      <c r="G4" s="43"/>
      <c r="H4" s="42" t="s">
        <v>3</v>
      </c>
      <c r="I4" s="42"/>
      <c r="J4" s="42"/>
      <c r="K4" s="41" t="s">
        <v>45</v>
      </c>
      <c r="L4" s="42"/>
      <c r="M4" s="43"/>
    </row>
    <row r="5" spans="2:13" x14ac:dyDescent="0.2">
      <c r="D5" s="97" t="s">
        <v>8</v>
      </c>
      <c r="E5" s="45" t="s">
        <v>4</v>
      </c>
      <c r="F5" s="46" t="s">
        <v>5</v>
      </c>
      <c r="G5" s="47" t="s">
        <v>6</v>
      </c>
      <c r="H5" s="46" t="s">
        <v>4</v>
      </c>
      <c r="I5" s="46" t="s">
        <v>5</v>
      </c>
      <c r="J5" s="46" t="s">
        <v>6</v>
      </c>
      <c r="K5" s="98" t="s">
        <v>4</v>
      </c>
      <c r="L5" s="99" t="s">
        <v>5</v>
      </c>
      <c r="M5" s="100" t="s">
        <v>6</v>
      </c>
    </row>
    <row r="6" spans="2:13" x14ac:dyDescent="0.2">
      <c r="D6" s="44">
        <v>1</v>
      </c>
      <c r="E6" s="48">
        <v>0</v>
      </c>
      <c r="F6" s="38">
        <v>80</v>
      </c>
      <c r="G6" s="49">
        <v>100</v>
      </c>
      <c r="H6" s="38">
        <v>0</v>
      </c>
      <c r="I6" s="38">
        <v>86</v>
      </c>
      <c r="J6" s="38">
        <v>100</v>
      </c>
      <c r="K6" s="48">
        <v>0</v>
      </c>
      <c r="L6" s="38">
        <v>80</v>
      </c>
      <c r="M6" s="49">
        <v>100</v>
      </c>
    </row>
    <row r="7" spans="2:13" x14ac:dyDescent="0.2">
      <c r="D7" s="44">
        <v>2</v>
      </c>
      <c r="E7" s="48">
        <v>0</v>
      </c>
      <c r="F7" s="38">
        <v>80</v>
      </c>
      <c r="G7" s="49">
        <v>100</v>
      </c>
      <c r="H7" s="38">
        <v>0</v>
      </c>
      <c r="I7" s="38">
        <v>86</v>
      </c>
      <c r="J7" s="38">
        <v>100</v>
      </c>
      <c r="K7" s="48">
        <v>0</v>
      </c>
      <c r="L7" s="38">
        <v>80</v>
      </c>
      <c r="M7" s="49">
        <v>100</v>
      </c>
    </row>
    <row r="8" spans="2:13" x14ac:dyDescent="0.2">
      <c r="D8" s="44">
        <v>3</v>
      </c>
      <c r="E8" s="48">
        <v>0</v>
      </c>
      <c r="F8" s="38">
        <v>80</v>
      </c>
      <c r="G8" s="49">
        <v>100</v>
      </c>
      <c r="H8" s="38">
        <v>0</v>
      </c>
      <c r="I8" s="38">
        <v>86</v>
      </c>
      <c r="J8" s="38">
        <v>100</v>
      </c>
      <c r="K8" s="48">
        <f>L7-L8</f>
        <v>2</v>
      </c>
      <c r="L8" s="38">
        <v>78</v>
      </c>
      <c r="M8" s="49">
        <f>L8*100/80</f>
        <v>97.5</v>
      </c>
    </row>
    <row r="9" spans="2:13" x14ac:dyDescent="0.2">
      <c r="D9" s="44">
        <v>4</v>
      </c>
      <c r="E9" s="48">
        <f>F8-F9</f>
        <v>2</v>
      </c>
      <c r="F9" s="38">
        <v>78</v>
      </c>
      <c r="G9" s="49">
        <f>(F9*100)/80</f>
        <v>97.5</v>
      </c>
      <c r="H9" s="38">
        <v>0</v>
      </c>
      <c r="I9" s="38">
        <v>86</v>
      </c>
      <c r="J9" s="38">
        <v>100</v>
      </c>
      <c r="K9" s="48">
        <f t="shared" ref="K9:K55" si="0">L8-L9</f>
        <v>1</v>
      </c>
      <c r="L9" s="38">
        <v>77</v>
      </c>
      <c r="M9" s="49">
        <f t="shared" ref="M9:M55" si="1">L9*100/80</f>
        <v>96.25</v>
      </c>
    </row>
    <row r="10" spans="2:13" x14ac:dyDescent="0.2">
      <c r="D10" s="44">
        <v>6</v>
      </c>
      <c r="E10" s="48">
        <f t="shared" ref="E10:E54" si="2">F9-F10</f>
        <v>1</v>
      </c>
      <c r="F10" s="38">
        <v>77</v>
      </c>
      <c r="G10" s="49">
        <f t="shared" ref="G10:G50" si="3">(F10*100)/80</f>
        <v>96.25</v>
      </c>
      <c r="H10" s="38">
        <f>I9-I10</f>
        <v>3</v>
      </c>
      <c r="I10" s="38">
        <v>83</v>
      </c>
      <c r="J10" s="38">
        <f>I10*100/86</f>
        <v>96.511627906976742</v>
      </c>
      <c r="K10" s="48">
        <f t="shared" si="0"/>
        <v>5</v>
      </c>
      <c r="L10" s="38">
        <v>72</v>
      </c>
      <c r="M10" s="49">
        <f t="shared" si="1"/>
        <v>90</v>
      </c>
    </row>
    <row r="11" spans="2:13" x14ac:dyDescent="0.2">
      <c r="D11" s="44">
        <v>8</v>
      </c>
      <c r="E11" s="48">
        <f t="shared" si="2"/>
        <v>1</v>
      </c>
      <c r="F11" s="38">
        <v>76</v>
      </c>
      <c r="G11" s="49">
        <f t="shared" si="3"/>
        <v>95</v>
      </c>
      <c r="H11" s="38">
        <f t="shared" ref="H11:H54" si="4">I10-I11</f>
        <v>0</v>
      </c>
      <c r="I11" s="38">
        <v>83</v>
      </c>
      <c r="J11" s="38">
        <f t="shared" ref="J11:J53" si="5">I11*100/86</f>
        <v>96.511627906976742</v>
      </c>
      <c r="K11" s="48">
        <f t="shared" si="0"/>
        <v>0</v>
      </c>
      <c r="L11" s="38">
        <v>72</v>
      </c>
      <c r="M11" s="49">
        <f t="shared" si="1"/>
        <v>90</v>
      </c>
    </row>
    <row r="12" spans="2:13" x14ac:dyDescent="0.2">
      <c r="D12" s="44">
        <v>9</v>
      </c>
      <c r="E12" s="48">
        <f t="shared" si="2"/>
        <v>0</v>
      </c>
      <c r="F12" s="38">
        <v>76</v>
      </c>
      <c r="G12" s="49">
        <f t="shared" si="3"/>
        <v>95</v>
      </c>
      <c r="H12" s="38">
        <f t="shared" si="4"/>
        <v>0</v>
      </c>
      <c r="I12" s="38">
        <v>83</v>
      </c>
      <c r="J12" s="38">
        <f t="shared" si="5"/>
        <v>96.511627906976742</v>
      </c>
      <c r="K12" s="48">
        <f t="shared" si="0"/>
        <v>1</v>
      </c>
      <c r="L12" s="38">
        <v>71</v>
      </c>
      <c r="M12" s="49">
        <f t="shared" si="1"/>
        <v>88.75</v>
      </c>
    </row>
    <row r="13" spans="2:13" x14ac:dyDescent="0.2">
      <c r="D13" s="44">
        <v>12</v>
      </c>
      <c r="E13" s="48">
        <f t="shared" si="2"/>
        <v>3</v>
      </c>
      <c r="F13" s="38">
        <v>73</v>
      </c>
      <c r="G13" s="49">
        <f t="shared" si="3"/>
        <v>91.25</v>
      </c>
      <c r="H13" s="38">
        <f t="shared" si="4"/>
        <v>1</v>
      </c>
      <c r="I13" s="38">
        <v>82</v>
      </c>
      <c r="J13" s="38">
        <f t="shared" si="5"/>
        <v>95.348837209302332</v>
      </c>
      <c r="K13" s="48">
        <f t="shared" si="0"/>
        <v>4</v>
      </c>
      <c r="L13" s="38">
        <v>67</v>
      </c>
      <c r="M13" s="49">
        <f t="shared" si="1"/>
        <v>83.75</v>
      </c>
    </row>
    <row r="14" spans="2:13" x14ac:dyDescent="0.2">
      <c r="D14" s="44">
        <v>13</v>
      </c>
      <c r="E14" s="48">
        <f t="shared" si="2"/>
        <v>0</v>
      </c>
      <c r="F14" s="38">
        <v>73</v>
      </c>
      <c r="G14" s="49">
        <f t="shared" si="3"/>
        <v>91.25</v>
      </c>
      <c r="H14" s="38">
        <f t="shared" si="4"/>
        <v>0</v>
      </c>
      <c r="I14" s="38">
        <v>82</v>
      </c>
      <c r="J14" s="38">
        <f t="shared" si="5"/>
        <v>95.348837209302332</v>
      </c>
      <c r="K14" s="48">
        <f t="shared" si="0"/>
        <v>0</v>
      </c>
      <c r="L14" s="38">
        <v>67</v>
      </c>
      <c r="M14" s="49">
        <f t="shared" si="1"/>
        <v>83.75</v>
      </c>
    </row>
    <row r="15" spans="2:13" x14ac:dyDescent="0.2">
      <c r="D15" s="44">
        <v>14</v>
      </c>
      <c r="E15" s="48">
        <f t="shared" si="2"/>
        <v>0</v>
      </c>
      <c r="F15" s="38">
        <v>73</v>
      </c>
      <c r="G15" s="49">
        <f t="shared" si="3"/>
        <v>91.25</v>
      </c>
      <c r="H15" s="38">
        <f t="shared" si="4"/>
        <v>0</v>
      </c>
      <c r="I15" s="38">
        <v>82</v>
      </c>
      <c r="J15" s="38">
        <f t="shared" si="5"/>
        <v>95.348837209302332</v>
      </c>
      <c r="K15" s="48">
        <f t="shared" si="0"/>
        <v>0</v>
      </c>
      <c r="L15" s="38">
        <v>67</v>
      </c>
      <c r="M15" s="49">
        <f t="shared" si="1"/>
        <v>83.75</v>
      </c>
    </row>
    <row r="16" spans="2:13" x14ac:dyDescent="0.2">
      <c r="D16" s="44">
        <v>15</v>
      </c>
      <c r="E16" s="48">
        <f t="shared" si="2"/>
        <v>0</v>
      </c>
      <c r="F16" s="38">
        <v>73</v>
      </c>
      <c r="G16" s="49">
        <f t="shared" si="3"/>
        <v>91.25</v>
      </c>
      <c r="H16" s="38">
        <f t="shared" si="4"/>
        <v>0</v>
      </c>
      <c r="I16" s="38">
        <v>82</v>
      </c>
      <c r="J16" s="38">
        <f t="shared" si="5"/>
        <v>95.348837209302332</v>
      </c>
      <c r="K16" s="48">
        <f t="shared" si="0"/>
        <v>0</v>
      </c>
      <c r="L16" s="38">
        <v>67</v>
      </c>
      <c r="M16" s="49">
        <f t="shared" si="1"/>
        <v>83.75</v>
      </c>
    </row>
    <row r="17" spans="4:13" x14ac:dyDescent="0.2">
      <c r="D17" s="44">
        <v>16</v>
      </c>
      <c r="E17" s="48">
        <f t="shared" si="2"/>
        <v>0</v>
      </c>
      <c r="F17" s="38">
        <v>73</v>
      </c>
      <c r="G17" s="49">
        <f t="shared" si="3"/>
        <v>91.25</v>
      </c>
      <c r="H17" s="38">
        <f t="shared" si="4"/>
        <v>0</v>
      </c>
      <c r="I17" s="38">
        <v>82</v>
      </c>
      <c r="J17" s="38">
        <f t="shared" si="5"/>
        <v>95.348837209302332</v>
      </c>
      <c r="K17" s="48">
        <f t="shared" si="0"/>
        <v>0</v>
      </c>
      <c r="L17" s="38">
        <v>67</v>
      </c>
      <c r="M17" s="49">
        <f t="shared" si="1"/>
        <v>83.75</v>
      </c>
    </row>
    <row r="18" spans="4:13" x14ac:dyDescent="0.2">
      <c r="D18" s="44">
        <v>17</v>
      </c>
      <c r="E18" s="48">
        <f t="shared" si="2"/>
        <v>0</v>
      </c>
      <c r="F18" s="38">
        <v>73</v>
      </c>
      <c r="G18" s="49">
        <f t="shared" si="3"/>
        <v>91.25</v>
      </c>
      <c r="H18" s="38">
        <f t="shared" si="4"/>
        <v>0</v>
      </c>
      <c r="I18" s="38">
        <v>82</v>
      </c>
      <c r="J18" s="38">
        <f t="shared" si="5"/>
        <v>95.348837209302332</v>
      </c>
      <c r="K18" s="48">
        <f t="shared" si="0"/>
        <v>0</v>
      </c>
      <c r="L18" s="38">
        <v>67</v>
      </c>
      <c r="M18" s="49">
        <f t="shared" si="1"/>
        <v>83.75</v>
      </c>
    </row>
    <row r="19" spans="4:13" x14ac:dyDescent="0.2">
      <c r="D19" s="44">
        <v>19</v>
      </c>
      <c r="E19" s="48">
        <f t="shared" si="2"/>
        <v>1</v>
      </c>
      <c r="F19" s="38">
        <v>72</v>
      </c>
      <c r="G19" s="49">
        <f t="shared" si="3"/>
        <v>90</v>
      </c>
      <c r="H19" s="38">
        <f t="shared" si="4"/>
        <v>0</v>
      </c>
      <c r="I19" s="38">
        <v>82</v>
      </c>
      <c r="J19" s="38">
        <f t="shared" si="5"/>
        <v>95.348837209302332</v>
      </c>
      <c r="K19" s="48">
        <f t="shared" si="0"/>
        <v>0</v>
      </c>
      <c r="L19" s="38">
        <v>67</v>
      </c>
      <c r="M19" s="49">
        <f t="shared" si="1"/>
        <v>83.75</v>
      </c>
    </row>
    <row r="20" spans="4:13" x14ac:dyDescent="0.2">
      <c r="D20" s="44">
        <v>20</v>
      </c>
      <c r="E20" s="48">
        <f t="shared" si="2"/>
        <v>0</v>
      </c>
      <c r="F20" s="38">
        <v>72</v>
      </c>
      <c r="G20" s="49">
        <f t="shared" si="3"/>
        <v>90</v>
      </c>
      <c r="H20" s="38">
        <f t="shared" si="4"/>
        <v>0</v>
      </c>
      <c r="I20" s="38">
        <v>82</v>
      </c>
      <c r="J20" s="38">
        <f t="shared" si="5"/>
        <v>95.348837209302332</v>
      </c>
      <c r="K20" s="48">
        <f t="shared" si="0"/>
        <v>0</v>
      </c>
      <c r="L20" s="38">
        <v>67</v>
      </c>
      <c r="M20" s="49">
        <f t="shared" si="1"/>
        <v>83.75</v>
      </c>
    </row>
    <row r="21" spans="4:13" x14ac:dyDescent="0.2">
      <c r="D21" s="44">
        <v>21</v>
      </c>
      <c r="E21" s="48">
        <f t="shared" si="2"/>
        <v>0</v>
      </c>
      <c r="F21" s="38">
        <v>72</v>
      </c>
      <c r="G21" s="49">
        <f t="shared" si="3"/>
        <v>90</v>
      </c>
      <c r="H21" s="38">
        <f t="shared" si="4"/>
        <v>1</v>
      </c>
      <c r="I21" s="38">
        <v>81</v>
      </c>
      <c r="J21" s="38">
        <f t="shared" si="5"/>
        <v>94.186046511627907</v>
      </c>
      <c r="K21" s="48">
        <f t="shared" si="0"/>
        <v>0</v>
      </c>
      <c r="L21" s="38">
        <v>67</v>
      </c>
      <c r="M21" s="49">
        <f t="shared" si="1"/>
        <v>83.75</v>
      </c>
    </row>
    <row r="22" spans="4:13" x14ac:dyDescent="0.2">
      <c r="D22" s="44">
        <v>22</v>
      </c>
      <c r="E22" s="48">
        <f t="shared" si="2"/>
        <v>0</v>
      </c>
      <c r="F22" s="38">
        <v>72</v>
      </c>
      <c r="G22" s="49">
        <f t="shared" si="3"/>
        <v>90</v>
      </c>
      <c r="H22" s="38">
        <f t="shared" si="4"/>
        <v>0</v>
      </c>
      <c r="I22" s="38">
        <v>81</v>
      </c>
      <c r="J22" s="38">
        <f t="shared" si="5"/>
        <v>94.186046511627907</v>
      </c>
      <c r="K22" s="48">
        <f t="shared" si="0"/>
        <v>0</v>
      </c>
      <c r="L22" s="38">
        <v>67</v>
      </c>
      <c r="M22" s="49">
        <f t="shared" si="1"/>
        <v>83.75</v>
      </c>
    </row>
    <row r="23" spans="4:13" x14ac:dyDescent="0.2">
      <c r="D23" s="44">
        <v>23</v>
      </c>
      <c r="E23" s="48">
        <f t="shared" si="2"/>
        <v>0</v>
      </c>
      <c r="F23" s="38">
        <v>72</v>
      </c>
      <c r="G23" s="49">
        <f t="shared" si="3"/>
        <v>90</v>
      </c>
      <c r="H23" s="38">
        <f t="shared" si="4"/>
        <v>0</v>
      </c>
      <c r="I23" s="38">
        <v>81</v>
      </c>
      <c r="J23" s="38">
        <f t="shared" si="5"/>
        <v>94.186046511627907</v>
      </c>
      <c r="K23" s="48">
        <f t="shared" si="0"/>
        <v>0</v>
      </c>
      <c r="L23" s="38">
        <v>67</v>
      </c>
      <c r="M23" s="49">
        <f t="shared" si="1"/>
        <v>83.75</v>
      </c>
    </row>
    <row r="24" spans="4:13" x14ac:dyDescent="0.2">
      <c r="D24" s="44">
        <v>24</v>
      </c>
      <c r="E24" s="48">
        <f t="shared" si="2"/>
        <v>1</v>
      </c>
      <c r="F24" s="38">
        <v>71</v>
      </c>
      <c r="G24" s="49">
        <f t="shared" si="3"/>
        <v>88.75</v>
      </c>
      <c r="H24" s="38">
        <f t="shared" si="4"/>
        <v>0</v>
      </c>
      <c r="I24" s="38">
        <v>81</v>
      </c>
      <c r="J24" s="38">
        <f t="shared" si="5"/>
        <v>94.186046511627907</v>
      </c>
      <c r="K24" s="48">
        <f t="shared" si="0"/>
        <v>1</v>
      </c>
      <c r="L24" s="38">
        <v>66</v>
      </c>
      <c r="M24" s="49">
        <f t="shared" si="1"/>
        <v>82.5</v>
      </c>
    </row>
    <row r="25" spans="4:13" x14ac:dyDescent="0.2">
      <c r="D25" s="44">
        <v>26</v>
      </c>
      <c r="E25" s="48">
        <f t="shared" si="2"/>
        <v>0</v>
      </c>
      <c r="F25" s="38">
        <v>71</v>
      </c>
      <c r="G25" s="49">
        <f t="shared" si="3"/>
        <v>88.75</v>
      </c>
      <c r="H25" s="38">
        <f t="shared" si="4"/>
        <v>1</v>
      </c>
      <c r="I25" s="38">
        <v>80</v>
      </c>
      <c r="J25" s="38">
        <f t="shared" si="5"/>
        <v>93.023255813953483</v>
      </c>
      <c r="K25" s="48">
        <f t="shared" si="0"/>
        <v>0</v>
      </c>
      <c r="L25" s="38">
        <v>66</v>
      </c>
      <c r="M25" s="49">
        <f t="shared" si="1"/>
        <v>82.5</v>
      </c>
    </row>
    <row r="26" spans="4:13" x14ac:dyDescent="0.2">
      <c r="D26" s="44">
        <v>27</v>
      </c>
      <c r="E26" s="48">
        <f t="shared" si="2"/>
        <v>0</v>
      </c>
      <c r="F26" s="38">
        <v>71</v>
      </c>
      <c r="G26" s="49">
        <f t="shared" si="3"/>
        <v>88.75</v>
      </c>
      <c r="H26" s="38">
        <f t="shared" si="4"/>
        <v>0</v>
      </c>
      <c r="I26" s="38">
        <v>80</v>
      </c>
      <c r="J26" s="38">
        <f t="shared" si="5"/>
        <v>93.023255813953483</v>
      </c>
      <c r="K26" s="48">
        <f t="shared" si="0"/>
        <v>0</v>
      </c>
      <c r="L26" s="38">
        <v>66</v>
      </c>
      <c r="M26" s="49">
        <f t="shared" si="1"/>
        <v>82.5</v>
      </c>
    </row>
    <row r="27" spans="4:13" x14ac:dyDescent="0.2">
      <c r="D27" s="44">
        <v>29</v>
      </c>
      <c r="E27" s="48">
        <f t="shared" si="2"/>
        <v>0</v>
      </c>
      <c r="F27" s="38">
        <v>71</v>
      </c>
      <c r="G27" s="49">
        <f t="shared" si="3"/>
        <v>88.75</v>
      </c>
      <c r="H27" s="38">
        <f t="shared" si="4"/>
        <v>0</v>
      </c>
      <c r="I27" s="38">
        <v>80</v>
      </c>
      <c r="J27" s="38">
        <f t="shared" si="5"/>
        <v>93.023255813953483</v>
      </c>
      <c r="K27" s="48">
        <f t="shared" si="0"/>
        <v>0</v>
      </c>
      <c r="L27" s="38">
        <v>66</v>
      </c>
      <c r="M27" s="49">
        <f t="shared" si="1"/>
        <v>82.5</v>
      </c>
    </row>
    <row r="28" spans="4:13" x14ac:dyDescent="0.2">
      <c r="D28" s="44">
        <v>30</v>
      </c>
      <c r="E28" s="48">
        <f t="shared" si="2"/>
        <v>1</v>
      </c>
      <c r="F28" s="38">
        <v>70</v>
      </c>
      <c r="G28" s="49">
        <f t="shared" si="3"/>
        <v>87.5</v>
      </c>
      <c r="H28" s="38">
        <f t="shared" si="4"/>
        <v>1</v>
      </c>
      <c r="I28" s="38">
        <v>79</v>
      </c>
      <c r="J28" s="38">
        <f t="shared" si="5"/>
        <v>91.860465116279073</v>
      </c>
      <c r="K28" s="48">
        <f t="shared" si="0"/>
        <v>1</v>
      </c>
      <c r="L28" s="38">
        <v>65</v>
      </c>
      <c r="M28" s="49">
        <f t="shared" si="1"/>
        <v>81.25</v>
      </c>
    </row>
    <row r="29" spans="4:13" x14ac:dyDescent="0.2">
      <c r="D29" s="44">
        <v>33</v>
      </c>
      <c r="E29" s="48">
        <f t="shared" si="2"/>
        <v>4</v>
      </c>
      <c r="F29" s="38">
        <v>66</v>
      </c>
      <c r="G29" s="49">
        <f t="shared" si="3"/>
        <v>82.5</v>
      </c>
      <c r="H29" s="38">
        <f t="shared" si="4"/>
        <v>8</v>
      </c>
      <c r="I29" s="38">
        <v>71</v>
      </c>
      <c r="J29" s="38">
        <f t="shared" si="5"/>
        <v>82.558139534883722</v>
      </c>
      <c r="K29" s="48">
        <f t="shared" si="0"/>
        <v>1</v>
      </c>
      <c r="L29" s="38">
        <v>64</v>
      </c>
      <c r="M29" s="49">
        <f t="shared" si="1"/>
        <v>80</v>
      </c>
    </row>
    <row r="30" spans="4:13" x14ac:dyDescent="0.2">
      <c r="D30" s="44">
        <v>34</v>
      </c>
      <c r="E30" s="48">
        <f t="shared" si="2"/>
        <v>0</v>
      </c>
      <c r="F30" s="38">
        <v>66</v>
      </c>
      <c r="G30" s="49">
        <f t="shared" si="3"/>
        <v>82.5</v>
      </c>
      <c r="H30" s="38">
        <f t="shared" si="4"/>
        <v>1</v>
      </c>
      <c r="I30" s="38">
        <v>70</v>
      </c>
      <c r="J30" s="38">
        <f t="shared" si="5"/>
        <v>81.395348837209298</v>
      </c>
      <c r="K30" s="48">
        <f t="shared" si="0"/>
        <v>0</v>
      </c>
      <c r="L30" s="38">
        <v>64</v>
      </c>
      <c r="M30" s="49">
        <f t="shared" si="1"/>
        <v>80</v>
      </c>
    </row>
    <row r="31" spans="4:13" x14ac:dyDescent="0.2">
      <c r="D31" s="44">
        <v>35</v>
      </c>
      <c r="E31" s="48">
        <f t="shared" si="2"/>
        <v>0</v>
      </c>
      <c r="F31" s="38">
        <v>66</v>
      </c>
      <c r="G31" s="49">
        <f t="shared" si="3"/>
        <v>82.5</v>
      </c>
      <c r="H31" s="38">
        <f t="shared" si="4"/>
        <v>0</v>
      </c>
      <c r="I31" s="38">
        <v>70</v>
      </c>
      <c r="J31" s="38">
        <f t="shared" si="5"/>
        <v>81.395348837209298</v>
      </c>
      <c r="K31" s="48">
        <f t="shared" si="0"/>
        <v>0</v>
      </c>
      <c r="L31" s="38">
        <v>64</v>
      </c>
      <c r="M31" s="49">
        <f t="shared" si="1"/>
        <v>80</v>
      </c>
    </row>
    <row r="32" spans="4:13" x14ac:dyDescent="0.2">
      <c r="D32" s="44">
        <v>36</v>
      </c>
      <c r="E32" s="48">
        <f t="shared" si="2"/>
        <v>0</v>
      </c>
      <c r="F32" s="38">
        <v>66</v>
      </c>
      <c r="G32" s="49">
        <f t="shared" si="3"/>
        <v>82.5</v>
      </c>
      <c r="H32" s="38">
        <f t="shared" si="4"/>
        <v>0</v>
      </c>
      <c r="I32" s="38">
        <v>70</v>
      </c>
      <c r="J32" s="38">
        <f t="shared" si="5"/>
        <v>81.395348837209298</v>
      </c>
      <c r="K32" s="48">
        <f t="shared" si="0"/>
        <v>0</v>
      </c>
      <c r="L32" s="38">
        <v>64</v>
      </c>
      <c r="M32" s="49">
        <f t="shared" si="1"/>
        <v>80</v>
      </c>
    </row>
    <row r="33" spans="4:13" x14ac:dyDescent="0.2">
      <c r="D33" s="44">
        <v>37</v>
      </c>
      <c r="E33" s="48">
        <f t="shared" si="2"/>
        <v>1</v>
      </c>
      <c r="F33" s="38">
        <v>65</v>
      </c>
      <c r="G33" s="49">
        <f t="shared" si="3"/>
        <v>81.25</v>
      </c>
      <c r="H33" s="38">
        <f t="shared" si="4"/>
        <v>6</v>
      </c>
      <c r="I33" s="38">
        <v>64</v>
      </c>
      <c r="J33" s="38">
        <f t="shared" si="5"/>
        <v>74.418604651162795</v>
      </c>
      <c r="K33" s="48">
        <f t="shared" si="0"/>
        <v>2</v>
      </c>
      <c r="L33" s="38">
        <v>62</v>
      </c>
      <c r="M33" s="49">
        <f t="shared" si="1"/>
        <v>77.5</v>
      </c>
    </row>
    <row r="34" spans="4:13" x14ac:dyDescent="0.2">
      <c r="D34" s="44">
        <v>38</v>
      </c>
      <c r="E34" s="48">
        <f t="shared" si="2"/>
        <v>0</v>
      </c>
      <c r="F34" s="38">
        <v>65</v>
      </c>
      <c r="G34" s="49">
        <f t="shared" si="3"/>
        <v>81.25</v>
      </c>
      <c r="H34" s="38">
        <f t="shared" si="4"/>
        <v>0</v>
      </c>
      <c r="I34" s="38">
        <v>64</v>
      </c>
      <c r="J34" s="38">
        <f t="shared" si="5"/>
        <v>74.418604651162795</v>
      </c>
      <c r="K34" s="48">
        <f t="shared" si="0"/>
        <v>0</v>
      </c>
      <c r="L34" s="38">
        <v>62</v>
      </c>
      <c r="M34" s="49">
        <f t="shared" si="1"/>
        <v>77.5</v>
      </c>
    </row>
    <row r="35" spans="4:13" x14ac:dyDescent="0.2">
      <c r="D35" s="44">
        <v>42</v>
      </c>
      <c r="E35" s="48">
        <f t="shared" si="2"/>
        <v>4</v>
      </c>
      <c r="F35" s="38">
        <v>61</v>
      </c>
      <c r="G35" s="49">
        <f t="shared" si="3"/>
        <v>76.25</v>
      </c>
      <c r="H35" s="38">
        <f t="shared" si="4"/>
        <v>8</v>
      </c>
      <c r="I35" s="38">
        <v>56</v>
      </c>
      <c r="J35" s="38">
        <f t="shared" si="5"/>
        <v>65.116279069767444</v>
      </c>
      <c r="K35" s="48">
        <f t="shared" si="0"/>
        <v>1</v>
      </c>
      <c r="L35" s="38">
        <v>61</v>
      </c>
      <c r="M35" s="49">
        <f t="shared" si="1"/>
        <v>76.25</v>
      </c>
    </row>
    <row r="36" spans="4:13" x14ac:dyDescent="0.2">
      <c r="D36" s="44">
        <v>43</v>
      </c>
      <c r="E36" s="48">
        <f t="shared" si="2"/>
        <v>8</v>
      </c>
      <c r="F36" s="38">
        <v>53</v>
      </c>
      <c r="G36" s="49">
        <f t="shared" si="3"/>
        <v>66.25</v>
      </c>
      <c r="H36" s="38">
        <f t="shared" si="4"/>
        <v>4</v>
      </c>
      <c r="I36" s="38">
        <v>52</v>
      </c>
      <c r="J36" s="38">
        <f t="shared" si="5"/>
        <v>60.465116279069768</v>
      </c>
      <c r="K36" s="48">
        <f t="shared" si="0"/>
        <v>3</v>
      </c>
      <c r="L36" s="38">
        <v>58</v>
      </c>
      <c r="M36" s="49">
        <f t="shared" si="1"/>
        <v>72.5</v>
      </c>
    </row>
    <row r="37" spans="4:13" x14ac:dyDescent="0.2">
      <c r="D37" s="44">
        <v>44</v>
      </c>
      <c r="E37" s="48">
        <f>F36-F37</f>
        <v>1</v>
      </c>
      <c r="F37" s="38">
        <v>52</v>
      </c>
      <c r="G37" s="49">
        <f t="shared" si="3"/>
        <v>65</v>
      </c>
      <c r="H37" s="38">
        <f t="shared" si="4"/>
        <v>0</v>
      </c>
      <c r="I37" s="38">
        <v>52</v>
      </c>
      <c r="J37" s="38">
        <f t="shared" si="5"/>
        <v>60.465116279069768</v>
      </c>
      <c r="K37" s="48">
        <f t="shared" si="0"/>
        <v>0</v>
      </c>
      <c r="L37" s="38">
        <v>58</v>
      </c>
      <c r="M37" s="49">
        <f t="shared" si="1"/>
        <v>72.5</v>
      </c>
    </row>
    <row r="38" spans="4:13" x14ac:dyDescent="0.2">
      <c r="D38" s="44">
        <v>47</v>
      </c>
      <c r="E38" s="48">
        <f t="shared" si="2"/>
        <v>11</v>
      </c>
      <c r="F38" s="38">
        <v>41</v>
      </c>
      <c r="G38" s="49">
        <f t="shared" si="3"/>
        <v>51.25</v>
      </c>
      <c r="H38" s="38">
        <f t="shared" si="4"/>
        <v>6</v>
      </c>
      <c r="I38" s="38">
        <v>46</v>
      </c>
      <c r="J38" s="38">
        <f t="shared" si="5"/>
        <v>53.488372093023258</v>
      </c>
      <c r="K38" s="48">
        <f t="shared" si="0"/>
        <v>7</v>
      </c>
      <c r="L38" s="38">
        <v>51</v>
      </c>
      <c r="M38" s="49">
        <f t="shared" si="1"/>
        <v>63.75</v>
      </c>
    </row>
    <row r="39" spans="4:13" x14ac:dyDescent="0.2">
      <c r="D39" s="44">
        <v>48</v>
      </c>
      <c r="E39" s="48">
        <f t="shared" si="2"/>
        <v>11</v>
      </c>
      <c r="F39" s="38">
        <v>30</v>
      </c>
      <c r="G39" s="49">
        <f t="shared" si="3"/>
        <v>37.5</v>
      </c>
      <c r="H39" s="38">
        <f t="shared" si="4"/>
        <v>17</v>
      </c>
      <c r="I39" s="38">
        <v>29</v>
      </c>
      <c r="J39" s="38">
        <f t="shared" si="5"/>
        <v>33.720930232558139</v>
      </c>
      <c r="K39" s="48">
        <f t="shared" si="0"/>
        <v>4</v>
      </c>
      <c r="L39" s="38">
        <v>47</v>
      </c>
      <c r="M39" s="49">
        <f t="shared" si="1"/>
        <v>58.75</v>
      </c>
    </row>
    <row r="40" spans="4:13" x14ac:dyDescent="0.2">
      <c r="D40" s="44">
        <v>49</v>
      </c>
      <c r="E40" s="48">
        <f t="shared" si="2"/>
        <v>2</v>
      </c>
      <c r="F40" s="38">
        <v>28</v>
      </c>
      <c r="G40" s="49">
        <f t="shared" si="3"/>
        <v>35</v>
      </c>
      <c r="H40" s="38">
        <f t="shared" si="4"/>
        <v>1</v>
      </c>
      <c r="I40" s="38">
        <v>28</v>
      </c>
      <c r="J40" s="38">
        <f t="shared" si="5"/>
        <v>32.558139534883722</v>
      </c>
      <c r="K40" s="48">
        <f t="shared" si="0"/>
        <v>2</v>
      </c>
      <c r="L40" s="38">
        <v>45</v>
      </c>
      <c r="M40" s="49">
        <f t="shared" si="1"/>
        <v>56.25</v>
      </c>
    </row>
    <row r="41" spans="4:13" x14ac:dyDescent="0.2">
      <c r="D41" s="44">
        <v>50</v>
      </c>
      <c r="E41" s="48">
        <f t="shared" si="2"/>
        <v>1</v>
      </c>
      <c r="F41" s="38">
        <v>27</v>
      </c>
      <c r="G41" s="49">
        <f t="shared" si="3"/>
        <v>33.75</v>
      </c>
      <c r="H41" s="38">
        <f t="shared" si="4"/>
        <v>1</v>
      </c>
      <c r="I41" s="38">
        <v>27</v>
      </c>
      <c r="J41" s="38">
        <f t="shared" si="5"/>
        <v>31.395348837209301</v>
      </c>
      <c r="K41" s="48">
        <f t="shared" si="0"/>
        <v>3</v>
      </c>
      <c r="L41" s="38">
        <v>42</v>
      </c>
      <c r="M41" s="49">
        <f t="shared" si="1"/>
        <v>52.5</v>
      </c>
    </row>
    <row r="42" spans="4:13" x14ac:dyDescent="0.2">
      <c r="D42" s="44">
        <v>51</v>
      </c>
      <c r="E42" s="48">
        <f t="shared" si="2"/>
        <v>2</v>
      </c>
      <c r="F42" s="38">
        <v>25</v>
      </c>
      <c r="G42" s="49">
        <f t="shared" si="3"/>
        <v>31.25</v>
      </c>
      <c r="H42" s="38">
        <f t="shared" si="4"/>
        <v>3</v>
      </c>
      <c r="I42" s="38">
        <v>24</v>
      </c>
      <c r="J42" s="38">
        <f t="shared" si="5"/>
        <v>27.906976744186046</v>
      </c>
      <c r="K42" s="48">
        <f t="shared" si="0"/>
        <v>1</v>
      </c>
      <c r="L42" s="38">
        <v>41</v>
      </c>
      <c r="M42" s="49">
        <f t="shared" si="1"/>
        <v>51.25</v>
      </c>
    </row>
    <row r="43" spans="4:13" x14ac:dyDescent="0.2">
      <c r="D43" s="44">
        <v>54</v>
      </c>
      <c r="E43" s="48">
        <f t="shared" si="2"/>
        <v>13</v>
      </c>
      <c r="F43" s="38">
        <v>12</v>
      </c>
      <c r="G43" s="49">
        <f t="shared" si="3"/>
        <v>15</v>
      </c>
      <c r="H43" s="38">
        <f t="shared" si="4"/>
        <v>11</v>
      </c>
      <c r="I43" s="38">
        <v>13</v>
      </c>
      <c r="J43" s="38">
        <f t="shared" si="5"/>
        <v>15.116279069767442</v>
      </c>
      <c r="K43" s="48">
        <f t="shared" si="0"/>
        <v>16</v>
      </c>
      <c r="L43" s="38">
        <v>25</v>
      </c>
      <c r="M43" s="49">
        <f t="shared" si="1"/>
        <v>31.25</v>
      </c>
    </row>
    <row r="44" spans="4:13" x14ac:dyDescent="0.2">
      <c r="D44" s="44">
        <v>55</v>
      </c>
      <c r="E44" s="48">
        <f t="shared" si="2"/>
        <v>2</v>
      </c>
      <c r="F44" s="38">
        <v>10</v>
      </c>
      <c r="G44" s="49">
        <f t="shared" si="3"/>
        <v>12.5</v>
      </c>
      <c r="H44" s="38">
        <f t="shared" si="4"/>
        <v>1</v>
      </c>
      <c r="I44" s="38">
        <v>12</v>
      </c>
      <c r="J44" s="38">
        <f t="shared" si="5"/>
        <v>13.953488372093023</v>
      </c>
      <c r="K44" s="48">
        <f t="shared" si="0"/>
        <v>4</v>
      </c>
      <c r="L44" s="38">
        <v>21</v>
      </c>
      <c r="M44" s="49">
        <f t="shared" si="1"/>
        <v>26.25</v>
      </c>
    </row>
    <row r="45" spans="4:13" x14ac:dyDescent="0.2">
      <c r="D45" s="44">
        <v>56</v>
      </c>
      <c r="E45" s="48">
        <f t="shared" si="2"/>
        <v>0</v>
      </c>
      <c r="F45" s="38">
        <v>10</v>
      </c>
      <c r="G45" s="49">
        <f t="shared" si="3"/>
        <v>12.5</v>
      </c>
      <c r="H45" s="38">
        <f t="shared" si="4"/>
        <v>0</v>
      </c>
      <c r="I45" s="38">
        <v>12</v>
      </c>
      <c r="J45" s="38">
        <f t="shared" si="5"/>
        <v>13.953488372093023</v>
      </c>
      <c r="K45" s="48">
        <f t="shared" si="0"/>
        <v>2</v>
      </c>
      <c r="L45" s="38">
        <v>19</v>
      </c>
      <c r="M45" s="49">
        <f t="shared" si="1"/>
        <v>23.75</v>
      </c>
    </row>
    <row r="46" spans="4:13" x14ac:dyDescent="0.2">
      <c r="D46" s="44">
        <v>57</v>
      </c>
      <c r="E46" s="48">
        <f t="shared" si="2"/>
        <v>0</v>
      </c>
      <c r="F46" s="38">
        <v>10</v>
      </c>
      <c r="G46" s="49">
        <f t="shared" si="3"/>
        <v>12.5</v>
      </c>
      <c r="H46" s="38">
        <f t="shared" si="4"/>
        <v>2</v>
      </c>
      <c r="I46" s="38">
        <v>10</v>
      </c>
      <c r="J46" s="38">
        <f t="shared" si="5"/>
        <v>11.627906976744185</v>
      </c>
      <c r="K46" s="48">
        <f t="shared" si="0"/>
        <v>3</v>
      </c>
      <c r="L46" s="38">
        <v>16</v>
      </c>
      <c r="M46" s="49">
        <f t="shared" si="1"/>
        <v>20</v>
      </c>
    </row>
    <row r="47" spans="4:13" x14ac:dyDescent="0.2">
      <c r="D47" s="44">
        <v>58</v>
      </c>
      <c r="E47" s="48">
        <f t="shared" si="2"/>
        <v>2</v>
      </c>
      <c r="F47" s="38">
        <v>8</v>
      </c>
      <c r="G47" s="49">
        <f t="shared" si="3"/>
        <v>10</v>
      </c>
      <c r="H47" s="38">
        <f t="shared" si="4"/>
        <v>4</v>
      </c>
      <c r="I47" s="38">
        <v>6</v>
      </c>
      <c r="J47" s="38">
        <f t="shared" si="5"/>
        <v>6.9767441860465116</v>
      </c>
      <c r="K47" s="48">
        <f t="shared" si="0"/>
        <v>4</v>
      </c>
      <c r="L47" s="38">
        <v>12</v>
      </c>
      <c r="M47" s="49">
        <f t="shared" si="1"/>
        <v>15</v>
      </c>
    </row>
    <row r="48" spans="4:13" x14ac:dyDescent="0.2">
      <c r="D48" s="44">
        <v>61</v>
      </c>
      <c r="E48" s="48">
        <f t="shared" si="2"/>
        <v>4</v>
      </c>
      <c r="F48" s="38">
        <v>4</v>
      </c>
      <c r="G48" s="49">
        <f t="shared" si="3"/>
        <v>5</v>
      </c>
      <c r="H48" s="38">
        <f t="shared" si="4"/>
        <v>2</v>
      </c>
      <c r="I48" s="38">
        <v>4</v>
      </c>
      <c r="J48" s="38">
        <f t="shared" si="5"/>
        <v>4.6511627906976747</v>
      </c>
      <c r="K48" s="48">
        <f t="shared" si="0"/>
        <v>6</v>
      </c>
      <c r="L48" s="38">
        <v>6</v>
      </c>
      <c r="M48" s="49">
        <f t="shared" si="1"/>
        <v>7.5</v>
      </c>
    </row>
    <row r="49" spans="4:13" x14ac:dyDescent="0.2">
      <c r="D49" s="44">
        <v>62</v>
      </c>
      <c r="E49" s="48">
        <f t="shared" si="2"/>
        <v>4</v>
      </c>
      <c r="F49" s="38">
        <v>0</v>
      </c>
      <c r="G49" s="49">
        <f t="shared" si="3"/>
        <v>0</v>
      </c>
      <c r="H49" s="38">
        <f t="shared" si="4"/>
        <v>0</v>
      </c>
      <c r="I49" s="38">
        <v>4</v>
      </c>
      <c r="J49" s="38">
        <f t="shared" si="5"/>
        <v>4.6511627906976747</v>
      </c>
      <c r="K49" s="48">
        <f t="shared" si="0"/>
        <v>1</v>
      </c>
      <c r="L49" s="38">
        <v>5</v>
      </c>
      <c r="M49" s="49">
        <f t="shared" si="1"/>
        <v>6.25</v>
      </c>
    </row>
    <row r="50" spans="4:13" x14ac:dyDescent="0.2">
      <c r="D50" s="44">
        <v>64</v>
      </c>
      <c r="E50" s="48">
        <f t="shared" si="2"/>
        <v>0</v>
      </c>
      <c r="F50" s="38">
        <v>0</v>
      </c>
      <c r="G50" s="49">
        <f t="shared" si="3"/>
        <v>0</v>
      </c>
      <c r="H50" s="38">
        <f t="shared" si="4"/>
        <v>2</v>
      </c>
      <c r="I50" s="38">
        <v>2</v>
      </c>
      <c r="J50" s="38">
        <f t="shared" si="5"/>
        <v>2.3255813953488373</v>
      </c>
      <c r="K50" s="48">
        <f t="shared" si="0"/>
        <v>0</v>
      </c>
      <c r="L50" s="38">
        <v>5</v>
      </c>
      <c r="M50" s="49">
        <f t="shared" si="1"/>
        <v>6.25</v>
      </c>
    </row>
    <row r="51" spans="4:13" x14ac:dyDescent="0.2">
      <c r="D51" s="44">
        <v>65</v>
      </c>
      <c r="E51" s="48">
        <f t="shared" si="2"/>
        <v>0</v>
      </c>
      <c r="F51" s="38">
        <v>0</v>
      </c>
      <c r="G51" s="49">
        <f t="shared" ref="G51:G53" si="6">(F51*100)/80</f>
        <v>0</v>
      </c>
      <c r="H51" s="38">
        <f t="shared" si="4"/>
        <v>1</v>
      </c>
      <c r="I51" s="38">
        <v>1</v>
      </c>
      <c r="J51" s="38">
        <f t="shared" si="5"/>
        <v>1.1627906976744187</v>
      </c>
      <c r="K51" s="48">
        <f t="shared" si="0"/>
        <v>2</v>
      </c>
      <c r="L51" s="38">
        <v>3</v>
      </c>
      <c r="M51" s="49">
        <f t="shared" si="1"/>
        <v>3.75</v>
      </c>
    </row>
    <row r="52" spans="4:13" x14ac:dyDescent="0.2">
      <c r="D52" s="44">
        <v>66</v>
      </c>
      <c r="E52" s="48">
        <f t="shared" si="2"/>
        <v>0</v>
      </c>
      <c r="F52" s="38">
        <v>0</v>
      </c>
      <c r="G52" s="49">
        <f t="shared" si="6"/>
        <v>0</v>
      </c>
      <c r="H52" s="38">
        <f t="shared" si="4"/>
        <v>0</v>
      </c>
      <c r="I52" s="38">
        <v>1</v>
      </c>
      <c r="J52" s="38">
        <f t="shared" si="5"/>
        <v>1.1627906976744187</v>
      </c>
      <c r="K52" s="48">
        <f t="shared" si="0"/>
        <v>1</v>
      </c>
      <c r="L52" s="38">
        <v>2</v>
      </c>
      <c r="M52" s="49">
        <f t="shared" si="1"/>
        <v>2.5</v>
      </c>
    </row>
    <row r="53" spans="4:13" x14ac:dyDescent="0.2">
      <c r="D53" s="44">
        <v>68</v>
      </c>
      <c r="E53" s="48">
        <f t="shared" si="2"/>
        <v>0</v>
      </c>
      <c r="F53" s="38">
        <v>0</v>
      </c>
      <c r="G53" s="49">
        <f t="shared" si="6"/>
        <v>0</v>
      </c>
      <c r="H53" s="38">
        <f t="shared" si="4"/>
        <v>1</v>
      </c>
      <c r="I53" s="38">
        <v>0</v>
      </c>
      <c r="J53" s="38">
        <f t="shared" si="5"/>
        <v>0</v>
      </c>
      <c r="K53" s="48">
        <f t="shared" si="0"/>
        <v>0</v>
      </c>
      <c r="L53" s="38">
        <v>2</v>
      </c>
      <c r="M53" s="49">
        <f t="shared" si="1"/>
        <v>2.5</v>
      </c>
    </row>
    <row r="54" spans="4:13" x14ac:dyDescent="0.2">
      <c r="D54" s="44">
        <v>69</v>
      </c>
      <c r="E54" s="48">
        <f t="shared" si="2"/>
        <v>0</v>
      </c>
      <c r="F54" s="38">
        <v>0</v>
      </c>
      <c r="G54" s="49">
        <v>0</v>
      </c>
      <c r="H54" s="38">
        <f t="shared" si="4"/>
        <v>0</v>
      </c>
      <c r="I54" s="38">
        <v>0</v>
      </c>
      <c r="J54" s="38">
        <v>0</v>
      </c>
      <c r="K54" s="48">
        <f t="shared" si="0"/>
        <v>1</v>
      </c>
      <c r="L54" s="38">
        <v>1</v>
      </c>
      <c r="M54" s="49">
        <f t="shared" si="1"/>
        <v>1.25</v>
      </c>
    </row>
    <row r="55" spans="4:13" ht="17" thickBot="1" x14ac:dyDescent="0.25">
      <c r="D55" s="50">
        <v>70</v>
      </c>
      <c r="E55" s="51"/>
      <c r="F55" s="52"/>
      <c r="G55" s="53"/>
      <c r="H55" s="52"/>
      <c r="I55" s="52"/>
      <c r="J55" s="52"/>
      <c r="K55" s="51">
        <f t="shared" si="0"/>
        <v>1</v>
      </c>
      <c r="L55" s="52">
        <v>0</v>
      </c>
      <c r="M55" s="53">
        <f t="shared" si="1"/>
        <v>0</v>
      </c>
    </row>
    <row r="113" spans="12:12" ht="21" x14ac:dyDescent="0.2">
      <c r="L113" s="101"/>
    </row>
    <row r="114" spans="12:12" ht="24" x14ac:dyDescent="0.2">
      <c r="L114" s="102"/>
    </row>
    <row r="129" spans="5:20" x14ac:dyDescent="0.2">
      <c r="E129" s="103"/>
      <c r="G129" s="103"/>
      <c r="I129" s="103"/>
      <c r="K129" s="103"/>
      <c r="L129" s="103"/>
      <c r="M129" s="103"/>
      <c r="N129" s="103"/>
      <c r="O129" s="103"/>
      <c r="P129" s="103"/>
      <c r="Q129" s="103"/>
      <c r="R129" s="103"/>
      <c r="S129" s="103"/>
      <c r="T129" s="103"/>
    </row>
  </sheetData>
  <mergeCells count="4">
    <mergeCell ref="E4:G4"/>
    <mergeCell ref="H4:J4"/>
    <mergeCell ref="K4:M4"/>
    <mergeCell ref="J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B30-E17F-5040-A139-CDAD804D6E15}">
  <dimension ref="B2:Q31"/>
  <sheetViews>
    <sheetView tabSelected="1" zoomScaleNormal="100" workbookViewId="0">
      <selection activeCell="D25" sqref="D7:Q31"/>
    </sheetView>
  </sheetViews>
  <sheetFormatPr baseColWidth="10" defaultRowHeight="16" x14ac:dyDescent="0.2"/>
  <sheetData>
    <row r="2" spans="2:17" ht="24" x14ac:dyDescent="0.3">
      <c r="B2" s="4"/>
      <c r="C2" s="4" t="s">
        <v>61</v>
      </c>
    </row>
    <row r="3" spans="2:17" ht="21" x14ac:dyDescent="0.25">
      <c r="C3" s="14" t="s">
        <v>39</v>
      </c>
    </row>
    <row r="4" spans="2:17" ht="21" x14ac:dyDescent="0.25">
      <c r="C4" s="14" t="s">
        <v>40</v>
      </c>
    </row>
    <row r="6" spans="2:17" ht="17" thickBot="1" x14ac:dyDescent="0.25"/>
    <row r="7" spans="2:17" s="15" customFormat="1" ht="41" customHeight="1" x14ac:dyDescent="0.2">
      <c r="D7" s="78"/>
      <c r="E7" s="104"/>
      <c r="F7" s="105" t="s">
        <v>63</v>
      </c>
      <c r="G7" s="106"/>
      <c r="H7" s="107"/>
      <c r="I7" s="105" t="s">
        <v>62</v>
      </c>
      <c r="J7" s="106"/>
      <c r="K7" s="107"/>
      <c r="L7" s="106" t="s">
        <v>64</v>
      </c>
      <c r="M7" s="106"/>
      <c r="N7" s="106"/>
      <c r="O7" s="105" t="s">
        <v>65</v>
      </c>
      <c r="P7" s="106"/>
      <c r="Q7" s="107"/>
    </row>
    <row r="8" spans="2:17" ht="19" x14ac:dyDescent="0.25">
      <c r="D8" s="38"/>
      <c r="E8" s="48" t="s">
        <v>7</v>
      </c>
      <c r="F8" s="108" t="s">
        <v>4</v>
      </c>
      <c r="G8" s="109" t="s">
        <v>5</v>
      </c>
      <c r="H8" s="110" t="s">
        <v>6</v>
      </c>
      <c r="I8" s="108" t="s">
        <v>4</v>
      </c>
      <c r="J8" s="109" t="s">
        <v>5</v>
      </c>
      <c r="K8" s="110" t="s">
        <v>6</v>
      </c>
      <c r="L8" s="109" t="s">
        <v>4</v>
      </c>
      <c r="M8" s="109" t="s">
        <v>5</v>
      </c>
      <c r="N8" s="109" t="s">
        <v>6</v>
      </c>
      <c r="O8" s="108" t="s">
        <v>4</v>
      </c>
      <c r="P8" s="109" t="s">
        <v>5</v>
      </c>
      <c r="Q8" s="110" t="s">
        <v>6</v>
      </c>
    </row>
    <row r="9" spans="2:17" x14ac:dyDescent="0.2">
      <c r="D9" s="38"/>
      <c r="E9" s="48">
        <v>0</v>
      </c>
      <c r="F9" s="62"/>
      <c r="G9" s="38">
        <v>50</v>
      </c>
      <c r="H9" s="49">
        <f>G9*100/50</f>
        <v>100</v>
      </c>
      <c r="I9" s="62"/>
      <c r="J9" s="38">
        <v>52</v>
      </c>
      <c r="K9" s="49">
        <f>J9*100/52</f>
        <v>100</v>
      </c>
      <c r="L9" s="63"/>
      <c r="M9" s="38">
        <v>52</v>
      </c>
      <c r="N9" s="38">
        <f>M9*100/52</f>
        <v>100</v>
      </c>
      <c r="O9" s="62"/>
      <c r="P9" s="38">
        <v>48</v>
      </c>
      <c r="Q9" s="49">
        <f>P9*100/48</f>
        <v>100</v>
      </c>
    </row>
    <row r="10" spans="2:17" x14ac:dyDescent="0.2">
      <c r="D10" s="38"/>
      <c r="E10" s="48">
        <v>19</v>
      </c>
      <c r="F10" s="62">
        <v>1</v>
      </c>
      <c r="G10" s="38">
        <f t="shared" ref="G10:G31" si="0">G9-F10</f>
        <v>49</v>
      </c>
      <c r="H10" s="49">
        <f t="shared" ref="H10:H31" si="1">G10*100/50</f>
        <v>98</v>
      </c>
      <c r="I10" s="62">
        <v>1</v>
      </c>
      <c r="J10" s="38">
        <f t="shared" ref="J10:J28" si="2">J9-I10</f>
        <v>51</v>
      </c>
      <c r="K10" s="49">
        <f t="shared" ref="K10:K29" si="3">J10*100/52</f>
        <v>98.07692307692308</v>
      </c>
      <c r="L10" s="63">
        <v>2</v>
      </c>
      <c r="M10" s="38">
        <f t="shared" ref="M10:M31" si="4">M9-L10</f>
        <v>50</v>
      </c>
      <c r="N10" s="38">
        <f t="shared" ref="N10:N31" si="5">M10*100/52</f>
        <v>96.15384615384616</v>
      </c>
      <c r="O10" s="62">
        <v>0</v>
      </c>
      <c r="P10" s="38">
        <f t="shared" ref="P10:P31" si="6">P9-O10</f>
        <v>48</v>
      </c>
      <c r="Q10" s="49">
        <f t="shared" ref="Q10:Q31" si="7">P10*100/48</f>
        <v>100</v>
      </c>
    </row>
    <row r="11" spans="2:17" x14ac:dyDescent="0.2">
      <c r="D11" s="38"/>
      <c r="E11" s="48">
        <v>22</v>
      </c>
      <c r="F11" s="62">
        <v>0</v>
      </c>
      <c r="G11" s="38">
        <f t="shared" si="0"/>
        <v>49</v>
      </c>
      <c r="H11" s="49">
        <f t="shared" si="1"/>
        <v>98</v>
      </c>
      <c r="I11" s="62">
        <v>0</v>
      </c>
      <c r="J11" s="38">
        <f t="shared" si="2"/>
        <v>51</v>
      </c>
      <c r="K11" s="49">
        <f t="shared" si="3"/>
        <v>98.07692307692308</v>
      </c>
      <c r="L11" s="63">
        <v>0</v>
      </c>
      <c r="M11" s="38">
        <f t="shared" si="4"/>
        <v>50</v>
      </c>
      <c r="N11" s="38">
        <f t="shared" si="5"/>
        <v>96.15384615384616</v>
      </c>
      <c r="O11" s="62">
        <v>1</v>
      </c>
      <c r="P11" s="38">
        <f t="shared" si="6"/>
        <v>47</v>
      </c>
      <c r="Q11" s="49">
        <f t="shared" si="7"/>
        <v>97.916666666666671</v>
      </c>
    </row>
    <row r="12" spans="2:17" x14ac:dyDescent="0.2">
      <c r="D12" s="38"/>
      <c r="E12" s="48">
        <v>24</v>
      </c>
      <c r="F12" s="62">
        <v>1</v>
      </c>
      <c r="G12" s="38">
        <f t="shared" si="0"/>
        <v>48</v>
      </c>
      <c r="H12" s="49">
        <f t="shared" si="1"/>
        <v>96</v>
      </c>
      <c r="I12" s="62">
        <v>1</v>
      </c>
      <c r="J12" s="38">
        <f t="shared" si="2"/>
        <v>50</v>
      </c>
      <c r="K12" s="49">
        <f t="shared" si="3"/>
        <v>96.15384615384616</v>
      </c>
      <c r="L12" s="63">
        <v>0</v>
      </c>
      <c r="M12" s="38">
        <f t="shared" si="4"/>
        <v>50</v>
      </c>
      <c r="N12" s="38">
        <f t="shared" si="5"/>
        <v>96.15384615384616</v>
      </c>
      <c r="O12" s="62">
        <v>1</v>
      </c>
      <c r="P12" s="38">
        <f t="shared" si="6"/>
        <v>46</v>
      </c>
      <c r="Q12" s="49">
        <f t="shared" si="7"/>
        <v>95.833333333333329</v>
      </c>
    </row>
    <row r="13" spans="2:17" x14ac:dyDescent="0.2">
      <c r="D13" s="38"/>
      <c r="E13" s="48">
        <v>26</v>
      </c>
      <c r="F13" s="62">
        <v>1</v>
      </c>
      <c r="G13" s="38">
        <f t="shared" si="0"/>
        <v>47</v>
      </c>
      <c r="H13" s="49">
        <f t="shared" si="1"/>
        <v>94</v>
      </c>
      <c r="I13" s="62">
        <v>2</v>
      </c>
      <c r="J13" s="38">
        <f t="shared" si="2"/>
        <v>48</v>
      </c>
      <c r="K13" s="49">
        <f t="shared" si="3"/>
        <v>92.307692307692307</v>
      </c>
      <c r="L13" s="63">
        <v>1</v>
      </c>
      <c r="M13" s="38">
        <f t="shared" si="4"/>
        <v>49</v>
      </c>
      <c r="N13" s="38">
        <f t="shared" si="5"/>
        <v>94.230769230769226</v>
      </c>
      <c r="O13" s="62">
        <v>2</v>
      </c>
      <c r="P13" s="38">
        <f t="shared" si="6"/>
        <v>44</v>
      </c>
      <c r="Q13" s="49">
        <f t="shared" si="7"/>
        <v>91.666666666666671</v>
      </c>
    </row>
    <row r="14" spans="2:17" x14ac:dyDescent="0.2">
      <c r="D14" s="38"/>
      <c r="E14" s="48">
        <v>28</v>
      </c>
      <c r="F14" s="62">
        <v>2</v>
      </c>
      <c r="G14" s="38">
        <f t="shared" si="0"/>
        <v>45</v>
      </c>
      <c r="H14" s="49">
        <f t="shared" si="1"/>
        <v>90</v>
      </c>
      <c r="I14" s="62">
        <v>2</v>
      </c>
      <c r="J14" s="38">
        <f t="shared" si="2"/>
        <v>46</v>
      </c>
      <c r="K14" s="49">
        <f t="shared" si="3"/>
        <v>88.461538461538467</v>
      </c>
      <c r="L14" s="63">
        <v>5</v>
      </c>
      <c r="M14" s="38">
        <f t="shared" si="4"/>
        <v>44</v>
      </c>
      <c r="N14" s="38">
        <f t="shared" si="5"/>
        <v>84.615384615384613</v>
      </c>
      <c r="O14" s="62">
        <v>5</v>
      </c>
      <c r="P14" s="38">
        <f t="shared" si="6"/>
        <v>39</v>
      </c>
      <c r="Q14" s="49">
        <f t="shared" si="7"/>
        <v>81.25</v>
      </c>
    </row>
    <row r="15" spans="2:17" x14ac:dyDescent="0.2">
      <c r="D15" s="38"/>
      <c r="E15" s="48">
        <v>30</v>
      </c>
      <c r="F15" s="62">
        <v>5</v>
      </c>
      <c r="G15" s="38">
        <f t="shared" si="0"/>
        <v>40</v>
      </c>
      <c r="H15" s="49">
        <f t="shared" si="1"/>
        <v>80</v>
      </c>
      <c r="I15" s="62">
        <v>3</v>
      </c>
      <c r="J15" s="38">
        <f t="shared" si="2"/>
        <v>43</v>
      </c>
      <c r="K15" s="49">
        <f t="shared" si="3"/>
        <v>82.692307692307693</v>
      </c>
      <c r="L15" s="63">
        <v>14</v>
      </c>
      <c r="M15" s="38">
        <f t="shared" si="4"/>
        <v>30</v>
      </c>
      <c r="N15" s="38">
        <f t="shared" si="5"/>
        <v>57.692307692307693</v>
      </c>
      <c r="O15" s="62">
        <v>11</v>
      </c>
      <c r="P15" s="38">
        <f t="shared" si="6"/>
        <v>28</v>
      </c>
      <c r="Q15" s="49">
        <f>P15*100/48</f>
        <v>58.333333333333336</v>
      </c>
    </row>
    <row r="16" spans="2:17" x14ac:dyDescent="0.2">
      <c r="D16" s="38"/>
      <c r="E16" s="48">
        <v>31</v>
      </c>
      <c r="F16" s="62">
        <v>1</v>
      </c>
      <c r="G16" s="38">
        <f t="shared" si="0"/>
        <v>39</v>
      </c>
      <c r="H16" s="49">
        <f t="shared" si="1"/>
        <v>78</v>
      </c>
      <c r="I16" s="62">
        <v>2</v>
      </c>
      <c r="J16" s="38">
        <f t="shared" si="2"/>
        <v>41</v>
      </c>
      <c r="K16" s="49">
        <f t="shared" si="3"/>
        <v>78.84615384615384</v>
      </c>
      <c r="L16" s="63">
        <v>3</v>
      </c>
      <c r="M16" s="38">
        <f t="shared" si="4"/>
        <v>27</v>
      </c>
      <c r="N16" s="38">
        <f t="shared" si="5"/>
        <v>51.92307692307692</v>
      </c>
      <c r="O16" s="62">
        <v>3</v>
      </c>
      <c r="P16" s="38">
        <f t="shared" si="6"/>
        <v>25</v>
      </c>
      <c r="Q16" s="49">
        <f t="shared" si="7"/>
        <v>52.083333333333336</v>
      </c>
    </row>
    <row r="17" spans="4:17" x14ac:dyDescent="0.2">
      <c r="D17" s="38"/>
      <c r="E17" s="48">
        <v>32</v>
      </c>
      <c r="F17" s="62">
        <v>2</v>
      </c>
      <c r="G17" s="38">
        <f t="shared" si="0"/>
        <v>37</v>
      </c>
      <c r="H17" s="49">
        <f t="shared" si="1"/>
        <v>74</v>
      </c>
      <c r="I17" s="62">
        <v>4</v>
      </c>
      <c r="J17" s="38">
        <f t="shared" si="2"/>
        <v>37</v>
      </c>
      <c r="K17" s="49">
        <f t="shared" si="3"/>
        <v>71.15384615384616</v>
      </c>
      <c r="L17" s="63">
        <v>6</v>
      </c>
      <c r="M17" s="38">
        <f t="shared" si="4"/>
        <v>21</v>
      </c>
      <c r="N17" s="38">
        <f t="shared" si="5"/>
        <v>40.384615384615387</v>
      </c>
      <c r="O17" s="62">
        <v>3</v>
      </c>
      <c r="P17" s="38">
        <f t="shared" si="6"/>
        <v>22</v>
      </c>
      <c r="Q17" s="49">
        <f t="shared" si="7"/>
        <v>45.833333333333336</v>
      </c>
    </row>
    <row r="18" spans="4:17" x14ac:dyDescent="0.2">
      <c r="D18" s="38"/>
      <c r="E18" s="48">
        <v>33</v>
      </c>
      <c r="F18" s="62">
        <v>4</v>
      </c>
      <c r="G18" s="38">
        <f t="shared" si="0"/>
        <v>33</v>
      </c>
      <c r="H18" s="49">
        <f t="shared" si="1"/>
        <v>66</v>
      </c>
      <c r="I18" s="62">
        <v>4</v>
      </c>
      <c r="J18" s="38">
        <f t="shared" si="2"/>
        <v>33</v>
      </c>
      <c r="K18" s="49">
        <f t="shared" si="3"/>
        <v>63.46153846153846</v>
      </c>
      <c r="L18" s="63">
        <v>3</v>
      </c>
      <c r="M18" s="38">
        <f t="shared" si="4"/>
        <v>18</v>
      </c>
      <c r="N18" s="38">
        <f t="shared" si="5"/>
        <v>34.615384615384613</v>
      </c>
      <c r="O18" s="62">
        <v>2</v>
      </c>
      <c r="P18" s="38">
        <f t="shared" si="6"/>
        <v>20</v>
      </c>
      <c r="Q18" s="49">
        <f t="shared" si="7"/>
        <v>41.666666666666664</v>
      </c>
    </row>
    <row r="19" spans="4:17" x14ac:dyDescent="0.2">
      <c r="D19" s="38"/>
      <c r="E19" s="48">
        <v>34</v>
      </c>
      <c r="F19" s="62">
        <v>5</v>
      </c>
      <c r="G19" s="38">
        <f t="shared" si="0"/>
        <v>28</v>
      </c>
      <c r="H19" s="49">
        <f t="shared" si="1"/>
        <v>56</v>
      </c>
      <c r="I19" s="62">
        <v>6</v>
      </c>
      <c r="J19" s="38">
        <f t="shared" si="2"/>
        <v>27</v>
      </c>
      <c r="K19" s="49">
        <f t="shared" si="3"/>
        <v>51.92307692307692</v>
      </c>
      <c r="L19" s="63">
        <v>5</v>
      </c>
      <c r="M19" s="38">
        <f t="shared" si="4"/>
        <v>13</v>
      </c>
      <c r="N19" s="38">
        <f t="shared" si="5"/>
        <v>25</v>
      </c>
      <c r="O19" s="62">
        <v>1</v>
      </c>
      <c r="P19" s="38">
        <f t="shared" si="6"/>
        <v>19</v>
      </c>
      <c r="Q19" s="49">
        <f t="shared" si="7"/>
        <v>39.583333333333336</v>
      </c>
    </row>
    <row r="20" spans="4:17" x14ac:dyDescent="0.2">
      <c r="D20" s="38"/>
      <c r="E20" s="48">
        <v>35</v>
      </c>
      <c r="F20" s="62">
        <v>2</v>
      </c>
      <c r="G20" s="38">
        <f t="shared" si="0"/>
        <v>26</v>
      </c>
      <c r="H20" s="49">
        <f t="shared" si="1"/>
        <v>52</v>
      </c>
      <c r="I20" s="62">
        <v>4</v>
      </c>
      <c r="J20" s="38">
        <f t="shared" si="2"/>
        <v>23</v>
      </c>
      <c r="K20" s="49">
        <f t="shared" si="3"/>
        <v>44.230769230769234</v>
      </c>
      <c r="L20" s="63">
        <v>1</v>
      </c>
      <c r="M20" s="38">
        <f t="shared" si="4"/>
        <v>12</v>
      </c>
      <c r="N20" s="38">
        <f t="shared" si="5"/>
        <v>23.076923076923077</v>
      </c>
      <c r="O20" s="62">
        <v>0</v>
      </c>
      <c r="P20" s="38">
        <f t="shared" si="6"/>
        <v>19</v>
      </c>
      <c r="Q20" s="49">
        <f t="shared" si="7"/>
        <v>39.583333333333336</v>
      </c>
    </row>
    <row r="21" spans="4:17" x14ac:dyDescent="0.2">
      <c r="D21" s="38"/>
      <c r="E21" s="48">
        <v>36</v>
      </c>
      <c r="F21" s="62">
        <v>2</v>
      </c>
      <c r="G21" s="38">
        <f t="shared" si="0"/>
        <v>24</v>
      </c>
      <c r="H21" s="49">
        <f t="shared" si="1"/>
        <v>48</v>
      </c>
      <c r="I21" s="62">
        <v>8</v>
      </c>
      <c r="J21" s="38">
        <f t="shared" si="2"/>
        <v>15</v>
      </c>
      <c r="K21" s="49">
        <f t="shared" si="3"/>
        <v>28.846153846153847</v>
      </c>
      <c r="L21" s="63">
        <v>3</v>
      </c>
      <c r="M21" s="38">
        <f t="shared" si="4"/>
        <v>9</v>
      </c>
      <c r="N21" s="38">
        <f t="shared" si="5"/>
        <v>17.307692307692307</v>
      </c>
      <c r="O21" s="62">
        <v>5</v>
      </c>
      <c r="P21" s="38">
        <f t="shared" si="6"/>
        <v>14</v>
      </c>
      <c r="Q21" s="49">
        <f t="shared" si="7"/>
        <v>29.166666666666668</v>
      </c>
    </row>
    <row r="22" spans="4:17" x14ac:dyDescent="0.2">
      <c r="D22" s="38"/>
      <c r="E22" s="48">
        <v>37</v>
      </c>
      <c r="F22" s="62">
        <v>8</v>
      </c>
      <c r="G22" s="38">
        <f t="shared" si="0"/>
        <v>16</v>
      </c>
      <c r="H22" s="49">
        <f t="shared" si="1"/>
        <v>32</v>
      </c>
      <c r="I22" s="62">
        <v>4</v>
      </c>
      <c r="J22" s="38">
        <f t="shared" si="2"/>
        <v>11</v>
      </c>
      <c r="K22" s="49">
        <f t="shared" si="3"/>
        <v>21.153846153846153</v>
      </c>
      <c r="L22" s="63">
        <v>0</v>
      </c>
      <c r="M22" s="38">
        <f t="shared" si="4"/>
        <v>9</v>
      </c>
      <c r="N22" s="38">
        <f t="shared" si="5"/>
        <v>17.307692307692307</v>
      </c>
      <c r="O22" s="62">
        <v>2</v>
      </c>
      <c r="P22" s="38">
        <f t="shared" si="6"/>
        <v>12</v>
      </c>
      <c r="Q22" s="49">
        <f t="shared" si="7"/>
        <v>25</v>
      </c>
    </row>
    <row r="23" spans="4:17" x14ac:dyDescent="0.2">
      <c r="D23" s="38"/>
      <c r="E23" s="48">
        <v>38</v>
      </c>
      <c r="F23" s="62">
        <v>0</v>
      </c>
      <c r="G23" s="38">
        <f t="shared" si="0"/>
        <v>16</v>
      </c>
      <c r="H23" s="49">
        <f t="shared" si="1"/>
        <v>32</v>
      </c>
      <c r="I23" s="48">
        <v>0</v>
      </c>
      <c r="J23" s="38">
        <f t="shared" si="2"/>
        <v>11</v>
      </c>
      <c r="K23" s="49">
        <f t="shared" si="3"/>
        <v>21.153846153846153</v>
      </c>
      <c r="L23" s="38">
        <v>3</v>
      </c>
      <c r="M23" s="38">
        <f t="shared" si="4"/>
        <v>6</v>
      </c>
      <c r="N23" s="38">
        <f t="shared" si="5"/>
        <v>11.538461538461538</v>
      </c>
      <c r="O23" s="48">
        <v>2</v>
      </c>
      <c r="P23" s="38">
        <f t="shared" si="6"/>
        <v>10</v>
      </c>
      <c r="Q23" s="49">
        <f t="shared" si="7"/>
        <v>20.833333333333332</v>
      </c>
    </row>
    <row r="24" spans="4:17" x14ac:dyDescent="0.2">
      <c r="D24" s="38"/>
      <c r="E24" s="48">
        <v>39</v>
      </c>
      <c r="F24" s="48">
        <v>5</v>
      </c>
      <c r="G24" s="38">
        <f t="shared" si="0"/>
        <v>11</v>
      </c>
      <c r="H24" s="49">
        <f t="shared" si="1"/>
        <v>22</v>
      </c>
      <c r="I24" s="48">
        <v>4</v>
      </c>
      <c r="J24" s="38">
        <f t="shared" si="2"/>
        <v>7</v>
      </c>
      <c r="K24" s="49">
        <f t="shared" si="3"/>
        <v>13.461538461538462</v>
      </c>
      <c r="L24" s="38">
        <v>1</v>
      </c>
      <c r="M24" s="38">
        <f t="shared" si="4"/>
        <v>5</v>
      </c>
      <c r="N24" s="38">
        <f t="shared" si="5"/>
        <v>9.615384615384615</v>
      </c>
      <c r="O24" s="48">
        <v>3</v>
      </c>
      <c r="P24" s="38">
        <f t="shared" si="6"/>
        <v>7</v>
      </c>
      <c r="Q24" s="49">
        <f t="shared" si="7"/>
        <v>14.583333333333334</v>
      </c>
    </row>
    <row r="25" spans="4:17" x14ac:dyDescent="0.2">
      <c r="D25" s="38"/>
      <c r="E25" s="48">
        <v>40</v>
      </c>
      <c r="F25" s="48">
        <v>2</v>
      </c>
      <c r="G25" s="38">
        <f t="shared" si="0"/>
        <v>9</v>
      </c>
      <c r="H25" s="49">
        <f t="shared" si="1"/>
        <v>18</v>
      </c>
      <c r="I25" s="48">
        <v>2</v>
      </c>
      <c r="J25" s="38">
        <f t="shared" si="2"/>
        <v>5</v>
      </c>
      <c r="K25" s="49">
        <f t="shared" si="3"/>
        <v>9.615384615384615</v>
      </c>
      <c r="L25" s="38">
        <v>1</v>
      </c>
      <c r="M25" s="38">
        <f t="shared" si="4"/>
        <v>4</v>
      </c>
      <c r="N25" s="38">
        <f t="shared" si="5"/>
        <v>7.6923076923076925</v>
      </c>
      <c r="O25" s="48">
        <v>2</v>
      </c>
      <c r="P25" s="38">
        <f t="shared" si="6"/>
        <v>5</v>
      </c>
      <c r="Q25" s="49">
        <f t="shared" si="7"/>
        <v>10.416666666666666</v>
      </c>
    </row>
    <row r="26" spans="4:17" x14ac:dyDescent="0.2">
      <c r="D26" s="38"/>
      <c r="E26" s="48">
        <v>42</v>
      </c>
      <c r="F26" s="48">
        <v>7</v>
      </c>
      <c r="G26" s="38">
        <f t="shared" si="0"/>
        <v>2</v>
      </c>
      <c r="H26" s="49">
        <f t="shared" si="1"/>
        <v>4</v>
      </c>
      <c r="I26" s="48">
        <v>4</v>
      </c>
      <c r="J26" s="38">
        <f t="shared" si="2"/>
        <v>1</v>
      </c>
      <c r="K26" s="49">
        <f t="shared" si="3"/>
        <v>1.9230769230769231</v>
      </c>
      <c r="L26" s="38">
        <v>2</v>
      </c>
      <c r="M26" s="38">
        <f t="shared" si="4"/>
        <v>2</v>
      </c>
      <c r="N26" s="38">
        <f t="shared" si="5"/>
        <v>3.8461538461538463</v>
      </c>
      <c r="O26" s="48">
        <v>3</v>
      </c>
      <c r="P26" s="38">
        <f t="shared" si="6"/>
        <v>2</v>
      </c>
      <c r="Q26" s="49">
        <f t="shared" si="7"/>
        <v>4.166666666666667</v>
      </c>
    </row>
    <row r="27" spans="4:17" x14ac:dyDescent="0.2">
      <c r="D27" s="38"/>
      <c r="E27" s="48">
        <v>44</v>
      </c>
      <c r="F27" s="48">
        <v>2</v>
      </c>
      <c r="G27" s="38">
        <f t="shared" si="0"/>
        <v>0</v>
      </c>
      <c r="H27" s="49">
        <f t="shared" si="1"/>
        <v>0</v>
      </c>
      <c r="I27" s="48">
        <v>0</v>
      </c>
      <c r="J27" s="38">
        <f t="shared" si="2"/>
        <v>1</v>
      </c>
      <c r="K27" s="49">
        <f t="shared" si="3"/>
        <v>1.9230769230769231</v>
      </c>
      <c r="L27" s="38">
        <v>1</v>
      </c>
      <c r="M27" s="38">
        <f t="shared" si="4"/>
        <v>1</v>
      </c>
      <c r="N27" s="38">
        <f t="shared" si="5"/>
        <v>1.9230769230769231</v>
      </c>
      <c r="O27" s="48">
        <v>1</v>
      </c>
      <c r="P27" s="38">
        <f t="shared" si="6"/>
        <v>1</v>
      </c>
      <c r="Q27" s="49">
        <f t="shared" si="7"/>
        <v>2.0833333333333335</v>
      </c>
    </row>
    <row r="28" spans="4:17" x14ac:dyDescent="0.2">
      <c r="D28" s="38"/>
      <c r="E28" s="48">
        <v>46</v>
      </c>
      <c r="F28" s="48"/>
      <c r="G28" s="38">
        <f t="shared" si="0"/>
        <v>0</v>
      </c>
      <c r="H28" s="49">
        <f t="shared" si="1"/>
        <v>0</v>
      </c>
      <c r="I28" s="48">
        <v>1</v>
      </c>
      <c r="J28" s="38">
        <f t="shared" si="2"/>
        <v>0</v>
      </c>
      <c r="K28" s="49">
        <f t="shared" si="3"/>
        <v>0</v>
      </c>
      <c r="L28" s="38">
        <v>0</v>
      </c>
      <c r="M28" s="38">
        <f t="shared" si="4"/>
        <v>1</v>
      </c>
      <c r="N28" s="38">
        <f t="shared" si="5"/>
        <v>1.9230769230769231</v>
      </c>
      <c r="O28" s="48">
        <v>1</v>
      </c>
      <c r="P28" s="38">
        <f t="shared" si="6"/>
        <v>0</v>
      </c>
      <c r="Q28" s="49">
        <f t="shared" si="7"/>
        <v>0</v>
      </c>
    </row>
    <row r="29" spans="4:17" x14ac:dyDescent="0.2">
      <c r="D29" s="38"/>
      <c r="E29" s="48">
        <v>47</v>
      </c>
      <c r="F29" s="48"/>
      <c r="G29" s="38">
        <f t="shared" si="0"/>
        <v>0</v>
      </c>
      <c r="H29" s="49">
        <f t="shared" si="1"/>
        <v>0</v>
      </c>
      <c r="I29" s="48"/>
      <c r="J29" s="38"/>
      <c r="K29" s="49">
        <f t="shared" si="3"/>
        <v>0</v>
      </c>
      <c r="L29" s="38">
        <v>0</v>
      </c>
      <c r="M29" s="38">
        <f t="shared" si="4"/>
        <v>1</v>
      </c>
      <c r="N29" s="38">
        <f t="shared" si="5"/>
        <v>1.9230769230769231</v>
      </c>
      <c r="O29" s="48"/>
      <c r="P29" s="38">
        <f t="shared" si="6"/>
        <v>0</v>
      </c>
      <c r="Q29" s="49">
        <f t="shared" si="7"/>
        <v>0</v>
      </c>
    </row>
    <row r="30" spans="4:17" x14ac:dyDescent="0.2">
      <c r="D30" s="38"/>
      <c r="E30" s="48">
        <v>48</v>
      </c>
      <c r="F30" s="48"/>
      <c r="G30" s="38">
        <f t="shared" si="0"/>
        <v>0</v>
      </c>
      <c r="H30" s="49">
        <f t="shared" si="1"/>
        <v>0</v>
      </c>
      <c r="I30" s="48"/>
      <c r="J30" s="38"/>
      <c r="K30" s="49">
        <f t="shared" ref="K30" si="8">J30*100/54</f>
        <v>0</v>
      </c>
      <c r="L30" s="38">
        <v>0</v>
      </c>
      <c r="M30" s="38">
        <f t="shared" si="4"/>
        <v>1</v>
      </c>
      <c r="N30" s="38">
        <f t="shared" si="5"/>
        <v>1.9230769230769231</v>
      </c>
      <c r="O30" s="48"/>
      <c r="P30" s="38">
        <f t="shared" si="6"/>
        <v>0</v>
      </c>
      <c r="Q30" s="49">
        <f t="shared" si="7"/>
        <v>0</v>
      </c>
    </row>
    <row r="31" spans="4:17" ht="17" thickBot="1" x14ac:dyDescent="0.25">
      <c r="D31" s="38"/>
      <c r="E31" s="51">
        <v>50</v>
      </c>
      <c r="F31" s="51"/>
      <c r="G31" s="52">
        <f t="shared" si="0"/>
        <v>0</v>
      </c>
      <c r="H31" s="53">
        <f t="shared" si="1"/>
        <v>0</v>
      </c>
      <c r="I31" s="51"/>
      <c r="J31" s="52"/>
      <c r="K31" s="53"/>
      <c r="L31" s="52">
        <v>1</v>
      </c>
      <c r="M31" s="52">
        <f t="shared" si="4"/>
        <v>0</v>
      </c>
      <c r="N31" s="52">
        <f t="shared" si="5"/>
        <v>0</v>
      </c>
      <c r="O31" s="51"/>
      <c r="P31" s="52">
        <f t="shared" si="6"/>
        <v>0</v>
      </c>
      <c r="Q31" s="53">
        <f t="shared" si="7"/>
        <v>0</v>
      </c>
    </row>
  </sheetData>
  <mergeCells count="4">
    <mergeCell ref="F7:H7"/>
    <mergeCell ref="I7:K7"/>
    <mergeCell ref="L7:N7"/>
    <mergeCell ref="O7:Q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M44"/>
  <sheetViews>
    <sheetView zoomScaleNormal="100" workbookViewId="0"/>
  </sheetViews>
  <sheetFormatPr baseColWidth="10" defaultColWidth="11" defaultRowHeight="16" x14ac:dyDescent="0.2"/>
  <sheetData>
    <row r="1" spans="2:13" ht="29" x14ac:dyDescent="0.35">
      <c r="B1" s="16" t="s">
        <v>69</v>
      </c>
      <c r="C1" s="16"/>
      <c r="D1" s="16"/>
      <c r="E1" s="16"/>
      <c r="F1" s="16"/>
      <c r="G1" s="16"/>
      <c r="H1" s="16"/>
    </row>
    <row r="2" spans="2:13" ht="19" x14ac:dyDescent="0.25">
      <c r="B2" s="5" t="s">
        <v>20</v>
      </c>
      <c r="C2" s="5"/>
      <c r="D2" s="5"/>
    </row>
    <row r="3" spans="2:13" ht="19" x14ac:dyDescent="0.25">
      <c r="B3" s="5" t="s">
        <v>70</v>
      </c>
      <c r="C3" s="5"/>
      <c r="D3" s="5"/>
    </row>
    <row r="4" spans="2:13" ht="20" thickBot="1" x14ac:dyDescent="0.3">
      <c r="B4" s="5" t="s">
        <v>22</v>
      </c>
      <c r="C4" s="5"/>
      <c r="D4" s="5"/>
    </row>
    <row r="5" spans="2:13" ht="26" customHeight="1" x14ac:dyDescent="0.2">
      <c r="D5" s="11"/>
      <c r="E5" s="18" t="s">
        <v>17</v>
      </c>
      <c r="F5" s="19"/>
      <c r="G5" s="20"/>
      <c r="H5" s="21" t="s">
        <v>18</v>
      </c>
      <c r="I5" s="22"/>
      <c r="J5" s="23"/>
      <c r="K5" s="24" t="s">
        <v>19</v>
      </c>
      <c r="L5" s="17"/>
      <c r="M5" s="25"/>
    </row>
    <row r="6" spans="2:13" ht="19" x14ac:dyDescent="0.25">
      <c r="D6" s="6" t="s">
        <v>7</v>
      </c>
      <c r="E6" s="2" t="s">
        <v>4</v>
      </c>
      <c r="F6" s="1" t="s">
        <v>5</v>
      </c>
      <c r="G6" s="3" t="s">
        <v>6</v>
      </c>
      <c r="H6" s="2" t="s">
        <v>4</v>
      </c>
      <c r="I6" s="1" t="s">
        <v>5</v>
      </c>
      <c r="J6" s="3" t="s">
        <v>6</v>
      </c>
      <c r="K6" s="2" t="s">
        <v>4</v>
      </c>
      <c r="L6" s="1" t="s">
        <v>5</v>
      </c>
      <c r="M6" s="3" t="s">
        <v>6</v>
      </c>
    </row>
    <row r="7" spans="2:13" x14ac:dyDescent="0.2">
      <c r="D7" s="6">
        <v>0</v>
      </c>
      <c r="E7" s="6">
        <v>0</v>
      </c>
      <c r="F7">
        <v>70</v>
      </c>
      <c r="G7" s="7">
        <v>100</v>
      </c>
      <c r="H7" s="6">
        <v>0</v>
      </c>
      <c r="I7">
        <v>66</v>
      </c>
      <c r="J7" s="7">
        <v>100</v>
      </c>
      <c r="K7" s="6">
        <v>0</v>
      </c>
      <c r="L7">
        <v>64</v>
      </c>
      <c r="M7" s="7">
        <v>100</v>
      </c>
    </row>
    <row r="8" spans="2:13" x14ac:dyDescent="0.2">
      <c r="D8" s="6">
        <v>2</v>
      </c>
      <c r="E8" s="6">
        <v>0</v>
      </c>
      <c r="F8">
        <f>F7-E8</f>
        <v>70</v>
      </c>
      <c r="G8" s="7">
        <f>F8*100/F7</f>
        <v>100</v>
      </c>
      <c r="H8" s="6">
        <v>0</v>
      </c>
      <c r="I8">
        <f>I7-H8</f>
        <v>66</v>
      </c>
      <c r="J8" s="7">
        <f>I8*100/66</f>
        <v>100</v>
      </c>
      <c r="K8" s="6">
        <v>0</v>
      </c>
      <c r="L8">
        <f>L7-K8</f>
        <v>64</v>
      </c>
      <c r="M8" s="7">
        <f>L8*100/64</f>
        <v>100</v>
      </c>
    </row>
    <row r="9" spans="2:13" x14ac:dyDescent="0.2">
      <c r="D9" s="6">
        <v>4</v>
      </c>
      <c r="E9" s="6">
        <v>0</v>
      </c>
      <c r="F9">
        <f>F8-E9</f>
        <v>70</v>
      </c>
      <c r="G9" s="7">
        <f>F9*100/F7</f>
        <v>100</v>
      </c>
      <c r="H9" s="6">
        <v>0</v>
      </c>
      <c r="I9">
        <f>I8-H9</f>
        <v>66</v>
      </c>
      <c r="J9" s="7">
        <f>I9*100/66</f>
        <v>100</v>
      </c>
      <c r="K9" s="6">
        <v>0</v>
      </c>
      <c r="L9">
        <f>L8-K9</f>
        <v>64</v>
      </c>
      <c r="M9" s="7">
        <f>L9*100/64</f>
        <v>100</v>
      </c>
    </row>
    <row r="10" spans="2:13" x14ac:dyDescent="0.2">
      <c r="D10" s="6">
        <v>6</v>
      </c>
      <c r="E10" s="6">
        <v>0</v>
      </c>
      <c r="F10">
        <f>F9-E10</f>
        <v>70</v>
      </c>
      <c r="G10" s="7">
        <f>F10*100/F7</f>
        <v>100</v>
      </c>
      <c r="H10" s="6">
        <v>0</v>
      </c>
      <c r="I10">
        <f t="shared" ref="I10:I36" si="0">I9-H10</f>
        <v>66</v>
      </c>
      <c r="J10" s="7">
        <f t="shared" ref="J10:J36" si="1">I10*100/66</f>
        <v>100</v>
      </c>
      <c r="K10" s="6">
        <v>0</v>
      </c>
      <c r="L10">
        <f t="shared" ref="L10:L35" si="2">L9-K10</f>
        <v>64</v>
      </c>
      <c r="M10" s="7">
        <f t="shared" ref="M10:M35" si="3">L10*100/64</f>
        <v>100</v>
      </c>
    </row>
    <row r="11" spans="2:13" x14ac:dyDescent="0.2">
      <c r="D11" s="6">
        <v>8</v>
      </c>
      <c r="E11" s="6">
        <v>0</v>
      </c>
      <c r="F11">
        <f t="shared" ref="F11:F36" si="4">F10-E11</f>
        <v>70</v>
      </c>
      <c r="G11" s="7">
        <f>F11*100/70</f>
        <v>100</v>
      </c>
      <c r="H11" s="6">
        <v>0</v>
      </c>
      <c r="I11">
        <f t="shared" si="0"/>
        <v>66</v>
      </c>
      <c r="J11" s="7">
        <f t="shared" si="1"/>
        <v>100</v>
      </c>
      <c r="K11" s="6">
        <v>0</v>
      </c>
      <c r="L11">
        <f t="shared" si="2"/>
        <v>64</v>
      </c>
      <c r="M11" s="7">
        <f t="shared" si="3"/>
        <v>100</v>
      </c>
    </row>
    <row r="12" spans="2:13" x14ac:dyDescent="0.2">
      <c r="D12" s="6">
        <v>10</v>
      </c>
      <c r="E12" s="6">
        <v>0</v>
      </c>
      <c r="F12">
        <f t="shared" si="4"/>
        <v>70</v>
      </c>
      <c r="G12" s="7">
        <f>F12*100/70</f>
        <v>100</v>
      </c>
      <c r="H12" s="6">
        <v>0</v>
      </c>
      <c r="I12">
        <f t="shared" si="0"/>
        <v>66</v>
      </c>
      <c r="J12" s="7">
        <f t="shared" si="1"/>
        <v>100</v>
      </c>
      <c r="K12" s="6">
        <v>0</v>
      </c>
      <c r="L12">
        <f t="shared" si="2"/>
        <v>64</v>
      </c>
      <c r="M12" s="7">
        <f t="shared" si="3"/>
        <v>100</v>
      </c>
    </row>
    <row r="13" spans="2:13" x14ac:dyDescent="0.2">
      <c r="D13" s="6">
        <v>12</v>
      </c>
      <c r="E13" s="6">
        <v>0</v>
      </c>
      <c r="F13">
        <f t="shared" si="4"/>
        <v>70</v>
      </c>
      <c r="G13" s="7">
        <f t="shared" ref="G13:G36" si="5">F13*100/70</f>
        <v>100</v>
      </c>
      <c r="H13" s="6">
        <v>0</v>
      </c>
      <c r="I13">
        <f t="shared" si="0"/>
        <v>66</v>
      </c>
      <c r="J13" s="7">
        <f t="shared" si="1"/>
        <v>100</v>
      </c>
      <c r="K13" s="6">
        <v>0</v>
      </c>
      <c r="L13">
        <f t="shared" si="2"/>
        <v>64</v>
      </c>
      <c r="M13" s="7">
        <f t="shared" si="3"/>
        <v>100</v>
      </c>
    </row>
    <row r="14" spans="2:13" x14ac:dyDescent="0.2">
      <c r="D14" s="6">
        <v>14</v>
      </c>
      <c r="E14" s="6">
        <v>0</v>
      </c>
      <c r="F14">
        <f t="shared" si="4"/>
        <v>70</v>
      </c>
      <c r="G14" s="7">
        <f t="shared" si="5"/>
        <v>100</v>
      </c>
      <c r="H14" s="6">
        <v>0</v>
      </c>
      <c r="I14">
        <f t="shared" si="0"/>
        <v>66</v>
      </c>
      <c r="J14" s="7">
        <f t="shared" si="1"/>
        <v>100</v>
      </c>
      <c r="K14" s="6">
        <v>0</v>
      </c>
      <c r="L14">
        <f t="shared" si="2"/>
        <v>64</v>
      </c>
      <c r="M14" s="7">
        <f t="shared" si="3"/>
        <v>100</v>
      </c>
    </row>
    <row r="15" spans="2:13" x14ac:dyDescent="0.2">
      <c r="D15" s="6">
        <v>15</v>
      </c>
      <c r="E15" s="6">
        <v>2</v>
      </c>
      <c r="F15">
        <f t="shared" si="4"/>
        <v>68</v>
      </c>
      <c r="G15" s="7">
        <f t="shared" si="5"/>
        <v>97.142857142857139</v>
      </c>
      <c r="H15" s="6">
        <v>0</v>
      </c>
      <c r="I15">
        <f t="shared" si="0"/>
        <v>66</v>
      </c>
      <c r="J15" s="7">
        <f t="shared" si="1"/>
        <v>100</v>
      </c>
      <c r="K15" s="6">
        <v>0</v>
      </c>
      <c r="L15">
        <f t="shared" si="2"/>
        <v>64</v>
      </c>
      <c r="M15" s="7">
        <f t="shared" si="3"/>
        <v>100</v>
      </c>
    </row>
    <row r="16" spans="2:13" x14ac:dyDescent="0.2">
      <c r="D16" s="6">
        <v>16</v>
      </c>
      <c r="E16" s="6">
        <v>0</v>
      </c>
      <c r="F16">
        <f t="shared" si="4"/>
        <v>68</v>
      </c>
      <c r="G16" s="7">
        <f t="shared" si="5"/>
        <v>97.142857142857139</v>
      </c>
      <c r="H16" s="6">
        <v>0</v>
      </c>
      <c r="I16">
        <f t="shared" si="0"/>
        <v>66</v>
      </c>
      <c r="J16" s="7">
        <f t="shared" si="1"/>
        <v>100</v>
      </c>
      <c r="K16" s="6">
        <v>0</v>
      </c>
      <c r="L16">
        <f t="shared" si="2"/>
        <v>64</v>
      </c>
      <c r="M16" s="7">
        <f t="shared" si="3"/>
        <v>100</v>
      </c>
    </row>
    <row r="17" spans="4:13" x14ac:dyDescent="0.2">
      <c r="D17" s="6">
        <v>17</v>
      </c>
      <c r="E17" s="6">
        <v>0</v>
      </c>
      <c r="F17">
        <f t="shared" si="4"/>
        <v>68</v>
      </c>
      <c r="G17" s="7">
        <f t="shared" si="5"/>
        <v>97.142857142857139</v>
      </c>
      <c r="H17" s="6">
        <v>1</v>
      </c>
      <c r="I17">
        <f t="shared" si="0"/>
        <v>65</v>
      </c>
      <c r="J17" s="7">
        <f t="shared" si="1"/>
        <v>98.484848484848484</v>
      </c>
      <c r="K17" s="6">
        <v>1</v>
      </c>
      <c r="L17">
        <f t="shared" si="2"/>
        <v>63</v>
      </c>
      <c r="M17" s="7">
        <f t="shared" si="3"/>
        <v>98.4375</v>
      </c>
    </row>
    <row r="18" spans="4:13" x14ac:dyDescent="0.2">
      <c r="D18" s="6">
        <v>18</v>
      </c>
      <c r="E18" s="6">
        <v>2</v>
      </c>
      <c r="F18">
        <f t="shared" si="4"/>
        <v>66</v>
      </c>
      <c r="G18" s="7">
        <f t="shared" si="5"/>
        <v>94.285714285714292</v>
      </c>
      <c r="H18" s="6">
        <v>0</v>
      </c>
      <c r="I18">
        <f t="shared" si="0"/>
        <v>65</v>
      </c>
      <c r="J18" s="7">
        <f t="shared" si="1"/>
        <v>98.484848484848484</v>
      </c>
      <c r="K18" s="6">
        <v>1</v>
      </c>
      <c r="L18">
        <f t="shared" si="2"/>
        <v>62</v>
      </c>
      <c r="M18" s="7">
        <f t="shared" si="3"/>
        <v>96.875</v>
      </c>
    </row>
    <row r="19" spans="4:13" x14ac:dyDescent="0.2">
      <c r="D19" s="6">
        <v>19</v>
      </c>
      <c r="E19" s="6">
        <v>1</v>
      </c>
      <c r="F19">
        <f t="shared" si="4"/>
        <v>65</v>
      </c>
      <c r="G19" s="7">
        <f t="shared" si="5"/>
        <v>92.857142857142861</v>
      </c>
      <c r="H19" s="6">
        <v>1</v>
      </c>
      <c r="I19">
        <f t="shared" si="0"/>
        <v>64</v>
      </c>
      <c r="J19" s="7">
        <f t="shared" si="1"/>
        <v>96.969696969696969</v>
      </c>
      <c r="K19" s="6">
        <v>1</v>
      </c>
      <c r="L19">
        <f t="shared" si="2"/>
        <v>61</v>
      </c>
      <c r="M19" s="7">
        <f t="shared" si="3"/>
        <v>95.3125</v>
      </c>
    </row>
    <row r="20" spans="4:13" x14ac:dyDescent="0.2">
      <c r="D20" s="6">
        <v>20</v>
      </c>
      <c r="E20" s="6">
        <v>2</v>
      </c>
      <c r="F20">
        <f t="shared" si="4"/>
        <v>63</v>
      </c>
      <c r="G20" s="7">
        <f t="shared" si="5"/>
        <v>90</v>
      </c>
      <c r="H20" s="6">
        <v>2</v>
      </c>
      <c r="I20">
        <f t="shared" si="0"/>
        <v>62</v>
      </c>
      <c r="J20" s="7">
        <f t="shared" si="1"/>
        <v>93.939393939393938</v>
      </c>
      <c r="K20" s="6">
        <v>1</v>
      </c>
      <c r="L20">
        <f t="shared" si="2"/>
        <v>60</v>
      </c>
      <c r="M20" s="7">
        <f t="shared" si="3"/>
        <v>93.75</v>
      </c>
    </row>
    <row r="21" spans="4:13" x14ac:dyDescent="0.2">
      <c r="D21" s="6">
        <v>21</v>
      </c>
      <c r="E21" s="6">
        <v>4</v>
      </c>
      <c r="F21">
        <f t="shared" si="4"/>
        <v>59</v>
      </c>
      <c r="G21" s="7">
        <f t="shared" si="5"/>
        <v>84.285714285714292</v>
      </c>
      <c r="H21" s="6">
        <v>0</v>
      </c>
      <c r="I21">
        <f t="shared" si="0"/>
        <v>62</v>
      </c>
      <c r="J21" s="7">
        <f t="shared" si="1"/>
        <v>93.939393939393938</v>
      </c>
      <c r="K21" s="6">
        <v>0</v>
      </c>
      <c r="L21">
        <f t="shared" si="2"/>
        <v>60</v>
      </c>
      <c r="M21" s="7">
        <f t="shared" si="3"/>
        <v>93.75</v>
      </c>
    </row>
    <row r="22" spans="4:13" x14ac:dyDescent="0.2">
      <c r="D22" s="6">
        <v>22</v>
      </c>
      <c r="E22" s="6">
        <v>1</v>
      </c>
      <c r="F22">
        <f t="shared" si="4"/>
        <v>58</v>
      </c>
      <c r="G22" s="7">
        <f t="shared" si="5"/>
        <v>82.857142857142861</v>
      </c>
      <c r="H22" s="6">
        <v>3</v>
      </c>
      <c r="I22">
        <f t="shared" si="0"/>
        <v>59</v>
      </c>
      <c r="J22" s="7">
        <f t="shared" si="1"/>
        <v>89.393939393939391</v>
      </c>
      <c r="K22" s="6">
        <v>2</v>
      </c>
      <c r="L22">
        <f t="shared" si="2"/>
        <v>58</v>
      </c>
      <c r="M22" s="7">
        <f t="shared" si="3"/>
        <v>90.625</v>
      </c>
    </row>
    <row r="23" spans="4:13" x14ac:dyDescent="0.2">
      <c r="D23" s="6">
        <v>23</v>
      </c>
      <c r="E23" s="6">
        <v>7</v>
      </c>
      <c r="F23">
        <f t="shared" si="4"/>
        <v>51</v>
      </c>
      <c r="G23" s="7">
        <f t="shared" si="5"/>
        <v>72.857142857142861</v>
      </c>
      <c r="H23" s="6">
        <v>3</v>
      </c>
      <c r="I23">
        <f t="shared" si="0"/>
        <v>56</v>
      </c>
      <c r="J23" s="7">
        <f t="shared" si="1"/>
        <v>84.848484848484844</v>
      </c>
      <c r="K23" s="6">
        <v>1</v>
      </c>
      <c r="L23">
        <f t="shared" si="2"/>
        <v>57</v>
      </c>
      <c r="M23" s="7">
        <f t="shared" si="3"/>
        <v>89.0625</v>
      </c>
    </row>
    <row r="24" spans="4:13" x14ac:dyDescent="0.2">
      <c r="D24" s="6">
        <v>24</v>
      </c>
      <c r="E24" s="6">
        <v>5</v>
      </c>
      <c r="F24">
        <f t="shared" si="4"/>
        <v>46</v>
      </c>
      <c r="G24" s="7">
        <f t="shared" si="5"/>
        <v>65.714285714285708</v>
      </c>
      <c r="H24" s="6">
        <v>6</v>
      </c>
      <c r="I24">
        <f t="shared" si="0"/>
        <v>50</v>
      </c>
      <c r="J24" s="7">
        <f t="shared" si="1"/>
        <v>75.757575757575751</v>
      </c>
      <c r="K24" s="6">
        <v>5</v>
      </c>
      <c r="L24">
        <f t="shared" si="2"/>
        <v>52</v>
      </c>
      <c r="M24" s="7">
        <f t="shared" si="3"/>
        <v>81.25</v>
      </c>
    </row>
    <row r="25" spans="4:13" x14ac:dyDescent="0.2">
      <c r="D25" s="6">
        <v>25</v>
      </c>
      <c r="E25" s="6">
        <v>3</v>
      </c>
      <c r="F25">
        <f t="shared" si="4"/>
        <v>43</v>
      </c>
      <c r="G25" s="7">
        <f t="shared" si="5"/>
        <v>61.428571428571431</v>
      </c>
      <c r="H25" s="6">
        <v>10</v>
      </c>
      <c r="I25">
        <f t="shared" si="0"/>
        <v>40</v>
      </c>
      <c r="J25" s="7">
        <f t="shared" si="1"/>
        <v>60.606060606060609</v>
      </c>
      <c r="K25" s="6">
        <v>2</v>
      </c>
      <c r="L25">
        <f t="shared" si="2"/>
        <v>50</v>
      </c>
      <c r="M25" s="7">
        <f t="shared" si="3"/>
        <v>78.125</v>
      </c>
    </row>
    <row r="26" spans="4:13" x14ac:dyDescent="0.2">
      <c r="D26" s="6">
        <v>27</v>
      </c>
      <c r="E26" s="6">
        <v>9</v>
      </c>
      <c r="F26">
        <f t="shared" si="4"/>
        <v>34</v>
      </c>
      <c r="G26" s="7">
        <f t="shared" si="5"/>
        <v>48.571428571428569</v>
      </c>
      <c r="H26" s="6">
        <v>13</v>
      </c>
      <c r="I26">
        <f t="shared" si="0"/>
        <v>27</v>
      </c>
      <c r="J26" s="7">
        <f t="shared" si="1"/>
        <v>40.909090909090907</v>
      </c>
      <c r="K26" s="6">
        <v>5</v>
      </c>
      <c r="L26">
        <f t="shared" si="2"/>
        <v>45</v>
      </c>
      <c r="M26" s="7">
        <f t="shared" si="3"/>
        <v>70.3125</v>
      </c>
    </row>
    <row r="27" spans="4:13" x14ac:dyDescent="0.2">
      <c r="D27" s="6">
        <v>28</v>
      </c>
      <c r="E27" s="6">
        <v>1</v>
      </c>
      <c r="F27">
        <f t="shared" si="4"/>
        <v>33</v>
      </c>
      <c r="G27" s="7">
        <f t="shared" si="5"/>
        <v>47.142857142857146</v>
      </c>
      <c r="H27" s="6">
        <v>8</v>
      </c>
      <c r="I27">
        <f t="shared" si="0"/>
        <v>19</v>
      </c>
      <c r="J27" s="7">
        <f t="shared" si="1"/>
        <v>28.787878787878789</v>
      </c>
      <c r="K27" s="6">
        <v>3</v>
      </c>
      <c r="L27">
        <f t="shared" si="2"/>
        <v>42</v>
      </c>
      <c r="M27" s="7">
        <f t="shared" si="3"/>
        <v>65.625</v>
      </c>
    </row>
    <row r="28" spans="4:13" x14ac:dyDescent="0.2">
      <c r="D28" s="6">
        <v>29</v>
      </c>
      <c r="E28" s="6">
        <v>6</v>
      </c>
      <c r="F28">
        <f t="shared" si="4"/>
        <v>27</v>
      </c>
      <c r="G28" s="7">
        <f t="shared" si="5"/>
        <v>38.571428571428569</v>
      </c>
      <c r="H28" s="6">
        <v>4</v>
      </c>
      <c r="I28">
        <f t="shared" si="0"/>
        <v>15</v>
      </c>
      <c r="J28" s="7">
        <f t="shared" si="1"/>
        <v>22.727272727272727</v>
      </c>
      <c r="K28" s="6">
        <v>5</v>
      </c>
      <c r="L28">
        <f t="shared" si="2"/>
        <v>37</v>
      </c>
      <c r="M28" s="7">
        <f t="shared" si="3"/>
        <v>57.8125</v>
      </c>
    </row>
    <row r="29" spans="4:13" x14ac:dyDescent="0.2">
      <c r="D29" s="6">
        <v>30</v>
      </c>
      <c r="E29" s="6">
        <v>6</v>
      </c>
      <c r="F29">
        <f t="shared" si="4"/>
        <v>21</v>
      </c>
      <c r="G29" s="7">
        <f t="shared" si="5"/>
        <v>30</v>
      </c>
      <c r="H29" s="6">
        <v>7</v>
      </c>
      <c r="I29">
        <f t="shared" si="0"/>
        <v>8</v>
      </c>
      <c r="J29" s="7">
        <f t="shared" si="1"/>
        <v>12.121212121212121</v>
      </c>
      <c r="K29" s="6">
        <v>4</v>
      </c>
      <c r="L29">
        <f t="shared" si="2"/>
        <v>33</v>
      </c>
      <c r="M29" s="7">
        <f t="shared" si="3"/>
        <v>51.5625</v>
      </c>
    </row>
    <row r="30" spans="4:13" x14ac:dyDescent="0.2">
      <c r="D30" s="6">
        <v>31</v>
      </c>
      <c r="E30" s="6">
        <v>3</v>
      </c>
      <c r="F30">
        <f t="shared" si="4"/>
        <v>18</v>
      </c>
      <c r="G30" s="7">
        <f t="shared" si="5"/>
        <v>25.714285714285715</v>
      </c>
      <c r="H30" s="6">
        <v>2</v>
      </c>
      <c r="I30">
        <f t="shared" si="0"/>
        <v>6</v>
      </c>
      <c r="J30" s="7">
        <f t="shared" si="1"/>
        <v>9.0909090909090917</v>
      </c>
      <c r="K30" s="6">
        <v>0</v>
      </c>
      <c r="L30">
        <f t="shared" si="2"/>
        <v>33</v>
      </c>
      <c r="M30" s="7">
        <f t="shared" si="3"/>
        <v>51.5625</v>
      </c>
    </row>
    <row r="31" spans="4:13" x14ac:dyDescent="0.2">
      <c r="D31" s="6">
        <v>32</v>
      </c>
      <c r="E31" s="6">
        <v>4</v>
      </c>
      <c r="F31">
        <f t="shared" si="4"/>
        <v>14</v>
      </c>
      <c r="G31" s="7">
        <f t="shared" si="5"/>
        <v>20</v>
      </c>
      <c r="H31" s="6">
        <v>2</v>
      </c>
      <c r="I31">
        <f t="shared" si="0"/>
        <v>4</v>
      </c>
      <c r="J31" s="7">
        <f t="shared" si="1"/>
        <v>6.0606060606060606</v>
      </c>
      <c r="K31" s="6">
        <v>1</v>
      </c>
      <c r="L31">
        <f t="shared" si="2"/>
        <v>32</v>
      </c>
      <c r="M31" s="7">
        <f t="shared" si="3"/>
        <v>50</v>
      </c>
    </row>
    <row r="32" spans="4:13" x14ac:dyDescent="0.2">
      <c r="D32" s="6">
        <v>34.5</v>
      </c>
      <c r="E32" s="6">
        <v>4</v>
      </c>
      <c r="F32">
        <f t="shared" si="4"/>
        <v>10</v>
      </c>
      <c r="G32" s="7">
        <f t="shared" si="5"/>
        <v>14.285714285714286</v>
      </c>
      <c r="H32" s="6">
        <v>3</v>
      </c>
      <c r="I32">
        <f t="shared" si="0"/>
        <v>1</v>
      </c>
      <c r="J32" s="7">
        <f t="shared" si="1"/>
        <v>1.5151515151515151</v>
      </c>
      <c r="K32" s="6">
        <v>8</v>
      </c>
      <c r="L32">
        <f t="shared" si="2"/>
        <v>24</v>
      </c>
      <c r="M32" s="7">
        <f t="shared" si="3"/>
        <v>37.5</v>
      </c>
    </row>
    <row r="33" spans="4:13" x14ac:dyDescent="0.2">
      <c r="D33" s="6">
        <v>37</v>
      </c>
      <c r="E33" s="6">
        <v>7</v>
      </c>
      <c r="F33">
        <f t="shared" si="4"/>
        <v>3</v>
      </c>
      <c r="G33" s="7">
        <f t="shared" si="5"/>
        <v>4.2857142857142856</v>
      </c>
      <c r="H33" s="6">
        <v>1</v>
      </c>
      <c r="I33">
        <f t="shared" si="0"/>
        <v>0</v>
      </c>
      <c r="J33" s="7">
        <f t="shared" si="1"/>
        <v>0</v>
      </c>
      <c r="K33" s="6">
        <v>8</v>
      </c>
      <c r="L33">
        <f t="shared" si="2"/>
        <v>16</v>
      </c>
      <c r="M33" s="7">
        <f t="shared" si="3"/>
        <v>25</v>
      </c>
    </row>
    <row r="34" spans="4:13" x14ac:dyDescent="0.2">
      <c r="D34" s="6">
        <v>39</v>
      </c>
      <c r="E34" s="6">
        <v>1</v>
      </c>
      <c r="F34">
        <f t="shared" si="4"/>
        <v>2</v>
      </c>
      <c r="G34" s="7">
        <f t="shared" si="5"/>
        <v>2.8571428571428572</v>
      </c>
      <c r="H34" s="6">
        <v>0</v>
      </c>
      <c r="I34">
        <f t="shared" si="0"/>
        <v>0</v>
      </c>
      <c r="J34" s="7">
        <f t="shared" si="1"/>
        <v>0</v>
      </c>
      <c r="K34" s="6">
        <v>5</v>
      </c>
      <c r="L34">
        <f t="shared" si="2"/>
        <v>11</v>
      </c>
      <c r="M34" s="7">
        <f t="shared" si="3"/>
        <v>17.1875</v>
      </c>
    </row>
    <row r="35" spans="4:13" x14ac:dyDescent="0.2">
      <c r="D35" s="6">
        <v>42</v>
      </c>
      <c r="E35" s="6">
        <v>2</v>
      </c>
      <c r="F35">
        <f t="shared" si="4"/>
        <v>0</v>
      </c>
      <c r="G35" s="7">
        <f t="shared" si="5"/>
        <v>0</v>
      </c>
      <c r="H35" s="6">
        <v>0</v>
      </c>
      <c r="I35">
        <f t="shared" si="0"/>
        <v>0</v>
      </c>
      <c r="J35" s="7">
        <f t="shared" si="1"/>
        <v>0</v>
      </c>
      <c r="K35" s="6">
        <v>6</v>
      </c>
      <c r="L35">
        <f t="shared" si="2"/>
        <v>5</v>
      </c>
      <c r="M35" s="7">
        <f t="shared" si="3"/>
        <v>7.8125</v>
      </c>
    </row>
    <row r="36" spans="4:13" ht="17" thickBot="1" x14ac:dyDescent="0.25">
      <c r="D36" s="8">
        <v>44</v>
      </c>
      <c r="E36" s="8">
        <v>0</v>
      </c>
      <c r="F36" s="9">
        <f t="shared" si="4"/>
        <v>0</v>
      </c>
      <c r="G36" s="10">
        <f t="shared" si="5"/>
        <v>0</v>
      </c>
      <c r="H36" s="8">
        <v>0</v>
      </c>
      <c r="I36" s="9">
        <f t="shared" si="0"/>
        <v>0</v>
      </c>
      <c r="J36" s="10">
        <f t="shared" si="1"/>
        <v>0</v>
      </c>
      <c r="K36" s="8">
        <v>5</v>
      </c>
      <c r="L36" s="9">
        <v>0</v>
      </c>
      <c r="M36" s="10">
        <v>0</v>
      </c>
    </row>
    <row r="44" spans="4:13" ht="16" customHeight="1" x14ac:dyDescent="0.2"/>
  </sheetData>
  <mergeCells count="3">
    <mergeCell ref="E5:G5"/>
    <mergeCell ref="H5:J5"/>
    <mergeCell ref="K5: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L40"/>
  <sheetViews>
    <sheetView zoomScaleNormal="100" workbookViewId="0"/>
  </sheetViews>
  <sheetFormatPr baseColWidth="10" defaultColWidth="11" defaultRowHeight="16" x14ac:dyDescent="0.2"/>
  <sheetData>
    <row r="1" spans="2:12" ht="29" x14ac:dyDescent="0.35">
      <c r="B1" s="35" t="s">
        <v>71</v>
      </c>
      <c r="C1" s="35"/>
      <c r="D1" s="35"/>
      <c r="E1" s="35"/>
      <c r="F1" s="35"/>
      <c r="G1" s="35"/>
      <c r="H1" s="35"/>
    </row>
    <row r="2" spans="2:12" ht="19" x14ac:dyDescent="0.25">
      <c r="B2" s="5" t="s">
        <v>20</v>
      </c>
      <c r="C2" s="5"/>
      <c r="D2" s="5"/>
    </row>
    <row r="3" spans="2:12" ht="19" x14ac:dyDescent="0.25">
      <c r="B3" s="5" t="s">
        <v>21</v>
      </c>
      <c r="C3" s="5"/>
      <c r="D3" s="5"/>
    </row>
    <row r="4" spans="2:12" ht="21" customHeight="1" thickBot="1" x14ac:dyDescent="0.3">
      <c r="B4" s="5" t="s">
        <v>22</v>
      </c>
      <c r="C4" s="5"/>
      <c r="D4" s="5"/>
    </row>
    <row r="5" spans="2:12" ht="29" customHeight="1" x14ac:dyDescent="0.2">
      <c r="C5" s="11"/>
      <c r="D5" s="26" t="s">
        <v>74</v>
      </c>
      <c r="E5" s="27"/>
      <c r="F5" s="28"/>
      <c r="G5" s="29" t="s">
        <v>73</v>
      </c>
      <c r="H5" s="30"/>
      <c r="I5" s="31"/>
      <c r="J5" s="32" t="s">
        <v>72</v>
      </c>
      <c r="K5" s="33"/>
      <c r="L5" s="34"/>
    </row>
    <row r="6" spans="2:12" ht="19" x14ac:dyDescent="0.25">
      <c r="C6" s="6" t="s">
        <v>7</v>
      </c>
      <c r="D6" s="2" t="s">
        <v>4</v>
      </c>
      <c r="E6" s="1" t="s">
        <v>5</v>
      </c>
      <c r="F6" s="3" t="s">
        <v>6</v>
      </c>
      <c r="G6" s="2" t="s">
        <v>4</v>
      </c>
      <c r="H6" s="1" t="s">
        <v>5</v>
      </c>
      <c r="I6" s="3" t="s">
        <v>6</v>
      </c>
      <c r="J6" s="2" t="s">
        <v>4</v>
      </c>
      <c r="K6" s="1" t="s">
        <v>5</v>
      </c>
      <c r="L6" s="3" t="s">
        <v>6</v>
      </c>
    </row>
    <row r="7" spans="2:12" x14ac:dyDescent="0.2">
      <c r="C7" s="6">
        <v>0</v>
      </c>
      <c r="D7" s="6">
        <v>0</v>
      </c>
      <c r="E7">
        <v>50</v>
      </c>
      <c r="F7" s="7">
        <v>100</v>
      </c>
      <c r="G7" s="6">
        <v>0</v>
      </c>
      <c r="H7">
        <v>33</v>
      </c>
      <c r="I7" s="7">
        <v>100</v>
      </c>
      <c r="J7" s="6">
        <v>0</v>
      </c>
      <c r="K7">
        <v>45</v>
      </c>
      <c r="L7" s="7">
        <v>100</v>
      </c>
    </row>
    <row r="8" spans="2:12" x14ac:dyDescent="0.2">
      <c r="C8" s="6">
        <v>2</v>
      </c>
      <c r="D8" s="6">
        <v>0</v>
      </c>
      <c r="E8">
        <f>E7-D8</f>
        <v>50</v>
      </c>
      <c r="F8" s="7">
        <f>E8*100/50</f>
        <v>100</v>
      </c>
      <c r="G8" s="6">
        <v>0</v>
      </c>
      <c r="H8">
        <f>H7-G8</f>
        <v>33</v>
      </c>
      <c r="I8" s="7">
        <f>H8*100/33</f>
        <v>100</v>
      </c>
      <c r="J8" s="6">
        <v>0</v>
      </c>
      <c r="K8">
        <f>K7-J8</f>
        <v>45</v>
      </c>
      <c r="L8" s="7">
        <f>K8*100/45</f>
        <v>100</v>
      </c>
    </row>
    <row r="9" spans="2:12" x14ac:dyDescent="0.2">
      <c r="C9" s="6">
        <v>4</v>
      </c>
      <c r="D9" s="6">
        <v>0</v>
      </c>
      <c r="E9">
        <f>E8-D9</f>
        <v>50</v>
      </c>
      <c r="F9" s="7">
        <f>E9*100/50</f>
        <v>100</v>
      </c>
      <c r="G9" s="6">
        <v>0</v>
      </c>
      <c r="H9">
        <f>H8-G9</f>
        <v>33</v>
      </c>
      <c r="I9" s="7">
        <f>H9*100/33</f>
        <v>100</v>
      </c>
      <c r="J9" s="6">
        <v>0</v>
      </c>
      <c r="K9">
        <f>K8-J9</f>
        <v>45</v>
      </c>
      <c r="L9" s="7">
        <f>K9*100/45</f>
        <v>100</v>
      </c>
    </row>
    <row r="10" spans="2:12" x14ac:dyDescent="0.2">
      <c r="C10" s="6">
        <v>6</v>
      </c>
      <c r="D10" s="6">
        <v>0</v>
      </c>
      <c r="E10">
        <f t="shared" ref="E10:E35" si="0">E9-D10</f>
        <v>50</v>
      </c>
      <c r="F10" s="7">
        <f t="shared" ref="F10:F35" si="1">E10*100/50</f>
        <v>100</v>
      </c>
      <c r="G10" s="6">
        <v>0</v>
      </c>
      <c r="H10">
        <f t="shared" ref="H10:H35" si="2">H9-G10</f>
        <v>33</v>
      </c>
      <c r="I10" s="7">
        <f t="shared" ref="I10:I35" si="3">H10*100/33</f>
        <v>100</v>
      </c>
      <c r="J10" s="6">
        <v>0</v>
      </c>
      <c r="K10">
        <f t="shared" ref="K10:K35" si="4">K9-J10</f>
        <v>45</v>
      </c>
      <c r="L10" s="7">
        <f t="shared" ref="L10:L35" si="5">K10*100/45</f>
        <v>100</v>
      </c>
    </row>
    <row r="11" spans="2:12" x14ac:dyDescent="0.2">
      <c r="C11" s="6">
        <v>8</v>
      </c>
      <c r="D11" s="6">
        <v>0</v>
      </c>
      <c r="E11">
        <f t="shared" si="0"/>
        <v>50</v>
      </c>
      <c r="F11" s="7">
        <f t="shared" si="1"/>
        <v>100</v>
      </c>
      <c r="G11" s="6">
        <v>0</v>
      </c>
      <c r="H11">
        <f t="shared" si="2"/>
        <v>33</v>
      </c>
      <c r="I11" s="7">
        <f t="shared" si="3"/>
        <v>100</v>
      </c>
      <c r="J11" s="6">
        <v>0</v>
      </c>
      <c r="K11">
        <f t="shared" si="4"/>
        <v>45</v>
      </c>
      <c r="L11" s="7">
        <f t="shared" si="5"/>
        <v>100</v>
      </c>
    </row>
    <row r="12" spans="2:12" x14ac:dyDescent="0.2">
      <c r="C12" s="6">
        <v>10</v>
      </c>
      <c r="D12" s="6">
        <v>0</v>
      </c>
      <c r="E12">
        <f t="shared" si="0"/>
        <v>50</v>
      </c>
      <c r="F12" s="7">
        <f t="shared" si="1"/>
        <v>100</v>
      </c>
      <c r="G12" s="6">
        <v>0</v>
      </c>
      <c r="H12">
        <f t="shared" si="2"/>
        <v>33</v>
      </c>
      <c r="I12" s="7">
        <f t="shared" si="3"/>
        <v>100</v>
      </c>
      <c r="J12" s="6">
        <v>0</v>
      </c>
      <c r="K12">
        <f t="shared" si="4"/>
        <v>45</v>
      </c>
      <c r="L12" s="7">
        <f t="shared" si="5"/>
        <v>100</v>
      </c>
    </row>
    <row r="13" spans="2:12" x14ac:dyDescent="0.2">
      <c r="C13" s="6">
        <v>12</v>
      </c>
      <c r="D13" s="6">
        <v>0</v>
      </c>
      <c r="E13">
        <f t="shared" si="0"/>
        <v>50</v>
      </c>
      <c r="F13" s="7">
        <f t="shared" si="1"/>
        <v>100</v>
      </c>
      <c r="G13" s="6">
        <v>0</v>
      </c>
      <c r="H13">
        <f t="shared" si="2"/>
        <v>33</v>
      </c>
      <c r="I13" s="7">
        <f t="shared" si="3"/>
        <v>100</v>
      </c>
      <c r="J13" s="6">
        <v>0</v>
      </c>
      <c r="K13">
        <f t="shared" si="4"/>
        <v>45</v>
      </c>
      <c r="L13" s="7">
        <f t="shared" si="5"/>
        <v>100</v>
      </c>
    </row>
    <row r="14" spans="2:12" x14ac:dyDescent="0.2">
      <c r="C14" s="6">
        <v>14</v>
      </c>
      <c r="D14" s="6">
        <v>0</v>
      </c>
      <c r="E14">
        <f t="shared" si="0"/>
        <v>50</v>
      </c>
      <c r="F14" s="7">
        <f t="shared" si="1"/>
        <v>100</v>
      </c>
      <c r="G14" s="6">
        <v>0</v>
      </c>
      <c r="H14">
        <f t="shared" si="2"/>
        <v>33</v>
      </c>
      <c r="I14" s="7">
        <f t="shared" si="3"/>
        <v>100</v>
      </c>
      <c r="J14" s="6">
        <v>0</v>
      </c>
      <c r="K14">
        <f t="shared" si="4"/>
        <v>45</v>
      </c>
      <c r="L14" s="7">
        <f t="shared" si="5"/>
        <v>100</v>
      </c>
    </row>
    <row r="15" spans="2:12" x14ac:dyDescent="0.2">
      <c r="C15" s="6">
        <v>16</v>
      </c>
      <c r="D15" s="6">
        <v>0</v>
      </c>
      <c r="E15">
        <f t="shared" si="0"/>
        <v>50</v>
      </c>
      <c r="F15" s="7">
        <f t="shared" si="1"/>
        <v>100</v>
      </c>
      <c r="G15" s="6">
        <v>1</v>
      </c>
      <c r="H15">
        <f t="shared" si="2"/>
        <v>32</v>
      </c>
      <c r="I15" s="7">
        <f t="shared" si="3"/>
        <v>96.969696969696969</v>
      </c>
      <c r="J15" s="6">
        <v>3</v>
      </c>
      <c r="K15">
        <f t="shared" si="4"/>
        <v>42</v>
      </c>
      <c r="L15" s="7">
        <f t="shared" si="5"/>
        <v>93.333333333333329</v>
      </c>
    </row>
    <row r="16" spans="2:12" x14ac:dyDescent="0.2">
      <c r="C16" s="6">
        <v>17</v>
      </c>
      <c r="D16" s="6">
        <v>1</v>
      </c>
      <c r="E16">
        <f t="shared" si="0"/>
        <v>49</v>
      </c>
      <c r="F16" s="7">
        <f t="shared" si="1"/>
        <v>98</v>
      </c>
      <c r="G16" s="6">
        <v>1</v>
      </c>
      <c r="H16">
        <f t="shared" si="2"/>
        <v>31</v>
      </c>
      <c r="I16" s="7">
        <f t="shared" si="3"/>
        <v>93.939393939393938</v>
      </c>
      <c r="J16" s="6">
        <v>2</v>
      </c>
      <c r="K16">
        <f t="shared" si="4"/>
        <v>40</v>
      </c>
      <c r="L16" s="7">
        <f t="shared" si="5"/>
        <v>88.888888888888886</v>
      </c>
    </row>
    <row r="17" spans="3:12" x14ac:dyDescent="0.2">
      <c r="C17" s="6">
        <v>18</v>
      </c>
      <c r="D17" s="6">
        <v>1</v>
      </c>
      <c r="E17">
        <f t="shared" si="0"/>
        <v>48</v>
      </c>
      <c r="F17" s="7">
        <f t="shared" si="1"/>
        <v>96</v>
      </c>
      <c r="G17" s="6">
        <v>0</v>
      </c>
      <c r="H17">
        <f t="shared" si="2"/>
        <v>31</v>
      </c>
      <c r="I17" s="7">
        <f t="shared" si="3"/>
        <v>93.939393939393938</v>
      </c>
      <c r="J17" s="6">
        <v>1</v>
      </c>
      <c r="K17">
        <f t="shared" si="4"/>
        <v>39</v>
      </c>
      <c r="L17" s="7">
        <f t="shared" si="5"/>
        <v>86.666666666666671</v>
      </c>
    </row>
    <row r="18" spans="3:12" x14ac:dyDescent="0.2">
      <c r="C18" s="6">
        <v>19</v>
      </c>
      <c r="D18" s="6">
        <v>0</v>
      </c>
      <c r="E18">
        <f t="shared" si="0"/>
        <v>48</v>
      </c>
      <c r="F18" s="7">
        <f t="shared" si="1"/>
        <v>96</v>
      </c>
      <c r="G18" s="6">
        <v>1</v>
      </c>
      <c r="H18">
        <f t="shared" si="2"/>
        <v>30</v>
      </c>
      <c r="I18" s="7">
        <f t="shared" si="3"/>
        <v>90.909090909090907</v>
      </c>
      <c r="J18" s="6">
        <v>0</v>
      </c>
      <c r="K18">
        <f t="shared" si="4"/>
        <v>39</v>
      </c>
      <c r="L18" s="7">
        <f t="shared" si="5"/>
        <v>86.666666666666671</v>
      </c>
    </row>
    <row r="19" spans="3:12" x14ac:dyDescent="0.2">
      <c r="C19" s="6">
        <v>20</v>
      </c>
      <c r="D19" s="6">
        <v>1</v>
      </c>
      <c r="E19">
        <f t="shared" si="0"/>
        <v>47</v>
      </c>
      <c r="F19" s="7">
        <f t="shared" si="1"/>
        <v>94</v>
      </c>
      <c r="G19" s="6">
        <v>1</v>
      </c>
      <c r="H19">
        <f t="shared" si="2"/>
        <v>29</v>
      </c>
      <c r="I19" s="7">
        <f t="shared" si="3"/>
        <v>87.878787878787875</v>
      </c>
      <c r="J19" s="6">
        <v>0</v>
      </c>
      <c r="K19">
        <f t="shared" si="4"/>
        <v>39</v>
      </c>
      <c r="L19" s="7">
        <f t="shared" si="5"/>
        <v>86.666666666666671</v>
      </c>
    </row>
    <row r="20" spans="3:12" x14ac:dyDescent="0.2">
      <c r="C20" s="6">
        <v>21</v>
      </c>
      <c r="D20" s="6">
        <v>1</v>
      </c>
      <c r="E20">
        <f t="shared" si="0"/>
        <v>46</v>
      </c>
      <c r="F20" s="7">
        <f t="shared" si="1"/>
        <v>92</v>
      </c>
      <c r="G20" s="6">
        <v>2</v>
      </c>
      <c r="H20">
        <f t="shared" si="2"/>
        <v>27</v>
      </c>
      <c r="I20" s="7">
        <f t="shared" si="3"/>
        <v>81.818181818181813</v>
      </c>
      <c r="J20" s="6">
        <v>2</v>
      </c>
      <c r="K20">
        <f t="shared" si="4"/>
        <v>37</v>
      </c>
      <c r="L20" s="7">
        <f t="shared" si="5"/>
        <v>82.222222222222229</v>
      </c>
    </row>
    <row r="21" spans="3:12" x14ac:dyDescent="0.2">
      <c r="C21" s="6">
        <v>22</v>
      </c>
      <c r="D21" s="6">
        <v>2</v>
      </c>
      <c r="E21">
        <f t="shared" si="0"/>
        <v>44</v>
      </c>
      <c r="F21" s="7">
        <f t="shared" si="1"/>
        <v>88</v>
      </c>
      <c r="G21" s="6">
        <v>0</v>
      </c>
      <c r="H21">
        <f t="shared" si="2"/>
        <v>27</v>
      </c>
      <c r="I21" s="7">
        <f t="shared" si="3"/>
        <v>81.818181818181813</v>
      </c>
      <c r="J21" s="6">
        <v>1</v>
      </c>
      <c r="K21">
        <f t="shared" si="4"/>
        <v>36</v>
      </c>
      <c r="L21" s="7">
        <f t="shared" si="5"/>
        <v>80</v>
      </c>
    </row>
    <row r="22" spans="3:12" x14ac:dyDescent="0.2">
      <c r="C22" s="6">
        <v>23</v>
      </c>
      <c r="D22" s="6">
        <v>4</v>
      </c>
      <c r="E22">
        <f t="shared" si="0"/>
        <v>40</v>
      </c>
      <c r="F22" s="7">
        <f t="shared" si="1"/>
        <v>80</v>
      </c>
      <c r="G22" s="6">
        <v>1</v>
      </c>
      <c r="H22">
        <f t="shared" si="2"/>
        <v>26</v>
      </c>
      <c r="I22" s="7">
        <f t="shared" si="3"/>
        <v>78.787878787878782</v>
      </c>
      <c r="J22" s="6">
        <v>1</v>
      </c>
      <c r="K22">
        <f t="shared" si="4"/>
        <v>35</v>
      </c>
      <c r="L22" s="7">
        <f t="shared" si="5"/>
        <v>77.777777777777771</v>
      </c>
    </row>
    <row r="23" spans="3:12" x14ac:dyDescent="0.2">
      <c r="C23" s="6">
        <v>24</v>
      </c>
      <c r="D23" s="6">
        <v>4</v>
      </c>
      <c r="E23">
        <f t="shared" si="0"/>
        <v>36</v>
      </c>
      <c r="F23" s="7">
        <f t="shared" si="1"/>
        <v>72</v>
      </c>
      <c r="G23" s="6">
        <v>2</v>
      </c>
      <c r="H23">
        <f t="shared" si="2"/>
        <v>24</v>
      </c>
      <c r="I23" s="7">
        <f t="shared" si="3"/>
        <v>72.727272727272734</v>
      </c>
      <c r="J23" s="6">
        <v>6</v>
      </c>
      <c r="K23">
        <f t="shared" si="4"/>
        <v>29</v>
      </c>
      <c r="L23" s="7">
        <f t="shared" si="5"/>
        <v>64.444444444444443</v>
      </c>
    </row>
    <row r="24" spans="3:12" x14ac:dyDescent="0.2">
      <c r="C24" s="6">
        <v>25</v>
      </c>
      <c r="D24" s="6">
        <v>1</v>
      </c>
      <c r="E24">
        <f t="shared" si="0"/>
        <v>35</v>
      </c>
      <c r="F24" s="7">
        <f t="shared" si="1"/>
        <v>70</v>
      </c>
      <c r="G24" s="6">
        <v>1</v>
      </c>
      <c r="H24">
        <f t="shared" si="2"/>
        <v>23</v>
      </c>
      <c r="I24" s="7">
        <f t="shared" si="3"/>
        <v>69.696969696969703</v>
      </c>
      <c r="J24" s="6">
        <v>1</v>
      </c>
      <c r="K24">
        <f t="shared" si="4"/>
        <v>28</v>
      </c>
      <c r="L24" s="7">
        <f t="shared" si="5"/>
        <v>62.222222222222221</v>
      </c>
    </row>
    <row r="25" spans="3:12" x14ac:dyDescent="0.2">
      <c r="C25" s="6">
        <v>27</v>
      </c>
      <c r="D25" s="6">
        <v>6</v>
      </c>
      <c r="E25">
        <f t="shared" si="0"/>
        <v>29</v>
      </c>
      <c r="F25" s="7">
        <f t="shared" si="1"/>
        <v>58</v>
      </c>
      <c r="G25" s="6">
        <v>6</v>
      </c>
      <c r="H25">
        <f t="shared" si="2"/>
        <v>17</v>
      </c>
      <c r="I25" s="7">
        <f t="shared" si="3"/>
        <v>51.515151515151516</v>
      </c>
      <c r="J25" s="6">
        <v>9</v>
      </c>
      <c r="K25">
        <f t="shared" si="4"/>
        <v>19</v>
      </c>
      <c r="L25" s="7">
        <f t="shared" si="5"/>
        <v>42.222222222222221</v>
      </c>
    </row>
    <row r="26" spans="3:12" x14ac:dyDescent="0.2">
      <c r="C26" s="6">
        <v>28</v>
      </c>
      <c r="D26" s="6">
        <v>4</v>
      </c>
      <c r="E26">
        <f t="shared" si="0"/>
        <v>25</v>
      </c>
      <c r="F26" s="7">
        <f t="shared" si="1"/>
        <v>50</v>
      </c>
      <c r="G26" s="6">
        <v>3</v>
      </c>
      <c r="H26">
        <f t="shared" si="2"/>
        <v>14</v>
      </c>
      <c r="I26" s="7">
        <f t="shared" si="3"/>
        <v>42.424242424242422</v>
      </c>
      <c r="J26" s="6">
        <v>0</v>
      </c>
      <c r="K26">
        <f t="shared" si="4"/>
        <v>19</v>
      </c>
      <c r="L26" s="7">
        <f t="shared" si="5"/>
        <v>42.222222222222221</v>
      </c>
    </row>
    <row r="27" spans="3:12" x14ac:dyDescent="0.2">
      <c r="C27" s="6">
        <v>29</v>
      </c>
      <c r="D27" s="6">
        <v>5</v>
      </c>
      <c r="E27">
        <f t="shared" si="0"/>
        <v>20</v>
      </c>
      <c r="F27" s="7">
        <f t="shared" si="1"/>
        <v>40</v>
      </c>
      <c r="G27" s="6">
        <v>1</v>
      </c>
      <c r="H27">
        <f t="shared" si="2"/>
        <v>13</v>
      </c>
      <c r="I27" s="7">
        <f t="shared" si="3"/>
        <v>39.393939393939391</v>
      </c>
      <c r="J27" s="6">
        <v>1</v>
      </c>
      <c r="K27">
        <f t="shared" si="4"/>
        <v>18</v>
      </c>
      <c r="L27" s="7">
        <f t="shared" si="5"/>
        <v>40</v>
      </c>
    </row>
    <row r="28" spans="3:12" x14ac:dyDescent="0.2">
      <c r="C28" s="6">
        <v>30</v>
      </c>
      <c r="D28" s="6">
        <v>4</v>
      </c>
      <c r="E28">
        <f t="shared" si="0"/>
        <v>16</v>
      </c>
      <c r="F28" s="7">
        <f t="shared" si="1"/>
        <v>32</v>
      </c>
      <c r="G28" s="6">
        <v>2</v>
      </c>
      <c r="H28">
        <f t="shared" si="2"/>
        <v>11</v>
      </c>
      <c r="I28" s="7">
        <f t="shared" si="3"/>
        <v>33.333333333333336</v>
      </c>
      <c r="J28" s="6">
        <v>4</v>
      </c>
      <c r="K28">
        <f t="shared" si="4"/>
        <v>14</v>
      </c>
      <c r="L28" s="7">
        <f t="shared" si="5"/>
        <v>31.111111111111111</v>
      </c>
    </row>
    <row r="29" spans="3:12" x14ac:dyDescent="0.2">
      <c r="C29" s="6">
        <v>31</v>
      </c>
      <c r="D29" s="6">
        <v>1</v>
      </c>
      <c r="E29">
        <f t="shared" si="0"/>
        <v>15</v>
      </c>
      <c r="F29" s="7">
        <f t="shared" si="1"/>
        <v>30</v>
      </c>
      <c r="G29" s="6">
        <v>1</v>
      </c>
      <c r="H29">
        <f t="shared" si="2"/>
        <v>10</v>
      </c>
      <c r="I29" s="7">
        <f t="shared" si="3"/>
        <v>30.303030303030305</v>
      </c>
      <c r="J29" s="6">
        <v>1</v>
      </c>
      <c r="K29">
        <f t="shared" si="4"/>
        <v>13</v>
      </c>
      <c r="L29" s="7">
        <f t="shared" si="5"/>
        <v>28.888888888888889</v>
      </c>
    </row>
    <row r="30" spans="3:12" x14ac:dyDescent="0.2">
      <c r="C30" s="6">
        <v>32</v>
      </c>
      <c r="D30" s="6">
        <v>2</v>
      </c>
      <c r="E30">
        <f t="shared" si="0"/>
        <v>13</v>
      </c>
      <c r="F30" s="7">
        <f t="shared" si="1"/>
        <v>26</v>
      </c>
      <c r="G30" s="6">
        <v>1</v>
      </c>
      <c r="H30">
        <f t="shared" si="2"/>
        <v>9</v>
      </c>
      <c r="I30" s="7">
        <f t="shared" si="3"/>
        <v>27.272727272727273</v>
      </c>
      <c r="J30" s="6">
        <v>0</v>
      </c>
      <c r="K30">
        <f t="shared" si="4"/>
        <v>13</v>
      </c>
      <c r="L30" s="7">
        <f t="shared" si="5"/>
        <v>28.888888888888889</v>
      </c>
    </row>
    <row r="31" spans="3:12" x14ac:dyDescent="0.2">
      <c r="C31" s="6">
        <v>34.5</v>
      </c>
      <c r="D31" s="6">
        <v>5</v>
      </c>
      <c r="E31">
        <f t="shared" si="0"/>
        <v>8</v>
      </c>
      <c r="F31" s="7">
        <f t="shared" si="1"/>
        <v>16</v>
      </c>
      <c r="G31" s="6">
        <v>3</v>
      </c>
      <c r="H31">
        <f t="shared" si="2"/>
        <v>6</v>
      </c>
      <c r="I31" s="7">
        <f t="shared" si="3"/>
        <v>18.181818181818183</v>
      </c>
      <c r="J31" s="6">
        <v>5</v>
      </c>
      <c r="K31">
        <f t="shared" si="4"/>
        <v>8</v>
      </c>
      <c r="L31" s="7">
        <f t="shared" si="5"/>
        <v>17.777777777777779</v>
      </c>
    </row>
    <row r="32" spans="3:12" x14ac:dyDescent="0.2">
      <c r="C32" s="6">
        <v>37</v>
      </c>
      <c r="D32" s="6">
        <v>3</v>
      </c>
      <c r="E32">
        <f t="shared" si="0"/>
        <v>5</v>
      </c>
      <c r="F32" s="7">
        <f t="shared" si="1"/>
        <v>10</v>
      </c>
      <c r="G32" s="6">
        <v>3</v>
      </c>
      <c r="H32">
        <f t="shared" si="2"/>
        <v>3</v>
      </c>
      <c r="I32" s="7">
        <f t="shared" si="3"/>
        <v>9.0909090909090917</v>
      </c>
      <c r="J32" s="6">
        <v>3</v>
      </c>
      <c r="K32">
        <f t="shared" si="4"/>
        <v>5</v>
      </c>
      <c r="L32" s="7">
        <f t="shared" si="5"/>
        <v>11.111111111111111</v>
      </c>
    </row>
    <row r="33" spans="3:12" x14ac:dyDescent="0.2">
      <c r="C33" s="6">
        <v>39</v>
      </c>
      <c r="D33" s="6">
        <v>2</v>
      </c>
      <c r="E33">
        <f t="shared" si="0"/>
        <v>3</v>
      </c>
      <c r="F33" s="7">
        <f t="shared" si="1"/>
        <v>6</v>
      </c>
      <c r="G33" s="6">
        <v>1</v>
      </c>
      <c r="H33">
        <f t="shared" si="2"/>
        <v>2</v>
      </c>
      <c r="I33" s="7">
        <f t="shared" si="3"/>
        <v>6.0606060606060606</v>
      </c>
      <c r="J33" s="6">
        <v>2</v>
      </c>
      <c r="K33">
        <f t="shared" si="4"/>
        <v>3</v>
      </c>
      <c r="L33" s="7">
        <f t="shared" si="5"/>
        <v>6.666666666666667</v>
      </c>
    </row>
    <row r="34" spans="3:12" x14ac:dyDescent="0.2">
      <c r="C34" s="6">
        <v>42</v>
      </c>
      <c r="D34" s="6">
        <v>1</v>
      </c>
      <c r="E34">
        <f t="shared" si="0"/>
        <v>2</v>
      </c>
      <c r="F34" s="7">
        <f t="shared" si="1"/>
        <v>4</v>
      </c>
      <c r="G34" s="6">
        <v>0</v>
      </c>
      <c r="H34">
        <f t="shared" si="2"/>
        <v>2</v>
      </c>
      <c r="I34" s="7">
        <f t="shared" si="3"/>
        <v>6.0606060606060606</v>
      </c>
      <c r="J34" s="6">
        <v>2</v>
      </c>
      <c r="K34">
        <f t="shared" si="4"/>
        <v>1</v>
      </c>
      <c r="L34" s="7">
        <f t="shared" si="5"/>
        <v>2.2222222222222223</v>
      </c>
    </row>
    <row r="35" spans="3:12" ht="17" thickBot="1" x14ac:dyDescent="0.25">
      <c r="C35" s="8">
        <v>44</v>
      </c>
      <c r="D35" s="8">
        <v>2</v>
      </c>
      <c r="E35" s="9">
        <f t="shared" si="0"/>
        <v>0</v>
      </c>
      <c r="F35" s="10">
        <f t="shared" si="1"/>
        <v>0</v>
      </c>
      <c r="G35" s="8">
        <v>2</v>
      </c>
      <c r="H35" s="9">
        <f t="shared" si="2"/>
        <v>0</v>
      </c>
      <c r="I35" s="10">
        <f t="shared" si="3"/>
        <v>0</v>
      </c>
      <c r="J35" s="8">
        <v>1</v>
      </c>
      <c r="K35" s="9">
        <f t="shared" si="4"/>
        <v>0</v>
      </c>
      <c r="L35" s="10">
        <f t="shared" si="5"/>
        <v>0</v>
      </c>
    </row>
    <row r="40" spans="3:12" ht="16" customHeight="1" x14ac:dyDescent="0.2"/>
  </sheetData>
  <mergeCells count="4">
    <mergeCell ref="D5:F5"/>
    <mergeCell ref="G5:I5"/>
    <mergeCell ref="J5:L5"/>
    <mergeCell ref="B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1:AA163"/>
  <sheetViews>
    <sheetView zoomScaleNormal="100" workbookViewId="0"/>
  </sheetViews>
  <sheetFormatPr baseColWidth="10" defaultColWidth="11" defaultRowHeight="16" x14ac:dyDescent="0.2"/>
  <cols>
    <col min="3" max="3" width="11.33203125" customWidth="1"/>
    <col min="19" max="19" width="11.6640625" customWidth="1"/>
  </cols>
  <sheetData>
    <row r="1" spans="3:13" ht="29" x14ac:dyDescent="0.35">
      <c r="C1" s="35" t="s">
        <v>71</v>
      </c>
      <c r="D1" s="35"/>
      <c r="E1" s="35"/>
      <c r="F1" s="35"/>
      <c r="G1" s="35"/>
      <c r="H1" s="35"/>
      <c r="I1" s="35"/>
    </row>
    <row r="2" spans="3:13" ht="19" x14ac:dyDescent="0.25">
      <c r="C2" s="5" t="s">
        <v>75</v>
      </c>
      <c r="D2" s="5"/>
      <c r="E2" s="5"/>
    </row>
    <row r="3" spans="3:13" ht="19" x14ac:dyDescent="0.25">
      <c r="C3" s="5" t="s">
        <v>23</v>
      </c>
      <c r="D3" s="5"/>
      <c r="E3" s="5"/>
    </row>
    <row r="4" spans="3:13" ht="20" thickBot="1" x14ac:dyDescent="0.3">
      <c r="C4" s="36" t="s">
        <v>24</v>
      </c>
      <c r="D4" s="36"/>
      <c r="E4" s="36"/>
      <c r="F4" s="36"/>
    </row>
    <row r="5" spans="3:13" ht="35" customHeight="1" x14ac:dyDescent="0.2">
      <c r="D5" s="11"/>
      <c r="E5" s="26" t="s">
        <v>74</v>
      </c>
      <c r="F5" s="27"/>
      <c r="G5" s="28"/>
      <c r="H5" s="29" t="s">
        <v>73</v>
      </c>
      <c r="I5" s="30"/>
      <c r="J5" s="31"/>
      <c r="K5" s="32" t="s">
        <v>72</v>
      </c>
      <c r="L5" s="33"/>
      <c r="M5" s="34"/>
    </row>
    <row r="6" spans="3:13" ht="19" x14ac:dyDescent="0.25">
      <c r="D6" s="6" t="s">
        <v>7</v>
      </c>
      <c r="E6" s="2" t="s">
        <v>4</v>
      </c>
      <c r="F6" s="1" t="s">
        <v>5</v>
      </c>
      <c r="G6" s="3" t="s">
        <v>6</v>
      </c>
      <c r="H6" s="1" t="s">
        <v>4</v>
      </c>
      <c r="I6" s="1" t="s">
        <v>5</v>
      </c>
      <c r="J6" s="1" t="s">
        <v>6</v>
      </c>
      <c r="K6" s="2" t="s">
        <v>4</v>
      </c>
      <c r="L6" s="1" t="s">
        <v>5</v>
      </c>
      <c r="M6" s="3" t="s">
        <v>6</v>
      </c>
    </row>
    <row r="7" spans="3:13" x14ac:dyDescent="0.2">
      <c r="D7" s="6">
        <v>0</v>
      </c>
      <c r="E7" s="6">
        <v>0</v>
      </c>
      <c r="F7">
        <v>79</v>
      </c>
      <c r="G7" s="7">
        <v>100</v>
      </c>
      <c r="H7">
        <v>0</v>
      </c>
      <c r="I7">
        <v>90</v>
      </c>
      <c r="J7">
        <v>100</v>
      </c>
      <c r="K7" s="6">
        <v>0</v>
      </c>
      <c r="L7">
        <v>70</v>
      </c>
      <c r="M7" s="7">
        <v>100</v>
      </c>
    </row>
    <row r="8" spans="3:13" x14ac:dyDescent="0.2">
      <c r="D8" s="6">
        <v>2</v>
      </c>
      <c r="E8" s="6">
        <v>0</v>
      </c>
      <c r="F8">
        <f>F7-E8</f>
        <v>79</v>
      </c>
      <c r="G8" s="7">
        <f>F8*100/79</f>
        <v>100</v>
      </c>
      <c r="H8">
        <v>0</v>
      </c>
      <c r="I8">
        <f>I7-H8</f>
        <v>90</v>
      </c>
      <c r="J8">
        <f>I8*100/90</f>
        <v>100</v>
      </c>
      <c r="K8" s="6">
        <v>0</v>
      </c>
      <c r="L8">
        <f>L7-K8</f>
        <v>70</v>
      </c>
      <c r="M8" s="7">
        <f>L8*100/70</f>
        <v>100</v>
      </c>
    </row>
    <row r="9" spans="3:13" x14ac:dyDescent="0.2">
      <c r="D9" s="6">
        <v>4</v>
      </c>
      <c r="E9" s="6">
        <v>0</v>
      </c>
      <c r="F9">
        <f>F8-E9</f>
        <v>79</v>
      </c>
      <c r="G9" s="7">
        <f>F9*100/79</f>
        <v>100</v>
      </c>
      <c r="H9">
        <v>0</v>
      </c>
      <c r="I9">
        <f>I8-H9</f>
        <v>90</v>
      </c>
      <c r="J9">
        <f>I9*100/90</f>
        <v>100</v>
      </c>
      <c r="K9" s="6">
        <v>0</v>
      </c>
      <c r="L9">
        <f>L8-K9</f>
        <v>70</v>
      </c>
      <c r="M9" s="7">
        <f>L9*100/70</f>
        <v>100</v>
      </c>
    </row>
    <row r="10" spans="3:13" x14ac:dyDescent="0.2">
      <c r="D10" s="6">
        <v>6</v>
      </c>
      <c r="E10" s="6">
        <v>0</v>
      </c>
      <c r="F10">
        <f t="shared" ref="F10:F35" si="0">F9-E10</f>
        <v>79</v>
      </c>
      <c r="G10" s="7">
        <f>F10*100/79</f>
        <v>100</v>
      </c>
      <c r="H10">
        <v>0</v>
      </c>
      <c r="I10">
        <f t="shared" ref="I10:I35" si="1">I9-H10</f>
        <v>90</v>
      </c>
      <c r="J10">
        <f>I10*100/90</f>
        <v>100</v>
      </c>
      <c r="K10" s="6">
        <v>0</v>
      </c>
      <c r="L10">
        <f t="shared" ref="L10:L35" si="2">L9-K10</f>
        <v>70</v>
      </c>
      <c r="M10" s="7">
        <f>L10*100/70</f>
        <v>100</v>
      </c>
    </row>
    <row r="11" spans="3:13" x14ac:dyDescent="0.2">
      <c r="D11" s="6">
        <v>8</v>
      </c>
      <c r="E11" s="6">
        <v>0</v>
      </c>
      <c r="F11">
        <f t="shared" si="0"/>
        <v>79</v>
      </c>
      <c r="G11" s="7">
        <f t="shared" ref="G11:G36" si="3">F11*100/79</f>
        <v>100</v>
      </c>
      <c r="H11">
        <v>0</v>
      </c>
      <c r="I11">
        <f t="shared" si="1"/>
        <v>90</v>
      </c>
      <c r="J11">
        <f t="shared" ref="J11:J34" si="4">I11*100/90</f>
        <v>100</v>
      </c>
      <c r="K11" s="6">
        <v>0</v>
      </c>
      <c r="L11">
        <f t="shared" si="2"/>
        <v>70</v>
      </c>
      <c r="M11" s="7">
        <f t="shared" ref="M11:M36" si="5">L11*100/70</f>
        <v>100</v>
      </c>
    </row>
    <row r="12" spans="3:13" x14ac:dyDescent="0.2">
      <c r="D12" s="6">
        <v>10</v>
      </c>
      <c r="E12" s="6">
        <v>0</v>
      </c>
      <c r="F12">
        <f t="shared" si="0"/>
        <v>79</v>
      </c>
      <c r="G12" s="7">
        <f t="shared" si="3"/>
        <v>100</v>
      </c>
      <c r="H12">
        <v>0</v>
      </c>
      <c r="I12">
        <f t="shared" si="1"/>
        <v>90</v>
      </c>
      <c r="J12">
        <f t="shared" si="4"/>
        <v>100</v>
      </c>
      <c r="K12" s="6">
        <v>0</v>
      </c>
      <c r="L12">
        <f t="shared" si="2"/>
        <v>70</v>
      </c>
      <c r="M12" s="7">
        <f t="shared" si="5"/>
        <v>100</v>
      </c>
    </row>
    <row r="13" spans="3:13" x14ac:dyDescent="0.2">
      <c r="D13" s="6">
        <v>11.5</v>
      </c>
      <c r="E13" s="6">
        <v>1</v>
      </c>
      <c r="F13">
        <f t="shared" si="0"/>
        <v>78</v>
      </c>
      <c r="G13" s="7">
        <f t="shared" si="3"/>
        <v>98.734177215189874</v>
      </c>
      <c r="H13">
        <v>4</v>
      </c>
      <c r="I13">
        <f t="shared" si="1"/>
        <v>86</v>
      </c>
      <c r="J13">
        <f t="shared" si="4"/>
        <v>95.555555555555557</v>
      </c>
      <c r="K13" s="6">
        <v>1</v>
      </c>
      <c r="L13">
        <f t="shared" si="2"/>
        <v>69</v>
      </c>
      <c r="M13" s="7">
        <f t="shared" si="5"/>
        <v>98.571428571428569</v>
      </c>
    </row>
    <row r="14" spans="3:13" x14ac:dyDescent="0.2">
      <c r="D14" s="6">
        <v>12.5</v>
      </c>
      <c r="E14" s="6">
        <v>0</v>
      </c>
      <c r="F14">
        <f t="shared" si="0"/>
        <v>78</v>
      </c>
      <c r="G14" s="7">
        <f t="shared" si="3"/>
        <v>98.734177215189874</v>
      </c>
      <c r="H14">
        <v>2</v>
      </c>
      <c r="I14">
        <f t="shared" si="1"/>
        <v>84</v>
      </c>
      <c r="J14">
        <f t="shared" si="4"/>
        <v>93.333333333333329</v>
      </c>
      <c r="K14" s="6">
        <v>0</v>
      </c>
      <c r="L14">
        <f t="shared" si="2"/>
        <v>69</v>
      </c>
      <c r="M14" s="7">
        <f t="shared" si="5"/>
        <v>98.571428571428569</v>
      </c>
    </row>
    <row r="15" spans="3:13" x14ac:dyDescent="0.2">
      <c r="D15" s="6">
        <v>13.5</v>
      </c>
      <c r="E15" s="6">
        <v>0</v>
      </c>
      <c r="F15">
        <f t="shared" si="0"/>
        <v>78</v>
      </c>
      <c r="G15" s="7">
        <f t="shared" si="3"/>
        <v>98.734177215189874</v>
      </c>
      <c r="H15">
        <v>1</v>
      </c>
      <c r="I15">
        <f t="shared" si="1"/>
        <v>83</v>
      </c>
      <c r="J15">
        <f t="shared" si="4"/>
        <v>92.222222222222229</v>
      </c>
      <c r="K15" s="6">
        <v>1</v>
      </c>
      <c r="L15">
        <f t="shared" si="2"/>
        <v>68</v>
      </c>
      <c r="M15" s="7">
        <f t="shared" si="5"/>
        <v>97.142857142857139</v>
      </c>
    </row>
    <row r="16" spans="3:13" x14ac:dyDescent="0.2">
      <c r="D16" s="6">
        <v>15.5</v>
      </c>
      <c r="E16" s="6">
        <v>2</v>
      </c>
      <c r="F16">
        <f t="shared" si="0"/>
        <v>76</v>
      </c>
      <c r="G16" s="7">
        <f t="shared" si="3"/>
        <v>96.202531645569621</v>
      </c>
      <c r="H16">
        <v>1</v>
      </c>
      <c r="I16">
        <f t="shared" si="1"/>
        <v>82</v>
      </c>
      <c r="J16">
        <f t="shared" si="4"/>
        <v>91.111111111111114</v>
      </c>
      <c r="K16" s="6">
        <v>2</v>
      </c>
      <c r="L16">
        <f t="shared" si="2"/>
        <v>66</v>
      </c>
      <c r="M16" s="7">
        <f t="shared" si="5"/>
        <v>94.285714285714292</v>
      </c>
    </row>
    <row r="17" spans="4:13" x14ac:dyDescent="0.2">
      <c r="D17" s="6">
        <v>16.5</v>
      </c>
      <c r="E17" s="6">
        <v>3</v>
      </c>
      <c r="F17">
        <f t="shared" si="0"/>
        <v>73</v>
      </c>
      <c r="G17" s="7">
        <f t="shared" si="3"/>
        <v>92.405063291139243</v>
      </c>
      <c r="H17">
        <v>3</v>
      </c>
      <c r="I17">
        <f t="shared" si="1"/>
        <v>79</v>
      </c>
      <c r="J17">
        <f t="shared" si="4"/>
        <v>87.777777777777771</v>
      </c>
      <c r="K17" s="6">
        <v>3</v>
      </c>
      <c r="L17">
        <f t="shared" si="2"/>
        <v>63</v>
      </c>
      <c r="M17" s="7">
        <f t="shared" si="5"/>
        <v>90</v>
      </c>
    </row>
    <row r="18" spans="4:13" x14ac:dyDescent="0.2">
      <c r="D18" s="6">
        <v>17.5</v>
      </c>
      <c r="E18" s="6">
        <v>4</v>
      </c>
      <c r="F18">
        <f t="shared" si="0"/>
        <v>69</v>
      </c>
      <c r="G18" s="7">
        <f t="shared" si="3"/>
        <v>87.341772151898738</v>
      </c>
      <c r="H18">
        <v>4</v>
      </c>
      <c r="I18">
        <f t="shared" si="1"/>
        <v>75</v>
      </c>
      <c r="J18">
        <f t="shared" si="4"/>
        <v>83.333333333333329</v>
      </c>
      <c r="K18" s="6">
        <v>4</v>
      </c>
      <c r="L18">
        <f t="shared" si="2"/>
        <v>59</v>
      </c>
      <c r="M18" s="7">
        <f t="shared" si="5"/>
        <v>84.285714285714292</v>
      </c>
    </row>
    <row r="19" spans="4:13" x14ac:dyDescent="0.2">
      <c r="D19" s="6">
        <v>18.5</v>
      </c>
      <c r="E19" s="6">
        <v>1</v>
      </c>
      <c r="F19">
        <f t="shared" si="0"/>
        <v>68</v>
      </c>
      <c r="G19" s="7">
        <f t="shared" si="3"/>
        <v>86.075949367088612</v>
      </c>
      <c r="H19">
        <v>4</v>
      </c>
      <c r="I19">
        <f t="shared" si="1"/>
        <v>71</v>
      </c>
      <c r="J19">
        <f t="shared" si="4"/>
        <v>78.888888888888886</v>
      </c>
      <c r="K19" s="6">
        <v>6</v>
      </c>
      <c r="L19">
        <f t="shared" si="2"/>
        <v>53</v>
      </c>
      <c r="M19" s="7">
        <f t="shared" si="5"/>
        <v>75.714285714285708</v>
      </c>
    </row>
    <row r="20" spans="4:13" x14ac:dyDescent="0.2">
      <c r="D20" s="6">
        <v>19.75</v>
      </c>
      <c r="E20" s="6">
        <v>6</v>
      </c>
      <c r="F20">
        <f t="shared" si="0"/>
        <v>62</v>
      </c>
      <c r="G20" s="7">
        <f t="shared" si="3"/>
        <v>78.481012658227854</v>
      </c>
      <c r="H20">
        <v>6</v>
      </c>
      <c r="I20">
        <f t="shared" si="1"/>
        <v>65</v>
      </c>
      <c r="J20">
        <f t="shared" si="4"/>
        <v>72.222222222222229</v>
      </c>
      <c r="K20" s="6">
        <v>7</v>
      </c>
      <c r="L20">
        <f t="shared" si="2"/>
        <v>46</v>
      </c>
      <c r="M20" s="7">
        <f t="shared" si="5"/>
        <v>65.714285714285708</v>
      </c>
    </row>
    <row r="21" spans="4:13" x14ac:dyDescent="0.2">
      <c r="D21" s="6">
        <v>20.7</v>
      </c>
      <c r="E21" s="6">
        <v>4</v>
      </c>
      <c r="F21">
        <f t="shared" si="0"/>
        <v>58</v>
      </c>
      <c r="G21" s="7">
        <f t="shared" si="3"/>
        <v>73.417721518987335</v>
      </c>
      <c r="H21">
        <v>8</v>
      </c>
      <c r="I21">
        <f t="shared" si="1"/>
        <v>57</v>
      </c>
      <c r="J21">
        <f t="shared" si="4"/>
        <v>63.333333333333336</v>
      </c>
      <c r="K21" s="6">
        <v>5</v>
      </c>
      <c r="L21">
        <f t="shared" si="2"/>
        <v>41</v>
      </c>
      <c r="M21" s="7">
        <f t="shared" si="5"/>
        <v>58.571428571428569</v>
      </c>
    </row>
    <row r="22" spans="4:13" x14ac:dyDescent="0.2">
      <c r="D22" s="6">
        <v>21.7</v>
      </c>
      <c r="E22" s="6">
        <v>5</v>
      </c>
      <c r="F22">
        <f t="shared" si="0"/>
        <v>53</v>
      </c>
      <c r="G22" s="7">
        <f t="shared" si="3"/>
        <v>67.088607594936704</v>
      </c>
      <c r="H22">
        <v>7</v>
      </c>
      <c r="I22">
        <f t="shared" si="1"/>
        <v>50</v>
      </c>
      <c r="J22">
        <f t="shared" si="4"/>
        <v>55.555555555555557</v>
      </c>
      <c r="K22" s="6">
        <v>8</v>
      </c>
      <c r="L22">
        <f t="shared" si="2"/>
        <v>33</v>
      </c>
      <c r="M22" s="7">
        <f t="shared" si="5"/>
        <v>47.142857142857146</v>
      </c>
    </row>
    <row r="23" spans="4:13" x14ac:dyDescent="0.2">
      <c r="D23" s="6">
        <v>22.7</v>
      </c>
      <c r="E23" s="6">
        <v>6</v>
      </c>
      <c r="F23">
        <f t="shared" si="0"/>
        <v>47</v>
      </c>
      <c r="G23" s="7">
        <f t="shared" si="3"/>
        <v>59.493670886075947</v>
      </c>
      <c r="H23">
        <v>7</v>
      </c>
      <c r="I23">
        <f t="shared" si="1"/>
        <v>43</v>
      </c>
      <c r="J23">
        <f t="shared" si="4"/>
        <v>47.777777777777779</v>
      </c>
      <c r="K23" s="6">
        <v>2</v>
      </c>
      <c r="L23">
        <f t="shared" si="2"/>
        <v>31</v>
      </c>
      <c r="M23" s="7">
        <f t="shared" si="5"/>
        <v>44.285714285714285</v>
      </c>
    </row>
    <row r="24" spans="4:13" x14ac:dyDescent="0.2">
      <c r="D24" s="6">
        <v>23.7</v>
      </c>
      <c r="E24" s="6">
        <v>6</v>
      </c>
      <c r="F24">
        <f t="shared" si="0"/>
        <v>41</v>
      </c>
      <c r="G24" s="7">
        <f t="shared" si="3"/>
        <v>51.898734177215189</v>
      </c>
      <c r="H24">
        <v>1</v>
      </c>
      <c r="I24">
        <f t="shared" si="1"/>
        <v>42</v>
      </c>
      <c r="J24">
        <f t="shared" si="4"/>
        <v>46.666666666666664</v>
      </c>
      <c r="K24" s="6">
        <v>4</v>
      </c>
      <c r="L24">
        <f t="shared" si="2"/>
        <v>27</v>
      </c>
      <c r="M24" s="7">
        <f t="shared" si="5"/>
        <v>38.571428571428569</v>
      </c>
    </row>
    <row r="25" spans="4:13" x14ac:dyDescent="0.2">
      <c r="D25" s="6">
        <v>24.7</v>
      </c>
      <c r="E25" s="6">
        <v>4</v>
      </c>
      <c r="F25">
        <f t="shared" si="0"/>
        <v>37</v>
      </c>
      <c r="G25" s="7">
        <f t="shared" si="3"/>
        <v>46.835443037974684</v>
      </c>
      <c r="H25">
        <v>4</v>
      </c>
      <c r="I25">
        <f t="shared" si="1"/>
        <v>38</v>
      </c>
      <c r="J25">
        <f t="shared" si="4"/>
        <v>42.222222222222221</v>
      </c>
      <c r="K25" s="6">
        <v>4</v>
      </c>
      <c r="L25">
        <f t="shared" si="2"/>
        <v>23</v>
      </c>
      <c r="M25" s="7">
        <f t="shared" si="5"/>
        <v>32.857142857142854</v>
      </c>
    </row>
    <row r="26" spans="4:13" x14ac:dyDescent="0.2">
      <c r="D26" s="6">
        <v>25.7</v>
      </c>
      <c r="E26" s="6">
        <v>11</v>
      </c>
      <c r="F26">
        <f t="shared" si="0"/>
        <v>26</v>
      </c>
      <c r="G26" s="7">
        <f t="shared" si="3"/>
        <v>32.911392405063289</v>
      </c>
      <c r="H26">
        <v>7</v>
      </c>
      <c r="I26">
        <f t="shared" si="1"/>
        <v>31</v>
      </c>
      <c r="J26">
        <f t="shared" si="4"/>
        <v>34.444444444444443</v>
      </c>
      <c r="K26" s="6">
        <v>3</v>
      </c>
      <c r="L26">
        <f t="shared" si="2"/>
        <v>20</v>
      </c>
      <c r="M26" s="7">
        <f t="shared" si="5"/>
        <v>28.571428571428573</v>
      </c>
    </row>
    <row r="27" spans="4:13" x14ac:dyDescent="0.2">
      <c r="D27" s="6">
        <v>26.7</v>
      </c>
      <c r="E27" s="6">
        <v>3</v>
      </c>
      <c r="F27">
        <f t="shared" si="0"/>
        <v>23</v>
      </c>
      <c r="G27" s="7">
        <f t="shared" si="3"/>
        <v>29.11392405063291</v>
      </c>
      <c r="H27">
        <v>5</v>
      </c>
      <c r="I27">
        <f t="shared" si="1"/>
        <v>26</v>
      </c>
      <c r="J27">
        <f t="shared" si="4"/>
        <v>28.888888888888889</v>
      </c>
      <c r="K27" s="6">
        <v>0</v>
      </c>
      <c r="L27">
        <f t="shared" si="2"/>
        <v>20</v>
      </c>
      <c r="M27" s="7">
        <f t="shared" si="5"/>
        <v>28.571428571428573</v>
      </c>
    </row>
    <row r="28" spans="4:13" x14ac:dyDescent="0.2">
      <c r="D28" s="6">
        <v>27.7</v>
      </c>
      <c r="E28" s="6">
        <v>2</v>
      </c>
      <c r="F28">
        <f t="shared" si="0"/>
        <v>21</v>
      </c>
      <c r="G28" s="7">
        <f t="shared" si="3"/>
        <v>26.582278481012658</v>
      </c>
      <c r="H28">
        <v>7</v>
      </c>
      <c r="I28">
        <f t="shared" si="1"/>
        <v>19</v>
      </c>
      <c r="J28">
        <f t="shared" si="4"/>
        <v>21.111111111111111</v>
      </c>
      <c r="K28" s="6">
        <v>3</v>
      </c>
      <c r="L28">
        <f t="shared" si="2"/>
        <v>17</v>
      </c>
      <c r="M28" s="7">
        <f t="shared" si="5"/>
        <v>24.285714285714285</v>
      </c>
    </row>
    <row r="29" spans="4:13" x14ac:dyDescent="0.2">
      <c r="D29" s="6">
        <v>8.6999999999999993</v>
      </c>
      <c r="E29" s="6">
        <v>6</v>
      </c>
      <c r="F29">
        <f t="shared" si="0"/>
        <v>15</v>
      </c>
      <c r="G29" s="7">
        <f t="shared" si="3"/>
        <v>18.9873417721519</v>
      </c>
      <c r="H29">
        <v>3</v>
      </c>
      <c r="I29">
        <f t="shared" si="1"/>
        <v>16</v>
      </c>
      <c r="J29">
        <f t="shared" si="4"/>
        <v>17.777777777777779</v>
      </c>
      <c r="K29" s="6">
        <v>5</v>
      </c>
      <c r="L29">
        <f t="shared" si="2"/>
        <v>12</v>
      </c>
      <c r="M29" s="7">
        <f t="shared" si="5"/>
        <v>17.142857142857142</v>
      </c>
    </row>
    <row r="30" spans="4:13" x14ac:dyDescent="0.2">
      <c r="D30" s="6">
        <v>29.7</v>
      </c>
      <c r="E30" s="6">
        <v>3</v>
      </c>
      <c r="F30">
        <f t="shared" si="0"/>
        <v>12</v>
      </c>
      <c r="G30" s="7">
        <f t="shared" si="3"/>
        <v>15.189873417721518</v>
      </c>
      <c r="H30">
        <v>5</v>
      </c>
      <c r="I30">
        <f t="shared" si="1"/>
        <v>11</v>
      </c>
      <c r="J30">
        <f t="shared" si="4"/>
        <v>12.222222222222221</v>
      </c>
      <c r="K30" s="6">
        <v>2</v>
      </c>
      <c r="L30">
        <f t="shared" si="2"/>
        <v>10</v>
      </c>
      <c r="M30" s="7">
        <f t="shared" si="5"/>
        <v>14.285714285714286</v>
      </c>
    </row>
    <row r="31" spans="4:13" x14ac:dyDescent="0.2">
      <c r="D31" s="6">
        <v>30.7</v>
      </c>
      <c r="E31" s="6">
        <v>3</v>
      </c>
      <c r="F31">
        <f t="shared" si="0"/>
        <v>9</v>
      </c>
      <c r="G31" s="7">
        <f t="shared" si="3"/>
        <v>11.39240506329114</v>
      </c>
      <c r="H31">
        <v>2</v>
      </c>
      <c r="I31">
        <f t="shared" si="1"/>
        <v>9</v>
      </c>
      <c r="J31">
        <f t="shared" si="4"/>
        <v>10</v>
      </c>
      <c r="K31" s="6">
        <v>5</v>
      </c>
      <c r="L31">
        <f t="shared" si="2"/>
        <v>5</v>
      </c>
      <c r="M31" s="7">
        <f t="shared" si="5"/>
        <v>7.1428571428571432</v>
      </c>
    </row>
    <row r="32" spans="4:13" x14ac:dyDescent="0.2">
      <c r="D32" s="6">
        <v>31.7</v>
      </c>
      <c r="E32" s="6">
        <v>0</v>
      </c>
      <c r="F32">
        <f t="shared" si="0"/>
        <v>9</v>
      </c>
      <c r="G32" s="7">
        <f t="shared" si="3"/>
        <v>11.39240506329114</v>
      </c>
      <c r="H32">
        <v>2</v>
      </c>
      <c r="I32">
        <f t="shared" si="1"/>
        <v>7</v>
      </c>
      <c r="J32">
        <f t="shared" si="4"/>
        <v>7.7777777777777777</v>
      </c>
      <c r="K32" s="6">
        <v>2</v>
      </c>
      <c r="L32">
        <f t="shared" si="2"/>
        <v>3</v>
      </c>
      <c r="M32" s="7">
        <f t="shared" si="5"/>
        <v>4.2857142857142856</v>
      </c>
    </row>
    <row r="33" spans="4:13" x14ac:dyDescent="0.2">
      <c r="D33" s="6">
        <v>32.700000000000003</v>
      </c>
      <c r="E33" s="6">
        <v>3</v>
      </c>
      <c r="F33">
        <f t="shared" si="0"/>
        <v>6</v>
      </c>
      <c r="G33" s="7">
        <f t="shared" si="3"/>
        <v>7.5949367088607591</v>
      </c>
      <c r="H33">
        <v>2</v>
      </c>
      <c r="I33">
        <f t="shared" si="1"/>
        <v>5</v>
      </c>
      <c r="J33">
        <f t="shared" si="4"/>
        <v>5.5555555555555554</v>
      </c>
      <c r="K33" s="6">
        <v>1</v>
      </c>
      <c r="L33">
        <f t="shared" si="2"/>
        <v>2</v>
      </c>
      <c r="M33" s="7">
        <f t="shared" si="5"/>
        <v>2.8571428571428572</v>
      </c>
    </row>
    <row r="34" spans="4:13" x14ac:dyDescent="0.2">
      <c r="D34" s="6">
        <v>33.700000000000003</v>
      </c>
      <c r="E34" s="6">
        <v>1</v>
      </c>
      <c r="F34">
        <f t="shared" si="0"/>
        <v>5</v>
      </c>
      <c r="G34" s="7">
        <f t="shared" si="3"/>
        <v>6.3291139240506329</v>
      </c>
      <c r="H34">
        <v>0</v>
      </c>
      <c r="I34">
        <f t="shared" si="1"/>
        <v>5</v>
      </c>
      <c r="J34">
        <f t="shared" si="4"/>
        <v>5.5555555555555554</v>
      </c>
      <c r="K34" s="6">
        <v>0</v>
      </c>
      <c r="L34">
        <f t="shared" si="2"/>
        <v>2</v>
      </c>
      <c r="M34" s="7">
        <f t="shared" si="5"/>
        <v>2.8571428571428572</v>
      </c>
    </row>
    <row r="35" spans="4:13" x14ac:dyDescent="0.2">
      <c r="D35" s="6">
        <v>34.700000000000003</v>
      </c>
      <c r="E35" s="6">
        <v>2</v>
      </c>
      <c r="F35">
        <f t="shared" si="0"/>
        <v>3</v>
      </c>
      <c r="G35" s="7">
        <f t="shared" si="3"/>
        <v>3.7974683544303796</v>
      </c>
      <c r="H35">
        <v>1</v>
      </c>
      <c r="I35">
        <f t="shared" si="1"/>
        <v>4</v>
      </c>
      <c r="J35">
        <f>I35*100/90</f>
        <v>4.4444444444444446</v>
      </c>
      <c r="K35" s="6">
        <v>1</v>
      </c>
      <c r="L35">
        <f t="shared" si="2"/>
        <v>1</v>
      </c>
      <c r="M35" s="7">
        <f t="shared" si="5"/>
        <v>1.4285714285714286</v>
      </c>
    </row>
    <row r="36" spans="4:13" ht="17" thickBot="1" x14ac:dyDescent="0.25">
      <c r="D36" s="8">
        <v>35.5</v>
      </c>
      <c r="E36" s="8">
        <v>3</v>
      </c>
      <c r="F36" s="9">
        <f t="shared" ref="F36" si="6">F35-E36</f>
        <v>0</v>
      </c>
      <c r="G36" s="10">
        <f t="shared" si="3"/>
        <v>0</v>
      </c>
      <c r="H36" s="9">
        <v>4</v>
      </c>
      <c r="I36" s="9">
        <f t="shared" ref="I36" si="7">I35-H36</f>
        <v>0</v>
      </c>
      <c r="J36" s="9">
        <f>I36*100/90</f>
        <v>0</v>
      </c>
      <c r="K36" s="8">
        <v>1</v>
      </c>
      <c r="L36" s="9">
        <f t="shared" ref="L36" si="8">L35-K36</f>
        <v>0</v>
      </c>
      <c r="M36" s="10">
        <f t="shared" si="5"/>
        <v>0</v>
      </c>
    </row>
    <row r="83" spans="24:25" ht="19" x14ac:dyDescent="0.25">
      <c r="Y83" s="5"/>
    </row>
    <row r="84" spans="24:25" ht="19" x14ac:dyDescent="0.25">
      <c r="Y84" s="5"/>
    </row>
    <row r="85" spans="24:25" ht="19" x14ac:dyDescent="0.25">
      <c r="Y85" s="5"/>
    </row>
    <row r="86" spans="24:25" ht="19" x14ac:dyDescent="0.25">
      <c r="Y86" s="5"/>
    </row>
    <row r="87" spans="24:25" ht="19" x14ac:dyDescent="0.25">
      <c r="Y87" s="5"/>
    </row>
    <row r="88" spans="24:25" ht="19" x14ac:dyDescent="0.25">
      <c r="Y88" s="5"/>
    </row>
    <row r="89" spans="24:25" ht="19" x14ac:dyDescent="0.25">
      <c r="Y89" s="5"/>
    </row>
    <row r="90" spans="24:25" ht="19" x14ac:dyDescent="0.25">
      <c r="Y90" s="5"/>
    </row>
    <row r="91" spans="24:25" ht="19" x14ac:dyDescent="0.25">
      <c r="Y91" s="5"/>
    </row>
    <row r="92" spans="24:25" ht="19" x14ac:dyDescent="0.25">
      <c r="X92" s="5"/>
    </row>
    <row r="102" spans="24:24" ht="19" x14ac:dyDescent="0.25">
      <c r="X102" s="5"/>
    </row>
    <row r="103" spans="24:24" ht="19" x14ac:dyDescent="0.25">
      <c r="X103" s="5"/>
    </row>
    <row r="104" spans="24:24" ht="19" x14ac:dyDescent="0.25">
      <c r="X104" s="5"/>
    </row>
    <row r="105" spans="24:24" ht="19" x14ac:dyDescent="0.25">
      <c r="X105" s="5"/>
    </row>
    <row r="106" spans="24:24" ht="19" x14ac:dyDescent="0.25">
      <c r="X106" s="5"/>
    </row>
    <row r="107" spans="24:24" ht="19" x14ac:dyDescent="0.25">
      <c r="X107" s="5"/>
    </row>
    <row r="108" spans="24:24" ht="19" x14ac:dyDescent="0.25">
      <c r="X108" s="5"/>
    </row>
    <row r="109" spans="24:24" ht="19" x14ac:dyDescent="0.25">
      <c r="X109" s="5"/>
    </row>
    <row r="110" spans="24:24" ht="19" x14ac:dyDescent="0.25">
      <c r="X110" s="5"/>
    </row>
    <row r="111" spans="24:24" ht="19" x14ac:dyDescent="0.25">
      <c r="X111" s="5"/>
    </row>
    <row r="112" spans="24:24" ht="19" x14ac:dyDescent="0.25">
      <c r="X112" s="5"/>
    </row>
    <row r="113" spans="24:24" ht="19" x14ac:dyDescent="0.25">
      <c r="X113" s="5"/>
    </row>
    <row r="114" spans="24:24" ht="19" x14ac:dyDescent="0.25">
      <c r="X114" s="5"/>
    </row>
    <row r="115" spans="24:24" ht="19" x14ac:dyDescent="0.25">
      <c r="X115" s="5"/>
    </row>
    <row r="116" spans="24:24" ht="19" x14ac:dyDescent="0.25">
      <c r="X116" s="5"/>
    </row>
    <row r="117" spans="24:24" ht="19" x14ac:dyDescent="0.25">
      <c r="X117" s="5"/>
    </row>
    <row r="118" spans="24:24" ht="19" x14ac:dyDescent="0.25">
      <c r="X118" s="5"/>
    </row>
    <row r="119" spans="24:24" ht="19" x14ac:dyDescent="0.25">
      <c r="X119" s="5"/>
    </row>
    <row r="120" spans="24:24" ht="19" x14ac:dyDescent="0.25">
      <c r="X120" s="5"/>
    </row>
    <row r="121" spans="24:24" ht="19" x14ac:dyDescent="0.25">
      <c r="X121" s="5"/>
    </row>
    <row r="122" spans="24:24" ht="19" x14ac:dyDescent="0.25">
      <c r="X122" s="5"/>
    </row>
    <row r="123" spans="24:24" ht="19" x14ac:dyDescent="0.25">
      <c r="X123" s="5"/>
    </row>
    <row r="124" spans="24:24" ht="19" x14ac:dyDescent="0.25">
      <c r="X124" s="5"/>
    </row>
    <row r="125" spans="24:24" ht="19" x14ac:dyDescent="0.25">
      <c r="X125" s="5"/>
    </row>
    <row r="126" spans="24:24" ht="19" x14ac:dyDescent="0.25">
      <c r="X126" s="5"/>
    </row>
    <row r="127" spans="24:24" ht="19" x14ac:dyDescent="0.25">
      <c r="X127" s="5"/>
    </row>
    <row r="128" spans="24:24" ht="19" x14ac:dyDescent="0.25">
      <c r="X128" s="5"/>
    </row>
    <row r="129" spans="24:24" ht="19" x14ac:dyDescent="0.25">
      <c r="X129" s="5"/>
    </row>
    <row r="130" spans="24:24" ht="19" x14ac:dyDescent="0.25">
      <c r="X130" s="5"/>
    </row>
    <row r="131" spans="24:24" ht="19" x14ac:dyDescent="0.25">
      <c r="X131" s="5"/>
    </row>
    <row r="132" spans="24:24" ht="19" x14ac:dyDescent="0.25">
      <c r="X132" s="5"/>
    </row>
    <row r="133" spans="24:24" ht="19" x14ac:dyDescent="0.25">
      <c r="X133" s="5"/>
    </row>
    <row r="134" spans="24:24" ht="19" x14ac:dyDescent="0.25">
      <c r="X134" s="5"/>
    </row>
    <row r="135" spans="24:24" ht="19" x14ac:dyDescent="0.25">
      <c r="X135" s="5"/>
    </row>
    <row r="136" spans="24:24" ht="19" x14ac:dyDescent="0.25">
      <c r="X136" s="5"/>
    </row>
    <row r="137" spans="24:24" ht="19" x14ac:dyDescent="0.25">
      <c r="X137" s="5"/>
    </row>
    <row r="138" spans="24:24" ht="19" x14ac:dyDescent="0.25">
      <c r="X138" s="5"/>
    </row>
    <row r="139" spans="24:24" ht="19" x14ac:dyDescent="0.25">
      <c r="X139" s="5"/>
    </row>
    <row r="140" spans="24:24" ht="19" x14ac:dyDescent="0.25">
      <c r="X140" s="5"/>
    </row>
    <row r="141" spans="24:24" ht="19" x14ac:dyDescent="0.25">
      <c r="X141" s="5"/>
    </row>
    <row r="142" spans="24:24" ht="19" x14ac:dyDescent="0.25">
      <c r="X142" s="5"/>
    </row>
    <row r="143" spans="24:24" ht="19" x14ac:dyDescent="0.25">
      <c r="X143" s="5"/>
    </row>
    <row r="144" spans="24:24" ht="19" x14ac:dyDescent="0.25">
      <c r="X144" s="5"/>
    </row>
    <row r="145" spans="2:27" ht="19" x14ac:dyDescent="0.25">
      <c r="X145" s="5"/>
    </row>
    <row r="146" spans="2:27" ht="19" x14ac:dyDescent="0.25">
      <c r="B146" s="12"/>
      <c r="X146" s="5"/>
    </row>
    <row r="147" spans="2:27" ht="19" x14ac:dyDescent="0.25">
      <c r="X147" s="5"/>
    </row>
    <row r="148" spans="2:27" ht="19" x14ac:dyDescent="0.25">
      <c r="X148" s="5"/>
    </row>
    <row r="149" spans="2:27" ht="19" x14ac:dyDescent="0.25">
      <c r="X149" s="5"/>
    </row>
    <row r="150" spans="2:27" ht="19" x14ac:dyDescent="0.25">
      <c r="X150" s="5"/>
      <c r="AA150" s="12"/>
    </row>
    <row r="151" spans="2:27" ht="19" x14ac:dyDescent="0.25">
      <c r="X151" s="5"/>
    </row>
    <row r="152" spans="2:27" ht="19" x14ac:dyDescent="0.25">
      <c r="X152" s="5"/>
    </row>
    <row r="153" spans="2:27" ht="19" x14ac:dyDescent="0.25">
      <c r="X153" s="5"/>
    </row>
    <row r="154" spans="2:27" ht="19" x14ac:dyDescent="0.25">
      <c r="X154" s="5"/>
    </row>
    <row r="155" spans="2:27" ht="19" x14ac:dyDescent="0.25">
      <c r="X155" s="5"/>
    </row>
    <row r="156" spans="2:27" ht="19" x14ac:dyDescent="0.25">
      <c r="X156" s="5"/>
    </row>
    <row r="157" spans="2:27" ht="19" x14ac:dyDescent="0.25">
      <c r="X157" s="5"/>
    </row>
    <row r="158" spans="2:27" ht="19" x14ac:dyDescent="0.25">
      <c r="X158" s="5"/>
    </row>
    <row r="159" spans="2:27" ht="19" x14ac:dyDescent="0.25">
      <c r="X159" s="5"/>
    </row>
    <row r="160" spans="2:27" ht="20" x14ac:dyDescent="0.25">
      <c r="X160" s="5"/>
      <c r="Y160" s="13"/>
    </row>
    <row r="161" spans="24:25" ht="20" x14ac:dyDescent="0.25">
      <c r="X161" s="5"/>
      <c r="Y161" s="13"/>
    </row>
    <row r="162" spans="24:25" ht="20" x14ac:dyDescent="0.25">
      <c r="X162" s="5"/>
      <c r="Y162" s="13"/>
    </row>
    <row r="163" spans="24:25" ht="19" x14ac:dyDescent="0.25">
      <c r="X163" s="5"/>
    </row>
  </sheetData>
  <mergeCells count="5">
    <mergeCell ref="C1:I1"/>
    <mergeCell ref="E5:G5"/>
    <mergeCell ref="H5:J5"/>
    <mergeCell ref="K5:M5"/>
    <mergeCell ref="C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Fig 4B WT starvation resistance</vt:lpstr>
      <vt:lpstr>Fig 4C Paraquat</vt:lpstr>
      <vt:lpstr>Fig 4D NPFR-RNAi conditioning</vt:lpstr>
      <vt:lpstr>Fig 4E NPFR &amp; Dh44 Chrimson L D</vt:lpstr>
      <vt:lpstr>Fig 4F NPFR chrimson Shibiri</vt:lpstr>
      <vt:lpstr>Fig 5B DH44 activation</vt:lpstr>
      <vt:lpstr>Fig 5D NPFR-TK activation</vt:lpstr>
      <vt:lpstr>S4A Longevity</vt:lpstr>
      <vt:lpstr>S6D NPFR;NPF activation</vt:lpstr>
      <vt:lpstr>S7B DH44G4 NPFRRNAi</vt:lpstr>
      <vt:lpstr>S8A NPFRG4 TKRNAi Single housed</vt:lpstr>
      <vt:lpstr>S8B NPFR TK RNAi conditioned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Galit Ophir</cp:lastModifiedBy>
  <cp:lastPrinted>2019-08-13T08:50:42Z</cp:lastPrinted>
  <dcterms:created xsi:type="dcterms:W3CDTF">2019-04-04T12:23:45Z</dcterms:created>
  <dcterms:modified xsi:type="dcterms:W3CDTF">2023-12-05T09:17:31Z</dcterms:modified>
</cp:coreProperties>
</file>