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laura1_jansen_wur_nl/Documents/PHD/00_Papers/01_Study1_LR_FRS/"/>
    </mc:Choice>
  </mc:AlternateContent>
  <xr:revisionPtr revIDLastSave="1735" documentId="13_ncr:1_{3B300B91-DAA4-47BB-83A4-B1A71139A2B6}" xr6:coauthVersionLast="47" xr6:coauthVersionMax="47" xr10:uidLastSave="{028F0BE2-9E3F-4D1A-BDF8-C0B4D3928B3A}"/>
  <bookViews>
    <workbookView xWindow="28680" yWindow="270" windowWidth="25440" windowHeight="15390" xr2:uid="{5EE508CF-8030-4EAF-8F8D-5FC975807C78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4" i="1" l="1"/>
  <c r="B59" i="1"/>
  <c r="B58" i="1"/>
  <c r="B57" i="1"/>
  <c r="B56" i="1"/>
  <c r="B55" i="1"/>
</calcChain>
</file>

<file path=xl/sharedStrings.xml><?xml version="1.0" encoding="utf-8"?>
<sst xmlns="http://schemas.openxmlformats.org/spreadsheetml/2006/main" count="1305" uniqueCount="581">
  <si>
    <t>Mohan et al 2019</t>
  </si>
  <si>
    <t>Moses &amp; Babu 2018</t>
  </si>
  <si>
    <t>Hung et al 2020</t>
  </si>
  <si>
    <t>Faggioli et al 2020</t>
  </si>
  <si>
    <t>Wan et al 2018</t>
  </si>
  <si>
    <t>Mantha et al 2020</t>
  </si>
  <si>
    <t>Hanumantharaju &amp; Murthy 2020</t>
  </si>
  <si>
    <t xml:space="preserve">Classified as </t>
  </si>
  <si>
    <t xml:space="preserve">Recommendation Goal </t>
  </si>
  <si>
    <t>Split train/test</t>
  </si>
  <si>
    <t>Matchmaking approach</t>
  </si>
  <si>
    <t>Provided</t>
  </si>
  <si>
    <t>Performed</t>
  </si>
  <si>
    <t>Design interface</t>
  </si>
  <si>
    <t>E-commerce application (smartphone)</t>
  </si>
  <si>
    <t xml:space="preserve">Full-text explanation including visuals </t>
  </si>
  <si>
    <t>Data acquisition</t>
  </si>
  <si>
    <t>Explicit</t>
  </si>
  <si>
    <t>Implicit</t>
  </si>
  <si>
    <t>Yes</t>
  </si>
  <si>
    <t>No</t>
  </si>
  <si>
    <t xml:space="preserve">Amazon fine food review </t>
  </si>
  <si>
    <t xml:space="preserve">Fresh food delivery service company </t>
  </si>
  <si>
    <t>Instacart</t>
  </si>
  <si>
    <t>Modelling technique</t>
  </si>
  <si>
    <t>Deep learning</t>
  </si>
  <si>
    <t>Actual data</t>
  </si>
  <si>
    <t>7 ; 3</t>
  </si>
  <si>
    <t>not mentioned</t>
  </si>
  <si>
    <t>CF</t>
  </si>
  <si>
    <t>Hybrid</t>
  </si>
  <si>
    <t xml:space="preserve">Deep learning </t>
  </si>
  <si>
    <t xml:space="preserve">Provided </t>
  </si>
  <si>
    <t xml:space="preserve">8 ; 2 </t>
  </si>
  <si>
    <t xml:space="preserve">not mentioned </t>
  </si>
  <si>
    <t xml:space="preserve">Exclude top and lower 10% of sales volume </t>
  </si>
  <si>
    <t xml:space="preserve">Remove blacklisted items and categories </t>
  </si>
  <si>
    <t xml:space="preserve">Noises in review words are removed </t>
  </si>
  <si>
    <t>different ; Ratio for training and testing is different for each experiment</t>
  </si>
  <si>
    <t>Ariannezhad et al 2021</t>
  </si>
  <si>
    <t>Ariannezhad et al 2022</t>
  </si>
  <si>
    <t>Bai et al 2018</t>
  </si>
  <si>
    <t>Bai et al 2019</t>
  </si>
  <si>
    <t>Che et al 2019</t>
  </si>
  <si>
    <t>Chen &amp; Li 2019</t>
  </si>
  <si>
    <t>Chen &amp; Li 2021</t>
  </si>
  <si>
    <t>Entezari et al 2021</t>
  </si>
  <si>
    <t>Fouad et al 2022</t>
  </si>
  <si>
    <t>Hu et al 2020</t>
  </si>
  <si>
    <t>Jung et al 2021</t>
  </si>
  <si>
    <t>Katz et al 2022</t>
  </si>
  <si>
    <t>Le et al 2019</t>
  </si>
  <si>
    <t>Liu &amp; Liu 2022</t>
  </si>
  <si>
    <t>Liu et al 2020a</t>
  </si>
  <si>
    <t>Liu et al 2020b</t>
  </si>
  <si>
    <t>Liu et al 2020c</t>
  </si>
  <si>
    <t>Maasakkers et al 2023</t>
  </si>
  <si>
    <t>Peng et al 2022</t>
  </si>
  <si>
    <t>Qin et al 2021</t>
  </si>
  <si>
    <t>Wang et al 2020b</t>
  </si>
  <si>
    <t>Meng et al 2021</t>
  </si>
  <si>
    <t>Neifer et al 2021</t>
  </si>
  <si>
    <t>Song et al 2023</t>
  </si>
  <si>
    <t>Wang et al 2020c</t>
  </si>
  <si>
    <t>Wang &amp; Cao 2021</t>
  </si>
  <si>
    <t xml:space="preserve">ValuedShopper, 
Instacart
Dunnhumby
Tafeng </t>
  </si>
  <si>
    <t xml:space="preserve">Performed </t>
  </si>
  <si>
    <t>TIFU-KNN</t>
  </si>
  <si>
    <t>Beacon</t>
  </si>
  <si>
    <t>Neural network (skip grams)  + Bayesian view</t>
  </si>
  <si>
    <t xml:space="preserve">Partly. Only bayesian view. </t>
  </si>
  <si>
    <t xml:space="preserve">Removing rare products (&lt;10 purchases). Also remove small departments and categories &lt;5 products. </t>
  </si>
  <si>
    <t>implicit</t>
  </si>
  <si>
    <t>(1) RS-BN (bipartite network)
(2) BR (behavioral insight and basket)
(3) IBCF (item-based CF)
(4) UBCF (user-based CF)
(5) G-SVD (grocery SVD)</t>
  </si>
  <si>
    <t>Nearest neighbor: item to item CG</t>
  </si>
  <si>
    <t xml:space="preserve">Popularity based </t>
  </si>
  <si>
    <t>CF-based</t>
  </si>
  <si>
    <t>Nearest neighbor: user-based CF</t>
  </si>
  <si>
    <t>Recency: consecutiveness among preferences</t>
  </si>
  <si>
    <t>Nearest neighbor: recency aware user-wise</t>
  </si>
  <si>
    <t>NDCG</t>
  </si>
  <si>
    <t>(1) User-CF
(2) Item-CF
(3) popularity
(4) FPMC
(5) triple2vec + adaloyal</t>
  </si>
  <si>
    <t xml:space="preserve">Triple2vec (semantic and neural network random walk) </t>
  </si>
  <si>
    <t>Precision</t>
  </si>
  <si>
    <t>Conventuonal neural networks - long short-term mrmore (CNN-LSTM)</t>
  </si>
  <si>
    <t>Co-Factorization model over sequential and historical purchase data (CFSH)</t>
  </si>
  <si>
    <t>F1</t>
  </si>
  <si>
    <t>Preferences: Model the transitions among items and generate embeddings for users</t>
  </si>
  <si>
    <t>Preferences</t>
  </si>
  <si>
    <t>PersonalTopK</t>
  </si>
  <si>
    <t>7 weeks as train data, 1 week as test. First basket in the test week as target basket to predict (not clear which week was chosen as test)</t>
  </si>
  <si>
    <t xml:space="preserve">Preferences: model repeat consumption behavior of users in order to predict next basket (which items that a user bought previously will appear in the next basket) </t>
  </si>
  <si>
    <t>Yes, 3 out of 6</t>
  </si>
  <si>
    <t>Preferences: capture the complex influence of previous items on future demand</t>
  </si>
  <si>
    <t>Tafeng (+ Jingdong)</t>
  </si>
  <si>
    <t>Preferences: model dynamic and diverse characteristics of user appetites</t>
  </si>
  <si>
    <t>Yes, tafeng</t>
  </si>
  <si>
    <t>Association rule mining</t>
  </si>
  <si>
    <t>Preference: complementary to products in basket</t>
  </si>
  <si>
    <t xml:space="preserve">Tensor-based factorization (extension of matrix factorization) </t>
  </si>
  <si>
    <t xml:space="preserve">Preference: measuring temporal importance to user based on utility, popularity, stability, frequency, occupancy, and novelty </t>
  </si>
  <si>
    <t xml:space="preserve">leave-one-out strategy. All is training, except for basket tn+1 </t>
  </si>
  <si>
    <t>Hafez et al 2021</t>
  </si>
  <si>
    <t>Preference: alternative product when initial one is out of stock</t>
  </si>
  <si>
    <t>Midiadia</t>
  </si>
  <si>
    <t>Yes, a lot</t>
  </si>
  <si>
    <t>BOW, doc2Vec</t>
  </si>
  <si>
    <t xml:space="preserve">Picture of survey is shown with the three approaches </t>
  </si>
  <si>
    <t>Blockchain</t>
  </si>
  <si>
    <t>RMSE</t>
  </si>
  <si>
    <t>Hai et al 2023</t>
  </si>
  <si>
    <t>Preferences: multi-intent basket RS (e.g., items in basket for breakfast and dinner) =&gt; MIBS</t>
  </si>
  <si>
    <t>Tafeng</t>
  </si>
  <si>
    <t>item-item correlation with LSTM layer</t>
  </si>
  <si>
    <t>70, 10, 20 (train - val -test)</t>
  </si>
  <si>
    <t xml:space="preserve">VAE (variational autoencoders) with local embedding using dynamic graphs, and global embeddings using attention methods </t>
  </si>
  <si>
    <t xml:space="preserve">hyper-convolutional model </t>
  </si>
  <si>
    <t>FENDER with Neural tensor layer</t>
  </si>
  <si>
    <t>Preferences: model the representation of the basket and the higher-order feature interaction</t>
  </si>
  <si>
    <t>Deep neural network</t>
  </si>
  <si>
    <t>DBFM: deep basket sensitive factorization machine.</t>
  </si>
  <si>
    <t>Preferences: long+short term preferences &amp; consider relationship between items in basket and between basket</t>
  </si>
  <si>
    <t>NbR-AM: next basket recommendation model based on attribute aware multi level attention</t>
  </si>
  <si>
    <t xml:space="preserve">80% of basket items = train, 20 of items within basket = test. </t>
  </si>
  <si>
    <t>translation based-model with GNN model: MITGNN</t>
  </si>
  <si>
    <t>GATtransNBR</t>
  </si>
  <si>
    <t>Amazon grocery
Gourmet foods</t>
  </si>
  <si>
    <t>Dunnhumby
Instacart</t>
  </si>
  <si>
    <t>Dunnhumby
Instacart
Two real grocery shops</t>
  </si>
  <si>
    <t>Instacart
Walmart</t>
  </si>
  <si>
    <t>Amazon
BigBasket</t>
  </si>
  <si>
    <t>Tafeng (+ Jingdong + Taobao)</t>
  </si>
  <si>
    <t>Tafeng
Dunnhumby
Foodmart</t>
  </si>
  <si>
    <t>Coop (2x)
Tafeng</t>
  </si>
  <si>
    <t>Instacart
Valuedshopper
Dunnhumby</t>
  </si>
  <si>
    <t>Instacart
Dunnhumby
Walmart grocery</t>
  </si>
  <si>
    <t>Tafeng
ValuedShopper</t>
  </si>
  <si>
    <t>Tafeng 
(and another non-grocery)</t>
  </si>
  <si>
    <t>Tafeng
(and 2 others)</t>
  </si>
  <si>
    <t>Yes, Dunnhumby + Instacart</t>
  </si>
  <si>
    <t>Yes, Instacart + Dunnhumby</t>
  </si>
  <si>
    <t>Only customers &gt;10 baskets in past 7 weeks</t>
  </si>
  <si>
    <t>Exclude users with 1 transaction</t>
  </si>
  <si>
    <t>Remove products bought &lt;10 times</t>
  </si>
  <si>
    <t>80%=train, 20%=test, 20% random from train = eval</t>
  </si>
  <si>
    <t xml:space="preserve">First n-1 records = train, last record = test. </t>
  </si>
  <si>
    <t xml:space="preserve">Basket t = test, basket t-1 = val, basket 0 to t-2 = train. </t>
  </si>
  <si>
    <t xml:space="preserve">Train is all baskets except the last, that is test. </t>
  </si>
  <si>
    <t>Recent transaction = test, remainder = train</t>
  </si>
  <si>
    <t xml:space="preserve">Last order is test, remaining is train. </t>
  </si>
  <si>
    <t>Only say that training set is defined</t>
  </si>
  <si>
    <t>Hybrid: item-based collaborative filter</t>
  </si>
  <si>
    <t>Instacart
Dunnhumby</t>
  </si>
  <si>
    <t>Preferences: include item side information</t>
  </si>
  <si>
    <t>Instacart
Dunnhumby
Worldline</t>
  </si>
  <si>
    <t xml:space="preserve"> 20/80</t>
  </si>
  <si>
    <t>VBCAR: Variational Bayesian Context-aware representation</t>
  </si>
  <si>
    <t>Preferences:  repeat purchases</t>
  </si>
  <si>
    <t>Offline retailer Germany</t>
  </si>
  <si>
    <t>Remove NAN/negative prices + deposit/delivery items</t>
  </si>
  <si>
    <t>ATD + MPG</t>
  </si>
  <si>
    <t>ATD vs MPG (not really baselines, just tested two models)</t>
  </si>
  <si>
    <t>Preferences: identify whether each item in a historical basket is relevant; automatically extract items relevant to target item for next basket</t>
  </si>
  <si>
    <t>Tafeng
ValuedShopper
Dunnhumby
Instacart</t>
  </si>
  <si>
    <t xml:space="preserve">CLEA: contrastive learning model </t>
  </si>
  <si>
    <t xml:space="preserve">Preferences: include similarity between baskets + capture higher order relationships </t>
  </si>
  <si>
    <t>HGAT-BR</t>
  </si>
  <si>
    <t>Remove items bought &lt;10 users, users who bought &lt;10 items</t>
  </si>
  <si>
    <t xml:space="preserve">DRM: dynamic representation model </t>
  </si>
  <si>
    <t>Sales records of 23 supermarkets in 2015</t>
  </si>
  <si>
    <t xml:space="preserve">Remove empty and invalid data. Removed cheating users. </t>
  </si>
  <si>
    <t>Cf + association rule mining (Extension)</t>
  </si>
  <si>
    <t xml:space="preserve">association rules (AR) with non parallel FP growth method. </t>
  </si>
  <si>
    <t>Preferences: deeply model the complex and heterogeneous user behaviour for next-basket prediction by tracking the intention states behind user actions.</t>
  </si>
  <si>
    <t>Tafeng
(and Tmall)</t>
  </si>
  <si>
    <t>20-30-40% are tried for train-test splits</t>
  </si>
  <si>
    <t>Intention Nets (Int-Net)</t>
  </si>
  <si>
    <t xml:space="preserve">Preferences: model intentions behind a sequence of baskets </t>
  </si>
  <si>
    <t>Int2Ba</t>
  </si>
  <si>
    <r>
      <t xml:space="preserve">Github code:
Hyperparameters:
Pseudocode:
Architecture figure:
Formulas: </t>
    </r>
    <r>
      <rPr>
        <b/>
        <sz val="11"/>
        <color theme="1"/>
        <rFont val="Calibri"/>
        <family val="2"/>
        <scheme val="minor"/>
      </rPr>
      <t>YES</t>
    </r>
  </si>
  <si>
    <t>Recall
Precision
F1 score
MAE
RMSE</t>
  </si>
  <si>
    <t>Accuracy
RMSE</t>
  </si>
  <si>
    <t>Diversity
F1 measure</t>
  </si>
  <si>
    <t>Micro F1 + macro F1. 
AUC + NDCG for recommendations</t>
  </si>
  <si>
    <t>Recall
NDCG</t>
  </si>
  <si>
    <t>F1
NDCG</t>
  </si>
  <si>
    <t>F1
AUC</t>
  </si>
  <si>
    <t>Recall
Precision
NDCG</t>
  </si>
  <si>
    <t xml:space="preserve">Recall
Hit ratio
NDCG </t>
  </si>
  <si>
    <t>Recall
F1
NDCG</t>
  </si>
  <si>
    <t>Hit
NDCG</t>
  </si>
  <si>
    <t>Recall
NDCG
Phr</t>
  </si>
  <si>
    <t>F1
hit
normalized f1
learning and prediction time</t>
  </si>
  <si>
    <t xml:space="preserve"> survey questions. 
MSE + accuracy, Users &amp; Experts</t>
  </si>
  <si>
    <t xml:space="preserve"> F1@K
HUL</t>
  </si>
  <si>
    <t xml:space="preserve">Recall
NDCG
PHR </t>
  </si>
  <si>
    <t xml:space="preserve">Recall
NDCG
MRR. </t>
  </si>
  <si>
    <t>Recall
Map
NDCG
Coverage</t>
  </si>
  <si>
    <t>Precision
Hit
NDCG</t>
  </si>
  <si>
    <t>Precision
Recall
F1
Hit
NDCG</t>
  </si>
  <si>
    <t>Recall
Hit Ratio
NDCG
+ case tsudy</t>
  </si>
  <si>
    <t>Recall
hit ratio
NDCG</t>
  </si>
  <si>
    <t xml:space="preserve">Accuracy
Precision
Recall
Average predicted rank </t>
  </si>
  <si>
    <t>NDCG
Precision
Recall
map</t>
  </si>
  <si>
    <t>Precision
Recall
F1. 
(also: average RCP + purcahse rates of products is calculated, but not compared between models)</t>
  </si>
  <si>
    <t>Recall
NDCG
F1</t>
  </si>
  <si>
    <t xml:space="preserve">Precision
Coverage
F-measure
Recover. </t>
  </si>
  <si>
    <t>Recall,
F1
Hit Ratio
NDCG</t>
  </si>
  <si>
    <t xml:space="preserve">(1) itempop,
(2) BPR-MF,
(3) FPMC, 
(4) item2vec, 
(5) prod2vec, 
(6) m2vec </t>
  </si>
  <si>
    <t>(1) SVM
(2) ANN</t>
  </si>
  <si>
    <t>(1) P-pop, 
(2) GP-pop, 
(3) TIFU-KNN, 
(4) UP-CF@r, 
(5) DNNTSP</t>
  </si>
  <si>
    <t>(1) TOP, 
(2) nmf, 
(3) fpmc, 
(4) hrm, 
(5) dream</t>
  </si>
  <si>
    <t xml:space="preserve">(1) BPR, 
(2) FPMC, 
(3) RRN, 
(4) NARM, 
(5) STAMP, 
(6) RMTPP, 
(7) Time-LSTM, 
(8) CTRec </t>
  </si>
  <si>
    <t xml:space="preserve">(1) TOP, 
(2) fpmc, 
(3) hrm, 
(4) dream, 
(5) shan, 
(6) anam </t>
  </si>
  <si>
    <t>(1) LR, 
(2) XGBOOST, 
(3) LSTM</t>
  </si>
  <si>
    <t>(1) Top, 
(2) mc, 
(3) clf, 
(4) nmf, 
(5) hrm, 
(6) tbp, 
(7) tifu, 
(8) upcf</t>
  </si>
  <si>
    <t>(1) popularity
(2) triple2vec.</t>
  </si>
  <si>
    <t>(1) GP-topfreq, 
(2) RUPM, 
(3) UP-CF,
(4) IP-CF</t>
  </si>
  <si>
    <t>(1) tbp, 
(2) top 
(3) mc,
(4) clf, 
(5) lst,
(6) nmf,
(7) fpm
(8) hrm, 
(9) drm</t>
  </si>
  <si>
    <t xml:space="preserve">(1) Pop, 
(2) MC, 
(3) MNC, 
(4) Beacon. </t>
  </si>
  <si>
    <t>(1) TopFreq,
(2) PersonTopFreq,
(3) userKNN, 
(4) RepeatNet, 
(5) FPMC, 
(6) DREAM, 
(7) SHAN, 
(8) Sets2Sets</t>
  </si>
  <si>
    <t xml:space="preserve">(1) toppop, 
(2) personaltoppop,
(3) sets2sets,
(4) dnntsp </t>
  </si>
  <si>
    <t>(1) Gp
(2) PPU
(3) ppu@tm racf@r
(4) tifu-knn
(5) pf
(6) ab
(7) ppic</t>
  </si>
  <si>
    <t>(1) POP, 
(2) MC, 
(3) MCN, 
(4) DREAM, 
(5) BSEQ, 
(6) Triple2vec</t>
  </si>
  <si>
    <t>(1) mlr, 
(2) neuMF, 
(3) bfm,
(4)  basconv</t>
  </si>
  <si>
    <t>(1) nmf, 
(2) hrm, 
(3) dream,
(4) anam, 
(5) iiaan</t>
  </si>
  <si>
    <t>Kraus &amp; Feuerriegel 2019</t>
  </si>
  <si>
    <t>IERT: Item Encoder Representations from Transformers</t>
  </si>
  <si>
    <t>F1, 
NDCG</t>
  </si>
  <si>
    <t xml:space="preserve">(1) TOP, 
(2) NFM, 
(3) FPMC, 
(4) HRM, 
(5) Dream, 
(6) ANAM. </t>
  </si>
  <si>
    <t>Remove transactions with 1 item.</t>
  </si>
  <si>
    <t xml:space="preserve">Randomly 20% of transactions in last 30 days as test, remainder =train. </t>
  </si>
  <si>
    <t>ATEM: attention-based transaction embedding model.</t>
  </si>
  <si>
    <t>Recall, 
MRR</t>
  </si>
  <si>
    <t xml:space="preserve">(1) PBRS, 
(2) FPMc, 
(3) PRME, 
(4) GRU4Rec, 
(5) TEM. </t>
  </si>
  <si>
    <t>Instacart
X-Online</t>
  </si>
  <si>
    <t xml:space="preserve">Last basket = test. Second last = val, remaining = train. </t>
  </si>
  <si>
    <t>Neighborhood based</t>
  </si>
  <si>
    <t>PerNir</t>
  </si>
  <si>
    <t>HR
MRR</t>
  </si>
  <si>
    <t>(1) P-POP, 
(2) BasConv, 
(3) MITGNN, 
(4) VSKNN, 
(5) STAN, 
(6) HG-GNN, 
(7) TIFU-KNN, 
(8) ReCaNet</t>
  </si>
  <si>
    <t>Preferences: integrate multi-purpose item subsets</t>
  </si>
  <si>
    <t>RNN</t>
  </si>
  <si>
    <t xml:space="preserve">(1) NARM, 
(2) MANN, 
(3)Caser, 
(4) ATEM, 
(5) BPR, 
(6) CE. </t>
  </si>
  <si>
    <t>&lt;1st -3rd , successive 0.5, last 0.5&gt; month(s)</t>
  </si>
  <si>
    <t>AnDa: attentive network to model dynamic attributes</t>
  </si>
  <si>
    <t>Hit rate
NDCG
MAP</t>
  </si>
  <si>
    <t>(1) PopRec, 
(2) FMC, 
(3) FPMc, 
(4) Dream, 
(5) Beacon, 
(6) sets2sets, 
(7) CTA, 
(8) FDSA+</t>
  </si>
  <si>
    <t xml:space="preserve">Preferences:  identify similar purchase habits among complete shopping histories of ALL customers. </t>
  </si>
  <si>
    <t>Instacart
Tafeng</t>
  </si>
  <si>
    <t>80,10,10 (train,val,test)</t>
  </si>
  <si>
    <t>Provided (in appendix)</t>
  </si>
  <si>
    <t>KNN-SDTW</t>
  </si>
  <si>
    <t xml:space="preserve">Wasserstein distance, 
F1 score, 
Jaccard coefficient 
+ Runtime, Hitrate of lower bound, memory. </t>
  </si>
  <si>
    <t xml:space="preserve">(1) global top items, 
(2) personal top items, 
(3) repurchase last basket, 
(4) association rules. </t>
  </si>
  <si>
    <t>.</t>
  </si>
  <si>
    <t>HAEM: hierarchical attentive encoder-decoder model</t>
  </si>
  <si>
    <t>F1
NDCG
MCAN (novelty)</t>
  </si>
  <si>
    <t xml:space="preserve">NBR </t>
  </si>
  <si>
    <t>Type of RS</t>
  </si>
  <si>
    <t>NBR (repurchase)</t>
  </si>
  <si>
    <t>NBR</t>
  </si>
  <si>
    <t>running time
F1-score
HIT ratio
Weight (items selected in pattern prediction of preference preidction divided by number of all items selected to recommend to all customers)</t>
  </si>
  <si>
    <t>Within basket: complementary (co-purchased)</t>
  </si>
  <si>
    <t>Next item (sequential; probability of item being purchased in the future)</t>
  </si>
  <si>
    <t>Substitute product (for out of stock)</t>
  </si>
  <si>
    <t>Product rs (recommend a product based on the category a user likes)</t>
  </si>
  <si>
    <t>NBR (multi intent basket)</t>
  </si>
  <si>
    <t xml:space="preserve">Item RS </t>
  </si>
  <si>
    <t>NBR repurchase</t>
  </si>
  <si>
    <t xml:space="preserve">Product RS </t>
  </si>
  <si>
    <t xml:space="preserve">WBR </t>
  </si>
  <si>
    <t>BR (2 types, more or less similar to WBR and NBR)</t>
  </si>
  <si>
    <t>Buyagain groceries</t>
  </si>
  <si>
    <t>Repeat RS</t>
  </si>
  <si>
    <t>Wang et al 2018a</t>
  </si>
  <si>
    <t>Wang et al 2019a</t>
  </si>
  <si>
    <t>NBR (with CF)</t>
  </si>
  <si>
    <t>Next item RS</t>
  </si>
  <si>
    <t>NBR + WBR</t>
  </si>
  <si>
    <t>NIR</t>
  </si>
  <si>
    <t xml:space="preserve">NIR </t>
  </si>
  <si>
    <t xml:space="preserve">Market basket recommendation </t>
  </si>
  <si>
    <t xml:space="preserve">SBR (sequential): NBR is a type of this </t>
  </si>
  <si>
    <t xml:space="preserve">Tafeng + Beiren </t>
  </si>
  <si>
    <t>Tafeng + BeiRen</t>
  </si>
  <si>
    <t>Reference</t>
  </si>
  <si>
    <t>Ariannezhad, M., Li, M., Schelter, S., &amp; de Rijke, M. (2023, February). A personalized neighborhood-based model for within-basket recommendation in grocery shopping. In Proceedings of the Sixteenth ACM International Conference on Web Search and Data Mining (pp. 87-95).</t>
  </si>
  <si>
    <t>Wang, S., Hu, L., Wang, Y., Sheng, Q. Z., Orgun, M., &amp; Cao, L. (2019, January). Modeling multi-purpose sessions for next-item recommendations via mixture-channel purpose routing networks. In International Joint Conference on Artificial Intelligence. International Joint Conferences on Artificial Intelligence.</t>
  </si>
  <si>
    <t>Wang, S., Hu, L., Cao, L., Huang, X., Lian, D., &amp; Liu, W. (2018, April). Attention-based transactional context embedding for next-item recommendation. In Proceedings of the AAAI conference on artificial intelligence (Vol. 32, No. 1).</t>
  </si>
  <si>
    <t>Kraus, M., &amp; Feuerriegel, S. (2019, July). Personalized purchase prediction of market baskets with Wasserstein-based sequence matching. In Proceedings of the 25th ACM SIGKDD International Conference on Knowledge Discovery &amp; Data Mining (pp. 2643-2652).</t>
  </si>
  <si>
    <t>Yang, J., Xu, J., Tong, J., Gao, S., Guo, J., &amp; Wen, J. (2019). Pre-training of context-aware item representation for next basket recommendation. arXiv preprint arXiv:1904.12604.</t>
  </si>
  <si>
    <t>Chen, Y., Li, J., Liu, C., Li, C., Anderle, M., McAuley, J., &amp; Xiong, C. (2021). Modeling dynamic attributes for next basket recommendation. arXiv preprint arXiv:2109.11654.</t>
  </si>
  <si>
    <t>Preferences: Include sequential behavior (include complementarity, compatibility and loyalty)</t>
  </si>
  <si>
    <t xml:space="preserve">not explained: only says the model pre-processes the data and what information the different datasets should contain </t>
  </si>
  <si>
    <t xml:space="preserve">not explained: used NLTK and Beautiful Soup for preprocessing of Amazon, but not mentioned what that is </t>
  </si>
  <si>
    <t>Offline, online and multichannel prediction (not really baseline models)</t>
  </si>
  <si>
    <t xml:space="preserve">Matrix factoriation </t>
  </si>
  <si>
    <t>Ariannezhad, M., Jullien, S., Nauts, P., Fang, M., Schelter, S., &amp; de Rijke, M. (2021, October). Understanding multi-channel customer behavior in retail. In Proceedings of the 30th ACM International Conference on Information &amp; Knowledge Management (pp. 2867-2871).</t>
  </si>
  <si>
    <t xml:space="preserve">ReCANet: repeat consumption-aware neural network </t>
  </si>
  <si>
    <t>Neural network (LSTM layers)</t>
  </si>
  <si>
    <t xml:space="preserve">ANAM: attribute-aware neural attentive model </t>
  </si>
  <si>
    <t xml:space="preserve">CTRec: continuous time recommendation model </t>
  </si>
  <si>
    <t xml:space="preserve">IIAAN: inter-basket and intra-basket adaptive attention network </t>
  </si>
  <si>
    <t xml:space="preserve">RNN + causal dilated convolutions (RNNCNN)  </t>
  </si>
  <si>
    <t>Cf user-based</t>
  </si>
  <si>
    <t>Pattern based model</t>
  </si>
  <si>
    <t>MONBR: multi-objective next basket recommendation</t>
  </si>
  <si>
    <t xml:space="preserve">TARS based predictor (Temporal annotated recurring sequency) </t>
  </si>
  <si>
    <t>Hybrid: sequential and pattern-based recommenders</t>
  </si>
  <si>
    <t>F1 
HLU</t>
  </si>
  <si>
    <t>Ariannezhad, M., Jullien, S., Li, M., Fang, M., Schelter, S., &amp; de Rijke, M. (2022, July). ReCANet: A repeat consumption-aware neural network for next basket recommendation in grocery shopping. In Proceedings of the 45th International ACM SIGIR Conference on Research and Development in Information Retrieval (pp. 1240-1250).</t>
  </si>
  <si>
    <t>Bai, T., Nie, J. Y., Zhao, W. X., Zhu, Y., Du, P., &amp; Wen, J. R. (2018, June). An attribute-aware neural attentive model for next basket recommendation. In The 41st International ACM SIGIR Conference on Research &amp; Development in Information Retrieval (pp. 1201-1204).</t>
  </si>
  <si>
    <t>CBai, T., Zou, L., Zhao, W. X., Du, P., Liu, W., Nie, J. Y., &amp; Wen, J. R. (2019, July). CTRec: A long-short demands evolution model for continuous-time recommendation. In Proceedings of the 42nd International ACM SIGIR Conference on Research and Development in Information Retrieval (pp. 675-684).</t>
  </si>
  <si>
    <t>Bodike, Y., Heu, D., Kadari, B., Kiser, B., &amp; Pirouz, M. (2020). A novel recommender system for healthy grocery shopping. In Advances in Information and Communication: Proceedings of the 2020 Future of Information and Communication Conference (FICC), Volume 2 (pp. 133-146). Springer International Publishing.</t>
  </si>
  <si>
    <t>Che, B., Zhao, P., Fang, J., Zhao, L., Sheng, V. S., &amp; Cui, Z. (2019). Inter-basket and intra-basket adaptive attention network for next basket recommendation. IEEE Access, 7, 80644-80650.</t>
  </si>
  <si>
    <t>Chen, P., &amp; Li, J. (2019, April). Weighted sequence loss based recurrent model for repurchase recommendation. In IOP Conference Series: Materials Science and Engineering (Vol. 490, No. 6, p. 062062). IOP Publishing.</t>
  </si>
  <si>
    <t>Chen, G., &amp; Li, Z. (2021). A new method combining pattern prediction and preference prediction for next basket recommendation. Entropy, 23(11), 1430.</t>
  </si>
  <si>
    <t>Entezari, N., Papalexakis, E. E., Wang, H., Rao, S., &amp; Prasad, S. K. (2021, December). Tensor-based complementary product recommendation. In 2021 IEEE International Conference on Big Data (Big Data) (pp. 409-415). IEEE.</t>
  </si>
  <si>
    <t>Fouad, M. A., Hussein, W., Rady, S., Philip, S. Y., &amp; Gharib, T. F. (2022). An efficient approach for rational next-basket recommendation. IEEE Access, 10, 75657-75671.</t>
  </si>
  <si>
    <t>Guidotti, R., Rossetti, G., Pappalardo, L., Giannotti, F., &amp; Pedreschi, D. (2018). Personalized market basket prediction with temporal annotated recurring sequences. IEEE Transactions on Knowledge and Data Engineering, 31(11), 2151-2163.</t>
  </si>
  <si>
    <t>Hafez, M. M., Redondo, R. P. D., Vilas, A. F., &amp; Pazó, H. O. (2021). Multi-criteria recommendation systems to foster online grocery. Sensors, 21(11), 3747.</t>
  </si>
  <si>
    <t>Hai, T., Zhou, J., Lu, Y., Jawawi, D. N., Sinha, A., Bhatnagar, Y., &amp; Anumbe, N. (2023). Posterior probability and collaborative filtering based Heterogeneous Recommendations model for user/item Application in use case of IoVT. Computers and Electrical Engineering, 105, 108532.</t>
  </si>
  <si>
    <t>Hoang, Q. V. P., &amp; Le, D. T. (2021, November). Modeling Multi-Intent Basket Sequences for Next-Basket Recommendation. In 2021 13th International Conference on Knowledge and Systems Engineering (KSE) (pp. 1-6). IEEE.</t>
  </si>
  <si>
    <t>Jung, S., Park, Y. J., Jeong, J., Kim, K. M., Kim, H., Kim, M., &amp; Kwak, H. (2021, September). Global-local item embedding for temporal set prediction. In Proceedings of the 15th ACM Conference on Recommender Systems (pp. 674-679).</t>
  </si>
  <si>
    <t>Katz, O., Barkan, O., Koenigstein, N., &amp; Zabari, N. (2022, September). Learning to Ride a Buy-Cycle: A Hyper-Convolutional Model for Next Basket Repurchase Recommendation. In Proceedings of the 16th ACM Conference on Recommender Systems (pp. 316-326).</t>
  </si>
  <si>
    <t>Le, D. T., Lauw, H. W., &amp; Fang, Y. (2019). Correlation-sensitive next-basket recommendation.</t>
  </si>
  <si>
    <t>Lee, H. I., Choi, I. Y., Moon, H. S., &amp; Kim, J. K. (2020). A multi-period product recommender system in online food market based on recurrent neural networks. Sustainability, 12(3), 969.</t>
  </si>
  <si>
    <t>Li, X., Liu, Z., Ma, L., Nag, K., Guo, S., Philip, S. Y., &amp; Achan, K. (2022, December). Mitigating Frequency Bias in Next-Basket Recommendation via Deconfounders. In 2022 IEEE International Conference on Big Data (Big Data) (pp. 616-625). IEEE.</t>
  </si>
  <si>
    <t>Li, M., Bao, X., Chang, L., &amp; Gu, T. (2022). Modeling personalized representation for within-basket recommendation based on deep learning. Expert Systems with Applications, 192, 116383.</t>
  </si>
  <si>
    <t>Liu, T., &amp; Liu, B. (2022, July). Next basket recommendation based on graph attention network and transformer. In Journal of Physics: Conference Series (Vol. 2303, No. 1, p. 012023). IOP Publishing.</t>
  </si>
  <si>
    <t>Liu, T., Yin, X., &amp; Ni, W. (2020). Next basket recommendation model based on attribute-aware multi-level attention. IEEE Access, 8, 153872-153880.</t>
  </si>
  <si>
    <t>Liu, Z., Wan, M., Guo, S., Achan, K., &amp; Yu, P. S. (2020). Basconv: Aggregating heterogeneous interactions for basket recommendation with graph convolutional neural network. In Proceedings of the 2020 SIAM International Conference on Data Mining (pp. 64-72). Society for Industrial and Applied Mathematics.</t>
  </si>
  <si>
    <t>Liu, Z., Li, X., Fan, Z., Guo, S., Achan, K., &amp; Philip, S. Y. (2020, December). Basket recommendation with multi-intent translation graph neural network. In 2020 IEEE International Conference on Big Data (Big Data) (pp. 728-737). IEEE.</t>
  </si>
  <si>
    <t>Van Maasakkers, L., Fok, D., &amp; Donkers, B. (2023). Next-basket prediction in a high-dimensional setting using gated recurrent units. Expert Systems with Applications, 212, 118795.</t>
  </si>
  <si>
    <t>Neifer, T., Lawo, D., Stevens, G., Boden, A., &amp; Gadatsch, A. (2021, July). Recommender Systems in Food Retail: Modeling Repeat Purchase Decisions on Transaction Data of a Stationary Food Retailer. In ICE-B (pp. 25-36).</t>
  </si>
  <si>
    <t>Peng, B., Ren, Z., Parthasarathy, S., &amp; Ning, X. (2022). M 2: Mixed Models With Preferences, Popularities and Transitions for Next-Basket Recommendation. IEEE transactions on knowledge and data engineering, 35(4), 4033-4046.</t>
  </si>
  <si>
    <t>Qin, Y., Wang, P., &amp; Li, C. (2021, July). The world is binary: Contrastive learning for denoising next basket recommendation. In Proceedings of the 44th international ACM SIGIR conference on research and development in information retrieval (pp. 859-868).</t>
  </si>
  <si>
    <t>Song, T., Guo, F., Jiang, H., Ma, W., Feng, Z., &amp; Guo, L. (2023). HGAT-BR: Hyperedge-based graph attention network for basket recommendation. Applied Intelligence, 53(2), 1435-1451.</t>
  </si>
  <si>
    <t>Wang, P., Zhang, Y., Niu, S., &amp; Guo, J. (2019). Modeling temporal dynamics of users’ purchase behaviors for next basket prediction. Journal of Computer Science and Technology, 34, 1230-1240.</t>
  </si>
  <si>
    <t>Wang, F., Wen, Y., Guo, T., Liu, J., &amp; Cao, B. (2020). Collaborative filtering and association rule mining‐based market basket recommendation on spark. Concurrency and Computation: Practice and Experience, 32(7), e5565.</t>
  </si>
  <si>
    <t>Wang, S., Hu, L., Wang, Y., Sheng, Q. Z., Orgun, M., &amp; Cao, L. (2020, April). Intention nets: psychology-inspired user choice behavior modeling for next-basket prediction. In Proceedings of the AAAI Conference on Artificial Intelligence (Vol. 34, No. 04, pp. 6259-6266).</t>
  </si>
  <si>
    <t>Wang, S., Hu, L., Wang, Y., Sheng, Q. Z., Orgun, M., &amp; Cao, L. (2020, January). Intention2basket: A neural intention-driven approach for dynamic next-basket planning. In Twenty-Ninth International Joint Conference on Artificial Intelligence and Seventeenth Pacific Rim International Conference on Artificial Intelligence {IJCAI-PRICAI-20}. International Joint Conferences on Artificial Intelligence Organization.</t>
  </si>
  <si>
    <t>Wang, W., &amp; Cao, L. (2021). Interactive sequential basket recommendation by learning basket couplings and positive/negative feedback. ACM Transactions on Information Systems (TOIS), 39(3), 1-26.</t>
  </si>
  <si>
    <t>HIT
NDCG
nTFR</t>
  </si>
  <si>
    <t xml:space="preserve">Deep learning: attentive RNN </t>
  </si>
  <si>
    <t>RNN and causal dilated convolutions</t>
  </si>
  <si>
    <t xml:space="preserve">Natural language processing + Sentiment analysis with SVM and artificial neural network (ANN) </t>
  </si>
  <si>
    <t xml:space="preserve">Attentive network. </t>
  </si>
  <si>
    <t xml:space="preserve">Hybrid Deep learning </t>
  </si>
  <si>
    <t xml:space="preserve">CNN: Convolution-based model </t>
  </si>
  <si>
    <t xml:space="preserve">NN </t>
  </si>
  <si>
    <t>Recurrent neural networks (RNN) with LSTM layer</t>
  </si>
  <si>
    <t>Graph convolutional neural network</t>
  </si>
  <si>
    <t>basconv + user-basket-item (BUI) graph</t>
  </si>
  <si>
    <t xml:space="preserve">Graph neural network </t>
  </si>
  <si>
    <t>Gated Recurrent Units (GRU) with LSTM</t>
  </si>
  <si>
    <t>real-time triple2vec: RTT2vec</t>
  </si>
  <si>
    <t xml:space="preserve">Deep learning: Approximate nearest neighbour </t>
  </si>
  <si>
    <t>Deep learning: Bayesian</t>
  </si>
  <si>
    <t>Linguistic decision analysis</t>
  </si>
  <si>
    <t xml:space="preserve">M2: mixed model with preferences, popularities and transitions </t>
  </si>
  <si>
    <t>GNN (graph)</t>
  </si>
  <si>
    <t xml:space="preserve">Neural network </t>
  </si>
  <si>
    <t>MCPRN: mixture channel purpose routing networks</t>
  </si>
  <si>
    <t>ECFAR: FG-growth + parallel similar commodity discovery method based on matrix factorization</t>
  </si>
  <si>
    <t xml:space="preserve">Deep learning: hiearchical attentive encoder-decoder model based on deep networks </t>
  </si>
  <si>
    <t xml:space="preserve">F1
Hit ratio
NDCG </t>
  </si>
  <si>
    <t>Year</t>
  </si>
  <si>
    <t>COUNT</t>
  </si>
  <si>
    <t>Pre-processing procedure: cleaning</t>
  </si>
  <si>
    <t xml:space="preserve">Pre-processing procedure: other steps </t>
  </si>
  <si>
    <t>Tafeng
(and 2 non-groceries)</t>
  </si>
  <si>
    <t xml:space="preserve">80/20 </t>
  </si>
  <si>
    <t xml:space="preserve">Remove sessions (baskets) with &lt;3 items. </t>
  </si>
  <si>
    <t xml:space="preserve">Note that most papers probably sort the data based on date (for splitting) but then it is not mentioned specifically (this sheet only notifies it when it is mentioned specifically) </t>
  </si>
  <si>
    <t>YEAR</t>
  </si>
  <si>
    <t>Bodike et al 2020</t>
  </si>
  <si>
    <t>Lee et al 2020</t>
  </si>
  <si>
    <t>Li et al 2022</t>
  </si>
  <si>
    <t>Wang et al 2020a</t>
  </si>
  <si>
    <t>Yang et al 2019</t>
  </si>
  <si>
    <t>Wang et al 2018b</t>
  </si>
  <si>
    <t>Ariannezhad et al 2023</t>
  </si>
  <si>
    <t>Wang et al 2019b</t>
  </si>
  <si>
    <t>Chen et al 2021</t>
  </si>
  <si>
    <t>Short article name</t>
  </si>
  <si>
    <t xml:space="preserve">Faggioli, G., Polato, M., and Aiolli, F. (2020, July). Recency aware collaborative filtering for next basket recommendation. In Proceedings of the 28th ACM Conference on User Modeling, Adaptation and Personalization (pp. 80-87). ACM, New York. http://dx.doi.org/10.1145/3340631.3394850 </t>
  </si>
  <si>
    <t>Hu, H., He, X., Gao, J., &amp; Zhang, Z. L. (2020, July). Modeling personalized item frequency information for next-basket recommendation. In Proceedings of the 43rd International ACM SIGIR Conference on Research and Development in Information Retrieval (pp. 1071-1080).</t>
  </si>
  <si>
    <t xml:space="preserve">Hung, B. T. (2020). Integrating sentiment analysis in recommender systems. In Reliability and Stat. Comput., (pp. 127-37). Springer, Cham. http://dx.doi.org/10.1007/978-3-030-43412-0_8 </t>
  </si>
  <si>
    <t>Meng, Z., McCreadie, R., Macdonald, C., &amp; Ounis, I. (2021). Variational Bayesian representation learning for grocery recommendation. Information Retrieval Journal, 24(4-5), 347-369.</t>
  </si>
  <si>
    <t xml:space="preserve">Moses, S. J., and Babu, L. D. (2018). Buyagain grocery recommender algorithm for online shopping of grocery and gourmet foods. Int. J. Web Serv. Res. (IJWSR), 15(3), 1-17. 	http://dx.doi.org/10.4018/IJWSR.2018070101 </t>
  </si>
  <si>
    <t xml:space="preserve">Preferences </t>
  </si>
  <si>
    <t>Preferences: more preferred (more accurate)</t>
  </si>
  <si>
    <t>Preferences: more preferred</t>
  </si>
  <si>
    <t>Preferences: buy again</t>
  </si>
  <si>
    <t>Preferences: predict inter+intra basket and positive/negative feedback</t>
  </si>
  <si>
    <t xml:space="preserve">Preferences and needs </t>
  </si>
  <si>
    <t xml:space="preserve">Context: weigh items with different relevance to take into account attentive context. </t>
  </si>
  <si>
    <t>Preferences: model dynamic attributes (income / price) and dependencies among baskets</t>
  </si>
  <si>
    <t xml:space="preserve">Preferences + health </t>
  </si>
  <si>
    <t>Trust</t>
  </si>
  <si>
    <t>Preferences: Deconfounder model</t>
  </si>
  <si>
    <t>Preferences: accurate predictions</t>
  </si>
  <si>
    <t>2.8 million transactions from 300.000 customers of food retailer</t>
  </si>
  <si>
    <t>Dataset used 
(between brackets is non-grocery)</t>
  </si>
  <si>
    <t>Dunnhumby
Valuedshopper
Instacart
2 large retailers: online, offline, multichannel, so six in total</t>
  </si>
  <si>
    <t>Tafeng (+ Jingdong and 2 others)</t>
  </si>
  <si>
    <t>Tafeng 
Dunnhumby
(X5-retail hero and t-mall)</t>
  </si>
  <si>
    <t>Tafeng 
(and 2 other non-grocery)</t>
  </si>
  <si>
    <t>Publicly available</t>
  </si>
  <si>
    <t xml:space="preserve">Remove users &lt;3 baskets and items that occur in &lt;5 baskets </t>
  </si>
  <si>
    <t>Remove users with few purchase times: Only users who purchased &gt;5 times</t>
  </si>
  <si>
    <t>Remove consumers with &lt;20 purchases, and items bought &lt;15 times.</t>
  </si>
  <si>
    <t>Remove customers with &lt;10 purchases</t>
  </si>
  <si>
    <t>Remove items purchased by &lt;10 users. Then retain records with &gt;2 items (association). Size of items in each basket limit to 15. Users with &gt;3 records for train and test</t>
  </si>
  <si>
    <t>Remove items with &lt;10 purchases, users with &lt;5  purchases</t>
  </si>
  <si>
    <t>Remove users with &lt;15 items, item that are purchased &lt;15 times</t>
  </si>
  <si>
    <t>Remove items with &lt;20 purchases, and users with &gt;30 items and &gt;10 baskets</t>
  </si>
  <si>
    <t>Remove users with &lt;10 items, items with &lt;10 transactions and users with &lt;2 baskets</t>
  </si>
  <si>
    <t>remove baskets with &lt;2 items, items with &lt;5 buys</t>
  </si>
  <si>
    <t>remove users with &lt;10 baskets, remove items bought by &lt;10 users.</t>
  </si>
  <si>
    <t>Only items among 500 most frequently purchased. Only customers with &gt;10 baskets, with &gt;5 items in a basket.</t>
  </si>
  <si>
    <t>Remove items purchased by &lt;10 users, users who purchased &lt;10 items.</t>
  </si>
  <si>
    <t>Remove users with &lt;3 baskets, items occurring in &lt;5 baskets, and basket with &lt;4 items</t>
  </si>
  <si>
    <t xml:space="preserve">75000 test users, but split with train unclear. 
Train -&gt; transaction history before n-1 order of test set, and transaction history before the nth order of non-test users to extract feature variables. </t>
  </si>
  <si>
    <t>4 next days = test</t>
  </si>
  <si>
    <t>Sequential: Convolutional neural network (short term demand) + self-attention mechanism (long term)</t>
  </si>
  <si>
    <t>Attention-based RNN</t>
  </si>
  <si>
    <r>
      <t xml:space="preserve">Github code: .. 
Hyperparameters: ..
Pseudocode: ..
Architecture figure: ..
Formulas: </t>
    </r>
    <r>
      <rPr>
        <b/>
        <sz val="11"/>
        <color theme="1"/>
        <rFont val="Calibri"/>
        <family val="2"/>
        <scheme val="minor"/>
      </rPr>
      <t>YES</t>
    </r>
  </si>
  <si>
    <r>
      <t>Github code:
Hyperparameters: 
Pseudocode: 
Architecture figure:</t>
    </r>
    <r>
      <rPr>
        <b/>
        <sz val="11"/>
        <rFont val="Calibri"/>
        <family val="2"/>
        <scheme val="minor"/>
      </rPr>
      <t xml:space="preserve"> YES (system flow)</t>
    </r>
    <r>
      <rPr>
        <sz val="11"/>
        <rFont val="Calibri"/>
        <family val="2"/>
        <scheme val="minor"/>
      </rPr>
      <t xml:space="preserve">
Formulas:  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</si>
  <si>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not mentioned how, they do have multiple stores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make distinction between online or offline purchases. (online - offline - multichannel)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sample 100.000 consumers at random from each group (online and offline and multichannel). Select 8 week period. </t>
    </r>
  </si>
  <si>
    <r>
      <t xml:space="preserve">Github code: ..
Hyperparameters: 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>.
Pseudocode: ..
Architecture figure: ..
Formulas: ..
 K {10,20,50)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</si>
  <si>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sort the baskets by time. Get item id x, user id u and history vector. Users and items are embedded and then combined.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</si>
  <si>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batch size = 200 (tafeng) and 500 (jingdong), learning rate = 0.001, units = 50, k = 5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</si>
  <si>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K = 5, 10. 
H = 50,100,200. Learning rate = 0.1, 0.01, 0.001. Latent vector = 50,50,100,200. Window size = 1,3,5,10. Learning rate = 0.01, 0.01, 0.1, 0.1 . Lambda = 0.1 . 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</si>
  <si>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various files with related identifiers are combined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randomly sample 1000 users from 200.000 users available. 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</si>
  <si>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YES
m,n,k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</si>
  <si>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manually extracted more than 100 features from profiles for users, poducts, time and their interactions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sort baskets by time.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</si>
  <si>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..
Hyperparameters: </t>
    </r>
    <r>
      <rPr>
        <b/>
        <sz val="11"/>
        <rFont val="Calibri"/>
        <family val="2"/>
        <scheme val="minor"/>
      </rPr>
      <t>YES (K)</t>
    </r>
    <r>
      <rPr>
        <sz val="11"/>
        <rFont val="Calibri"/>
        <family val="2"/>
        <scheme val="minor"/>
      </rPr>
      <t xml:space="preserve">
Pseudocode: ..
Architecture figure: </t>
    </r>
    <r>
      <rPr>
        <b/>
        <sz val="11"/>
        <rFont val="Calibri"/>
        <family val="2"/>
        <scheme val="minor"/>
      </rPr>
      <t>YES</t>
    </r>
    <r>
      <rPr>
        <sz val="11"/>
        <rFont val="Calibri"/>
        <family val="2"/>
        <scheme val="minor"/>
      </rPr>
      <t xml:space="preserve">
Formulas:  </t>
    </r>
    <r>
      <rPr>
        <b/>
        <sz val="11"/>
        <rFont val="Calibri"/>
        <family val="2"/>
        <scheme val="minor"/>
      </rPr>
      <t>YES</t>
    </r>
  </si>
  <si>
    <r>
      <t xml:space="preserve">Github code: .. </t>
    </r>
    <r>
      <rPr>
        <b/>
        <sz val="11"/>
        <color theme="1"/>
        <rFont val="Calibri"/>
        <family val="2"/>
        <scheme val="minor"/>
      </rPr>
      <t>(No, do provide Github of all baseline models)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..
Formulas: </t>
    </r>
    <r>
      <rPr>
        <b/>
        <sz val="11"/>
        <color theme="1"/>
        <rFont val="Calibri"/>
        <family val="2"/>
        <scheme val="minor"/>
      </rPr>
      <t>YES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</si>
  <si>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transactions are sorted chronologically.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</si>
  <si>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..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embedding dimension d=128 or 32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</si>
  <si>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...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Recency r ∈ {1,5,25,100,∞}
Locality q ∈ {1,5,10,50,100, 1000}
Asymmetry α ∈ {0,0.25,0.5,0.75,1}.
K is 5 or 10</t>
    </r>
  </si>
  <si>
    <r>
      <t xml:space="preserve">Github code: ..
Hyperparameters: ..
Pseudocode: </t>
    </r>
    <r>
      <rPr>
        <b/>
        <sz val="11"/>
        <rFont val="Calibri"/>
        <family val="2"/>
        <scheme val="minor"/>
      </rPr>
      <t xml:space="preserve">YES
</t>
    </r>
    <r>
      <rPr>
        <sz val="11"/>
        <rFont val="Calibri"/>
        <family val="2"/>
        <scheme val="minor"/>
      </rPr>
      <t xml:space="preserve">Architecture figure: </t>
    </r>
    <r>
      <rPr>
        <b/>
        <sz val="11"/>
        <rFont val="Calibri"/>
        <family val="2"/>
        <scheme val="minor"/>
      </rPr>
      <t>YES (overview diagram)</t>
    </r>
    <r>
      <rPr>
        <sz val="11"/>
        <rFont val="Calibri"/>
        <family val="2"/>
        <scheme val="minor"/>
      </rPr>
      <t xml:space="preserve">
Formulas:  </t>
    </r>
    <r>
      <rPr>
        <b/>
        <sz val="11"/>
        <rFont val="Calibri"/>
        <family val="2"/>
        <scheme val="minor"/>
      </rPr>
      <t>YES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</si>
  <si>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extract two different datasets that differ in item categorization (not explained how)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</si>
  <si>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</t>
    </r>
    <r>
      <rPr>
        <b/>
        <sz val="11"/>
        <color theme="1"/>
        <rFont val="Calibri"/>
        <family val="2"/>
        <scheme val="minor"/>
      </rPr>
      <t>YES: https://github.com/GiulioRossetti/tbp-next-basket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..
Formulas: 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definitions</t>
    </r>
    <r>
      <rPr>
        <sz val="11"/>
        <color theme="1"/>
        <rFont val="Calibri"/>
        <family val="2"/>
        <scheme val="minor"/>
      </rPr>
      <t xml:space="preserve">
K is given (but most are parameter-free, so no value is given but based on the customer)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</si>
  <si>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some information was added randomly later in a new version of the recommendation system, such as price and info about nutrition table.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three attributes are combined in a single text to describe a product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</si>
  <si>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</t>
    </r>
    <r>
      <rPr>
        <b/>
        <sz val="11"/>
        <color theme="1"/>
        <rFont val="Calibri"/>
        <family val="2"/>
        <scheme val="minor"/>
      </rPr>
      <t>YES (figure 1 and 2)</t>
    </r>
    <r>
      <rPr>
        <sz val="11"/>
        <color theme="1"/>
        <rFont val="Calibri"/>
        <family val="2"/>
        <scheme val="minor"/>
      </rPr>
      <t xml:space="preserve">
Formulas:  </t>
    </r>
    <r>
      <rPr>
        <b/>
        <sz val="11"/>
        <color theme="1"/>
        <rFont val="Calibri"/>
        <family val="2"/>
        <scheme val="minor"/>
      </rPr>
      <t>YES</t>
    </r>
  </si>
  <si>
    <r>
      <t xml:space="preserve">Github code:
Hyperparameters: </t>
    </r>
    <r>
      <rPr>
        <b/>
        <sz val="11"/>
        <color theme="1"/>
        <rFont val="Calibri"/>
        <family val="2"/>
        <scheme val="minor"/>
      </rPr>
      <t>Yes?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(blockchain mechanism)
Formulas: 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Only K 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</si>
  <si>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each text is divided into sentences, and each sentence is divided in FIFO Queue. Generate new matrix without noise words. Then store words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reduce redundancy of words from tokenization matrix, and reduce frequency computation matrix rank? 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</si>
  <si>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 </t>
    </r>
    <r>
      <rPr>
        <b/>
        <sz val="11"/>
        <color theme="1"/>
        <rFont val="Calibri"/>
        <family val="2"/>
        <scheme val="minor"/>
      </rPr>
      <t>YES</t>
    </r>
  </si>
  <si>
    <r>
      <t xml:space="preserve">Github code: </t>
    </r>
    <r>
      <rPr>
        <b/>
        <sz val="11"/>
        <color theme="1"/>
        <rFont val="Calibri"/>
        <family val="2"/>
        <scheme val="minor"/>
      </rPr>
      <t>YES: https://github.com/HaojiHu/TIFUKNN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 (also baseline)</t>
    </r>
    <r>
      <rPr>
        <sz val="11"/>
        <color theme="1"/>
        <rFont val="Calibri"/>
        <family val="2"/>
        <scheme val="minor"/>
      </rPr>
      <t xml:space="preserve">
Pseudocode: ..
Architecture figure: ..
Formulas:  </t>
    </r>
    <r>
      <rPr>
        <b/>
        <sz val="11"/>
        <color theme="1"/>
        <rFont val="Calibri"/>
        <family val="2"/>
        <scheme val="minor"/>
      </rPr>
      <t>YES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</si>
  <si>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one database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</si>
  <si>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YES: diagram of flow + BOW / LSTM figure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CNN layers = 128 
Kernel size = 5 
Max pool = 4D
LSTM nodes = 128
Dropout = 0.4
Epochs = 1000
Batch size = 500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</si>
  <si>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YES
Formulas:  </t>
    </r>
    <r>
      <rPr>
        <b/>
        <sz val="11"/>
        <color theme="1"/>
        <rFont val="Calibri"/>
        <family val="2"/>
        <scheme val="minor"/>
      </rPr>
      <t>YES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</si>
  <si>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order by purchase time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</si>
  <si>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
Architecture figure:</t>
    </r>
    <r>
      <rPr>
        <b/>
        <sz val="11"/>
        <color theme="1"/>
        <rFont val="Calibri"/>
        <family val="2"/>
        <scheme val="minor"/>
      </rPr>
      <t xml:space="preserve"> YES: schematic framework (figure 1 and 2)</t>
    </r>
    <r>
      <rPr>
        <sz val="11"/>
        <color theme="1"/>
        <rFont val="Calibri"/>
        <family val="2"/>
        <scheme val="minor"/>
      </rPr>
      <t xml:space="preserve">
Formulas: 
Hidden layer=1
N = 5
Epochs unclear (default)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</si>
  <si>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present transaction data chronologically, and create negative records (randomly select non-bought products)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</si>
  <si>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 (inference process of BDFM)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</si>
  <si>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items are combined into a basket in chronological order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</si>
  <si>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
Hyperparameters: </t>
    </r>
    <r>
      <rPr>
        <b/>
        <sz val="11"/>
        <color theme="1"/>
        <rFont val="Calibri"/>
        <family val="2"/>
        <scheme val="minor"/>
      </rPr>
      <t xml:space="preserve">YES in hyperparameter experiment </t>
    </r>
    <r>
      <rPr>
        <sz val="11"/>
        <color theme="1"/>
        <rFont val="Calibri"/>
        <family val="2"/>
        <scheme val="minor"/>
      </rPr>
      <t xml:space="preserve">
Pseudocode: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No hyperparameters (only dimension in hyperparameters experiment) and no algorithm. </t>
    </r>
  </si>
  <si>
    <r>
      <t xml:space="preserve">Github code: ...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5 items recommend, embedding dimension = 100, attention mechanisms = 2, k=800*q, learning rate = 0.002, batch size = 64, epochs = 100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</si>
  <si>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Sampled 100.000 users for Walmart. 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</si>
  <si>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yes, add some sequence-length indicators (nr of days between transactions, number of previouly purchased baskets etc)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</si>
  <si>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combine data from different retailers using ETL tools. Get: customers/users, store, products, orders/transactions (also explained how it is done)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</si>
  <si>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Unlikely = 0 &gt; u &gt; 0.15
Low = 0.15 &gt; u &gt; 0.35
Medium = 0.35 &gt; u &gt; 0.65
High = 0.65 &gt; u &gt; 0.85
Likely = 0.85 &gt; u &gt; 1</t>
    </r>
  </si>
  <si>
    <r>
      <t xml:space="preserve">Github code:
Hyperparameters: </t>
    </r>
    <r>
      <rPr>
        <b/>
        <sz val="11"/>
        <color theme="1"/>
        <rFont val="Calibri"/>
        <family val="2"/>
        <scheme val="minor"/>
      </rPr>
      <t>estimated using actual data?</t>
    </r>
    <r>
      <rPr>
        <sz val="11"/>
        <color theme="1"/>
        <rFont val="Calibri"/>
        <family val="2"/>
        <scheme val="minor"/>
      </rPr>
      <t xml:space="preserve">
Pseudocode:
Architecture figure: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only mentioned that a range of RCP is tested (RCP is underlying both models)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</si>
  <si>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>: focus on records in 10 months ( 1-1-10 to 31-10-10)</t>
    </r>
  </si>
  <si>
    <r>
      <t xml:space="preserve">Github 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https://github.com/BoPeng112/M2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Hyperparameters with grid search, only mentioned k. 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</si>
  <si>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sort based on timestamp. Each ground-truth basket is paired with 1000 negative items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take all transactions of a sampled 10% users from the test type user set 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</si>
  <si>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take parts of the data (reduced almost by half), but unclear based on what </t>
    </r>
  </si>
  <si>
    <r>
      <t xml:space="preserve">Github code: </t>
    </r>
    <r>
      <rPr>
        <b/>
        <sz val="11"/>
        <color theme="1"/>
        <rFont val="Calibri"/>
        <family val="2"/>
        <scheme val="minor"/>
      </rPr>
      <t>YES: https://github.com/sgc1993/cfsh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..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Hyperparameters only range of alpha with embedding 50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</si>
  <si>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embeddings have range (0,1). Learning rate {0.0001, 0.001, 0.01, 0.05, 0.1} + vector dimensions {50,100,150,200} also have range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</si>
  <si>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combine single or multiple source databases into a common format (sales records of 23 stores)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Sort the items by sales value. (Also: abandon the use of classification information (products can be misclassified by certain supermarkets)).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</si>
  <si>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Minsup= 0.05 and minconf=0.7 (and different levels are tested). K = {5,10,15,20,25,30}.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</si>
  <si>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 xml:space="preserve">: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 xml:space="preserve">: Order baskets by purchase time. (Extract a set of sequences from datasets, where each sequence consists of all baskets purchased by a user.)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</si>
  <si>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 xml:space="preserve">: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 xml:space="preserve">: Order baskets by purchase time and generate sequence of data. 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</si>
  <si>
    <r>
      <t xml:space="preserve">Github code: </t>
    </r>
    <r>
      <rPr>
        <b/>
        <sz val="11"/>
        <color theme="1"/>
        <rFont val="Calibri"/>
        <family val="2"/>
        <scheme val="minor"/>
      </rPr>
      <t>YES: https://github.com/mathiaskraus/MarketBasket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(appendix)
Pseudocode: ...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 </t>
    </r>
    <r>
      <rPr>
        <b/>
        <sz val="11"/>
        <color theme="1"/>
        <rFont val="Calibri"/>
        <family val="2"/>
        <scheme val="minor"/>
      </rPr>
      <t>YES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</si>
  <si>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</si>
  <si>
    <r>
      <t xml:space="preserve">Github code: </t>
    </r>
    <r>
      <rPr>
        <b/>
        <sz val="11"/>
        <color theme="1"/>
        <rFont val="Calibri"/>
        <family val="2"/>
        <scheme val="minor"/>
      </rPr>
      <t>No, but can be found online: https://github.com/MengtingWan/grocery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..
Formulas: 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K=32
Label fraction r = 0.5
Repeat experiment = 10 </t>
    </r>
  </si>
  <si>
    <r>
      <t xml:space="preserve">Github code: ...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</si>
  <si>
    <r>
      <t>Github code:</t>
    </r>
    <r>
      <rPr>
        <b/>
        <sz val="11"/>
        <color theme="1"/>
        <rFont val="Calibri"/>
        <family val="2"/>
        <scheme val="minor"/>
      </rPr>
      <t xml:space="preserve"> YES: https://github.com/mzhariann/pernir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. Grid search, results are given
Pseudocode: ...
Architecture figure: ...
Formulas:  </t>
    </r>
    <r>
      <rPr>
        <b/>
        <sz val="11"/>
        <color theme="1"/>
        <rFont val="Calibri"/>
        <family val="2"/>
        <scheme val="minor"/>
      </rPr>
      <t>YES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</si>
  <si>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combine purchases in one session (is basket)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</si>
  <si>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...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</si>
  <si>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 xml:space="preserve"> does mention that split is based on time, but NOT that transactions are sorted for time.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</si>
  <si>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t xml:space="preserve">Github code: </t>
    </r>
    <r>
      <rPr>
        <b/>
        <sz val="11"/>
        <color theme="1"/>
        <rFont val="Calibri"/>
        <family val="2"/>
        <scheme val="minor"/>
      </rPr>
      <t>No, there is a page but no code: https://github.com/YChen1993/AnDa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 </t>
    </r>
    <r>
      <rPr>
        <b/>
        <sz val="11"/>
        <color theme="1"/>
        <rFont val="Calibri"/>
        <family val="2"/>
        <scheme val="minor"/>
      </rPr>
      <t>YES</t>
    </r>
  </si>
  <si>
    <r>
      <t>Wang, P., Chen, J., &amp; Niu, S. (2018). CFSH: Factorizing sequential and historical purchase data for basket recommendation. </t>
    </r>
    <r>
      <rPr>
        <i/>
        <sz val="11"/>
        <color rgb="FF222222"/>
        <rFont val="Calibri"/>
        <family val="2"/>
        <scheme val="minor"/>
      </rPr>
      <t>Plos one</t>
    </r>
    <r>
      <rPr>
        <sz val="11"/>
        <color rgb="FF222222"/>
        <rFont val="Calibri"/>
        <family val="2"/>
        <scheme val="minor"/>
      </rPr>
      <t>, </t>
    </r>
    <r>
      <rPr>
        <i/>
        <sz val="11"/>
        <color rgb="FF222222"/>
        <rFont val="Calibri"/>
        <family val="2"/>
        <scheme val="minor"/>
      </rPr>
      <t>13</t>
    </r>
    <r>
      <rPr>
        <sz val="11"/>
        <color rgb="FF222222"/>
        <rFont val="Calibri"/>
        <family val="2"/>
        <scheme val="minor"/>
      </rPr>
      <t>(10), e0203191.</t>
    </r>
  </si>
  <si>
    <r>
      <t>Wan, M., Wang, D., Liu, J., Bennett, P., &amp; McAuley, J. (2018, October). Representing and recommending shopping baskets with complementarity, compatibility and loyalty. In </t>
    </r>
    <r>
      <rPr>
        <i/>
        <sz val="11"/>
        <color rgb="FF222222"/>
        <rFont val="Calibri"/>
        <family val="2"/>
        <scheme val="minor"/>
      </rPr>
      <t>Proceedings of the 27th ACM International Conference on Information and Knowledge Management</t>
    </r>
    <r>
      <rPr>
        <sz val="11"/>
        <color rgb="FF222222"/>
        <rFont val="Calibri"/>
        <family val="2"/>
        <scheme val="minor"/>
      </rPr>
      <t> (pp. 1133-1142).</t>
    </r>
  </si>
  <si>
    <t>Li, Bao, Chang &amp; Gu 2022</t>
  </si>
  <si>
    <t xml:space="preserve">Context: capture context information and sequential information </t>
  </si>
  <si>
    <t>Preferences: jointly model dynamic nature of user preferences and item relations.</t>
  </si>
  <si>
    <t xml:space="preserve">not specifically mentioned (it is in the title) </t>
  </si>
  <si>
    <r>
      <rPr>
        <sz val="11"/>
        <color rgb="FFFF0000"/>
        <rFont val="Calibri"/>
        <family val="2"/>
        <scheme val="minor"/>
      </rPr>
      <t>not mentioned</t>
    </r>
    <r>
      <rPr>
        <sz val="11"/>
        <color theme="5" tint="-0.499984740745262"/>
        <rFont val="Calibri"/>
        <family val="2"/>
        <scheme val="minor"/>
      </rPr>
      <t xml:space="preserve">
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does mention that split is based on time, but NOT that transactions are sorted for time.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</si>
  <si>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t>Evaluation metric</t>
  </si>
  <si>
    <t>Training and validation</t>
  </si>
  <si>
    <t>Hoang &amp; Le 2021</t>
  </si>
  <si>
    <t>Guidotti et al 2018
(note that citation indicates 2018 but paper indicates november 2019 as publication date)</t>
  </si>
  <si>
    <t xml:space="preserve">Preferences:  recommend a user only items purchased before </t>
  </si>
  <si>
    <t>Preferences: supplement current preferred products</t>
  </si>
  <si>
    <t>Context: Consider transaction context</t>
  </si>
  <si>
    <t>Preferences: model short + long term interest of user based on purchase history</t>
  </si>
  <si>
    <t>Dunnhumby
(Taobao
Tags-meth-sx)</t>
  </si>
  <si>
    <t>actual data: Emma grocery shop app in Aachen - various retailers</t>
  </si>
  <si>
    <t>Remove users with &lt;10 purchases
Remove items purchased &lt;10 times</t>
  </si>
  <si>
    <t>Filter orders that do not contain a new product purchase (in test set)</t>
  </si>
  <si>
    <t>Remove customers who have &lt;10 (others) or &lt;21 (X5RH) baskets</t>
  </si>
  <si>
    <t>Remove all items that appear in &lt;10 baskets</t>
  </si>
  <si>
    <t xml:space="preserve">Basket with at least 10 items, and item must be in at least 10 sequences. 
Also, basket sequences with &lt;2 basket length will be discarded, and ones longer than 30  baskets is truncated with the prefix cut off. </t>
  </si>
  <si>
    <t xml:space="preserve">Remove items bought &lt;20 times, users with &lt;11 baskets. 
Discard users who did not place any order for more than 30 days (Instacart)
</t>
  </si>
  <si>
    <t>Select users with &gt;5 baskets in the dataset</t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</si>
  <si>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sort user record on the presence of significant words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FF0000"/>
        <rFont val="Calibri"/>
        <family val="2"/>
        <scheme val="minor"/>
      </rPr>
      <t>dataset is divided into six parts for easy execution process (not really reduction)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</si>
  <si>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user's baskets are sorted temporally in a sequence. (also: last 3 baskets are target baskets and previous baskets are input for sequential basket prediction and feedback verification)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</si>
  <si>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t>20%, 30% and 40% of the instances whose target basket happens in the last 30 days to form three test sets. The remainder is used for the corresponding training set.</t>
  </si>
  <si>
    <t xml:space="preserve">CF: Nearest-neighbor </t>
  </si>
  <si>
    <r>
      <t xml:space="preserve">Github code: </t>
    </r>
    <r>
      <rPr>
        <b/>
        <sz val="11"/>
        <color theme="1"/>
        <rFont val="Calibri"/>
        <family val="2"/>
        <scheme val="minor"/>
      </rPr>
      <t>YES: https://github.com/mzhariann/recanet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k = {10 - length of test basket}. Set the model size to 64, sweep the embedding sizes
du and di in {16, 32, 64, 128} and the window size w in {5, 15, 25, 35, 45}</t>
    </r>
  </si>
  <si>
    <r>
      <t xml:space="preserve">Github code: </t>
    </r>
    <r>
      <rPr>
        <b/>
        <sz val="11"/>
        <rFont val="Calibri"/>
        <family val="2"/>
        <scheme val="minor"/>
      </rPr>
      <t>YES: https://github.com/shawnlxh/FENDER</t>
    </r>
    <r>
      <rPr>
        <sz val="11"/>
        <rFont val="Calibri"/>
        <family val="2"/>
        <scheme val="minor"/>
      </rPr>
      <t xml:space="preserve">
Hyperparameters:</t>
    </r>
    <r>
      <rPr>
        <b/>
        <sz val="11"/>
        <rFont val="Calibri"/>
        <family val="2"/>
        <scheme val="minor"/>
      </rPr>
      <t xml:space="preserve"> YES (in parameter analysis)</t>
    </r>
    <r>
      <rPr>
        <sz val="11"/>
        <rFont val="Calibri"/>
        <family val="2"/>
        <scheme val="minor"/>
      </rPr>
      <t xml:space="preserve">
Pseudocode: ..
Architecture figure:  ..
Formulas:  </t>
    </r>
    <r>
      <rPr>
        <b/>
        <sz val="11"/>
        <rFont val="Calibri"/>
        <family val="2"/>
        <scheme val="minor"/>
      </rPr>
      <t xml:space="preserve">YES
</t>
    </r>
    <r>
      <rPr>
        <sz val="11"/>
        <rFont val="Calibri"/>
        <family val="2"/>
        <scheme val="minor"/>
      </rPr>
      <t>Set the starting as 0.1 and the learning rate as 0.0001.</t>
    </r>
  </si>
  <si>
    <r>
      <t xml:space="preserve">Github code: </t>
    </r>
    <r>
      <rPr>
        <b/>
        <sz val="11"/>
        <color theme="1"/>
        <rFont val="Calibri"/>
        <family val="2"/>
        <scheme val="minor"/>
      </rPr>
      <t>YES: https://github.com/mengzaiqiao/VBCAR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embedding=64, dimensions=52, learning=0.001, batch=512, negative items=100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</si>
  <si>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learning rate = 0.001, batch size = 50, embeddings = 100, t = 8.  Also for baselines</t>
    </r>
  </si>
  <si>
    <t>(1) Pif
(2) bpr-mf
(3) propensity-mf
(4) dream
(5) triple2vec, 
(6) beacon,
(7)  clea, 
(8) sets2sets, 
(9) mit-gnn,
(10)  tifu-knn.</t>
  </si>
  <si>
    <t>(1) anam, 
(2) iiaan, 
(3) sets2sets, 
(4) tifu-knn, 
(5) mibs,
(6)  item association matrix</t>
  </si>
  <si>
    <t>(1) Itempop, 
(2) bpr-mf, 
(3) gc-mc,
(4) ncf,
(5) triple2vec</t>
  </si>
  <si>
    <t>(1) bpr-mf, 
(2) triple2vec,
(3) dream, 
(4) gc-mc,
(5) r-gcn, 
(6) ngcf</t>
  </si>
  <si>
    <t>(1) naive benchmarks, 
(2) TARS, 
(3) linearized version of GRU</t>
  </si>
  <si>
    <t>(1) Popularity
(2) Item2vec 
(3) BB2vec
(4) Triple2vec</t>
  </si>
  <si>
    <t>(1) toppop, 
(2) BPR, 
(3) neuCF, 
(4) MGCF, 
(5) triple2vec, 
(6) cVAE, 
(7) sslim, 
(8) hire</t>
  </si>
  <si>
    <t>(1) POP, 
(2) POEP,
(3) DREAM, 
(4) FPMC, 
(5) Sets2Sets</t>
  </si>
  <si>
    <t>(1) pop-k, 
(2) psp,
(3) itemKNN, 
(4) fpmc, 
(5) dream, 
(6) dry4rec, 
(7) sasrec, 
(8) beacon, 
(9) bert4rec.</t>
  </si>
  <si>
    <t>(1) pop, 
(2) poep, 
(3) fpmc, 
(4) clea, 
(5) dream, 
(6) sets2sets, 
(7) tifu-knn, 
(8) srgnn, 
(9) fgnn, 
(10) lightgcn, 
(11) dhcn, 
(12) dnntsp</t>
  </si>
  <si>
    <t>(1) Top, 
(2) NFM, 
(3) BPR, 
(4) FPMC, 
(5) FCSP, 
(6) FSP, 
(7) FSP2</t>
  </si>
  <si>
    <t>(1) top, 
(2) fpmc, 
(3) nmf, 
(4) hrm,
(5) timesSVD++,
(6) dream</t>
  </si>
  <si>
    <t>(1) tbp,
(2) fpmc, 
(3) hrm, 
(4) deram (dream?), 
(5) nam, 
(6) beacon,
(7) mcprn</t>
  </si>
  <si>
    <t>(1) tbp, 
(2) fpmc, 
(3) hrm, 
(4) dream, 
(5) nam, 
(6) beacon,
(7) mcprn</t>
  </si>
  <si>
    <t>(1) FPMC, 
(2) HRM, 
(3) DREAM, 
(4) ATEM, 
(5) DEERS, 
(6) HAEM adoptions</t>
  </si>
  <si>
    <t xml:space="preserve">HanumanthaRaju, R., and Murthy, T. N. (2020). Grocery Product Classification and Recommendation System Based on Machine Learning and Customer Profile Identity. In ICDSMLA 2019 (pp. 199-210). Springer, Singapore. http://dx.doi.org/10.1007/978-981-15-1420-3_21 </t>
  </si>
  <si>
    <t xml:space="preserve">Mohan, A., Abdelrazeq, A., and Hees, F. (2019, June). Recommendation System in Business Intelligence Solutions for Grocery shops: Challenges and Perspective. In Proceedings of the 2019 3rd International Conference on E-commerce, E-Business and E-Government (pp. 53-7). http://dx.doi.org/10.1145/3340017.3340030 </t>
  </si>
  <si>
    <t xml:space="preserve">Mantha, A., Arora, Y., Gupta, S., Kanumala, P., Liu, Z., Guo, S., et al. (2020, May). A Large-Scale Deep Architecture for Personalized Grocery Basket Recommendations. In ICASSP 2020-2020 IEEE International Conference on Acoustics, Speech and Signal Processing (ICASSP) (pp. 3807-11). http://dx.doi.org/10.1109/ICASSP40776.2020.9053091 </t>
  </si>
  <si>
    <t xml:space="preserve">User should have at least n=10 items adopted, and item is adopted by at least 10 users. Filter out basket sequences with &lt;2 baskets. Baskets with &gt;30 items are truncated. </t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</si>
  <si>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 xml:space="preserve">: sort transactions by date - </t>
    </r>
    <r>
      <rPr>
        <sz val="11"/>
        <rFont val="Calibri"/>
        <family val="2"/>
        <scheme val="minor"/>
      </rPr>
      <t xml:space="preserve">index of the basket in sequence is adopted as time unit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rFont val="Calibri"/>
        <family val="2"/>
        <scheme val="minor"/>
      </rPr>
      <t>..</t>
    </r>
  </si>
  <si>
    <r>
      <rPr>
        <sz val="11"/>
        <color theme="5" tint="-0.499984740745262"/>
        <rFont val="Calibri"/>
        <family val="2"/>
        <scheme val="minor"/>
      </rPr>
      <t>integration different datasets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transformation of data</t>
    </r>
    <r>
      <rPr>
        <sz val="11"/>
        <color theme="1"/>
        <rFont val="Calibri"/>
        <family val="2"/>
        <scheme val="minor"/>
      </rPr>
      <t>:</t>
    </r>
    <r>
      <rPr>
        <sz val="11"/>
        <rFont val="Calibri"/>
        <family val="2"/>
        <scheme val="minor"/>
      </rPr>
      <t xml:space="preserve"> feature variables are extracted from a specific set of data - transaction history before n-1 order of test users, and n order of non-test users.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 tint="-0.499984740745262"/>
        <rFont val="Calibri"/>
        <family val="2"/>
        <scheme val="minor"/>
      </rPr>
      <t>data reduction</t>
    </r>
    <r>
      <rPr>
        <sz val="11"/>
        <color theme="1"/>
        <rFont val="Calibri"/>
        <family val="2"/>
        <scheme val="minor"/>
      </rPr>
      <t>: no, entire dataset is split (this is specifically mentioned)</t>
    </r>
  </si>
  <si>
    <t xml:space="preserve">next-item =&gt; last item = test, penultimate item = validation, remain = train. 
next-basket =&gt; last 5% = test, penultimate 5% as validation, remain = train. </t>
  </si>
  <si>
    <t xml:space="preserve">Last = test, penultimate = validate, remain = train </t>
  </si>
  <si>
    <t>Last basket is test or validation (50-50), remain is train</t>
  </si>
  <si>
    <t>Last order is testing, remaining orders are training</t>
  </si>
  <si>
    <t xml:space="preserve">Recent transaction = test, second-to-last = validation, remain = training. Only one transaction is training, two transactions is train + test. </t>
  </si>
  <si>
    <t xml:space="preserve">incl validation; Training is all the baskets except the last one. Of the last baskets from all users, 50% is validation and 50% is test set. </t>
  </si>
  <si>
    <t>5 folds: 4 folds = train, 1 fold = test, 10% of train = val</t>
  </si>
  <si>
    <t>3 months = train, 0.5 month = val, 0.5 month = test</t>
  </si>
  <si>
    <t xml:space="preserve">Last transaction = test, remaining = train. </t>
  </si>
  <si>
    <t>test = last month of data</t>
  </si>
  <si>
    <t>last basket = test, penultimate = validation, remaining = train</t>
  </si>
  <si>
    <t>Last transaction = test, remaining = train</t>
  </si>
  <si>
    <t>Last = test, penultimate = val, remaining = train</t>
  </si>
  <si>
    <t>incl validation ; Last transaction is testing, second-last validation (for more than two transactions) and remaining transactions are training</t>
  </si>
  <si>
    <t>Instacart: test = last basket of 10.000 randomly sampled, validation = last basket of other 10.000 randomly sampled. remaining = train.
Dunnhumby: last basket of each customer is excluded. Half is validation, half is testing.</t>
  </si>
  <si>
    <t>Last transaction = test, second last = val, remaining = train</t>
  </si>
  <si>
    <t xml:space="preserve">Preference:  include co-occurrence, sequentiality, periodicity and recurrency (detect evolution over time) </t>
  </si>
  <si>
    <t>Performed (given in Appendix)</t>
  </si>
  <si>
    <t>NDCG
MRR
Recall
Diversity (as additional analysis)</t>
  </si>
  <si>
    <t>Evaluation comparison</t>
  </si>
  <si>
    <t>Remove users with &lt;3 baskets, and remove least frequent item sets (Instacart + Tafeng)</t>
  </si>
  <si>
    <t>integration different datasets: ..
transformation of data: ..
data reduction: randomly sampled 10k users for ValuedShopper dataset and Instacart dataset (Dunnhumby was originally already only 2.5K)</t>
  </si>
  <si>
    <t>Remove baskets with &lt;30 (Instacart) / &lt;40 (walmart) items</t>
  </si>
  <si>
    <t>Instacart: remove baskets with &lt;30 items + users with &lt;5 baskets. 
Walmart: remove baskets with &lt;40 items + users with &lt;5 baskets.</t>
  </si>
  <si>
    <t>integration different datasets: ..
transformation of data: Dunnhumby: extract four types of item side information (manufacturer, department, commodity, sub commidity), Instacart: extract three columns of item side information (aisle, department, product), Worldline: three features on three levels 
data reduction: randomly sample 25% of users and items (Instacart)</t>
  </si>
  <si>
    <t>Users/items with &lt;10 records, users with &lt;3 transactions, Instacart: select 10% of users from test type user set.</t>
  </si>
  <si>
    <t xml:space="preserve">integration different datasets:
transformation of data: Sort baskets by purchase time. 
data reduction: Randomly sample 30.000 (Instacart) and 10.000 users (X-online). </t>
  </si>
  <si>
    <t>Minimum nr of purchases for product is 500 (Instacart), products purchased &lt;50 times are removed (Dunnhumby), remove customers with &lt;3 baksets and sequences &gt;100 baskets were capped</t>
  </si>
  <si>
    <t xml:space="preserve">Github code: YES: https://github.com/luukvanmaasakkers/nextbasketpredictionGRU
Hyperparameters: YES
Pseudocode: ..
Architecture figure: YES: outline of the model in figure
Formulas:  YES
50% dropout rate, d = 750 Instacart, 1500 Dunnhumby (considered more), </t>
  </si>
  <si>
    <t>Preferences: handle multi-intent patterns (preferences)</t>
  </si>
  <si>
    <t>Item-based CF (including multi-criteria weights of utility, popularity, stability, frequency, occupancy, and novelty)</t>
  </si>
  <si>
    <t>not mentioned (also not needed, because the model selects useful and non-useful words (buy again))</t>
  </si>
  <si>
    <t xml:space="preserve"> 20,30,40 randomly selected from the last 30 days for testing. </t>
  </si>
  <si>
    <t>Success ratio average closest cosine similarity</t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</si>
  <si>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30 epochs, one layer, r=0.6, learning rate = 0.001</t>
    </r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</si>
  <si>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YES: schematic illustration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Item embedding = 10, batch size = 8. </t>
    </r>
  </si>
  <si>
    <r>
      <t xml:space="preserve">Github code: </t>
    </r>
    <r>
      <rPr>
        <b/>
        <sz val="11"/>
        <color theme="1"/>
        <rFont val="Calibri"/>
        <family val="2"/>
        <scheme val="minor"/>
      </rPr>
      <t>YES : https://github.com/JimLiu96/MITGNN</t>
    </r>
    <r>
      <rPr>
        <sz val="11"/>
        <color theme="1"/>
        <rFont val="Calibri"/>
        <family val="2"/>
        <scheme val="minor"/>
      </rPr>
      <t xml:space="preserve">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..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d=64, learning rate is searched + regularization factor is searched, also for baselines.</t>
    </r>
  </si>
  <si>
    <t>Github code: not mentioned in paper. https://github.com/QYQ-bot/CLEA/tree/main/CLEA
Hyperparameters: YES
Pseudocode: YES
Architecture figure: YES
Formulas: YES
K=5, batch = 128, embedding = range (0,1), dimension is [32,64,96,128,256]. (and also provided hyperparameters for comparison models).</t>
  </si>
  <si>
    <r>
      <t xml:space="preserve">Github code: ..
Hyperparameters: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Pseudocode: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Architecture figure: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Formulas: 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embedding and intention dimensions=100, m=3, also for all the baseline models </t>
    </r>
  </si>
  <si>
    <t>Github code: (not provided, but can be found online)
Hyperparameters: YES
Pseudocode:
Architecture figure: YES structure figure 
Formulas:  YES
embedding size =64, learning rate = 5x10^4 (Instacart) and 10^-4 (walmart), layer size {1,2,3,4}</t>
  </si>
  <si>
    <t>Github code: ..
Hyperparameters: YES
Pseudocode: ..
Architecture figure: YES
Formulas: YES
Fuzzy logic was provided in paper Figure 3. Nutrients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</si>
</sst>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6" borderId="2" xfId="0" applyFont="1" applyFill="1" applyBorder="1" applyAlignment="1">
      <alignment horizontal="left" vertical="top" wrapText="1"/>
    </xf>
    <xf numFmtId="0" fontId="0" fillId="6" borderId="3" xfId="0" applyFont="1" applyFill="1" applyBorder="1" applyAlignment="1">
      <alignment horizontal="left" vertical="top" wrapText="1"/>
    </xf>
    <xf numFmtId="1" fontId="1" fillId="0" borderId="3" xfId="0" applyNumberFormat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4" borderId="3" xfId="0" applyFont="1" applyFill="1" applyBorder="1" applyAlignment="1">
      <alignment horizontal="left" vertical="top" wrapText="1"/>
    </xf>
    <xf numFmtId="0" fontId="0" fillId="4" borderId="2" xfId="0" applyFont="1" applyFill="1" applyBorder="1" applyAlignment="1">
      <alignment horizontal="left" vertical="top" wrapText="1"/>
    </xf>
    <xf numFmtId="0" fontId="0" fillId="4" borderId="5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0" fillId="7" borderId="3" xfId="0" applyFont="1" applyFill="1" applyBorder="1" applyAlignment="1">
      <alignment horizontal="left" vertical="top" wrapText="1"/>
    </xf>
    <xf numFmtId="0" fontId="0" fillId="7" borderId="2" xfId="0" applyFont="1" applyFill="1" applyBorder="1" applyAlignment="1">
      <alignment horizontal="left" vertical="top" wrapText="1"/>
    </xf>
    <xf numFmtId="0" fontId="0" fillId="8" borderId="3" xfId="0" applyFont="1" applyFill="1" applyBorder="1" applyAlignment="1">
      <alignment horizontal="left" vertical="top" wrapText="1"/>
    </xf>
    <xf numFmtId="0" fontId="0" fillId="8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8" borderId="3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left" vertical="top" wrapText="1"/>
    </xf>
    <xf numFmtId="0" fontId="1" fillId="9" borderId="0" xfId="0" applyFont="1" applyFill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" fontId="1" fillId="0" borderId="8" xfId="0" applyNumberFormat="1" applyFont="1" applyBorder="1" applyAlignment="1">
      <alignment horizontal="left" vertical="top" wrapText="1"/>
    </xf>
    <xf numFmtId="0" fontId="0" fillId="4" borderId="9" xfId="0" applyFont="1" applyFill="1" applyBorder="1" applyAlignment="1">
      <alignment horizontal="left" vertical="top" wrapText="1"/>
    </xf>
    <xf numFmtId="0" fontId="0" fillId="6" borderId="9" xfId="0" applyFont="1" applyFill="1" applyBorder="1" applyAlignment="1">
      <alignment horizontal="left" vertical="top" wrapText="1"/>
    </xf>
    <xf numFmtId="1" fontId="1" fillId="0" borderId="9" xfId="0" applyNumberFormat="1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2" borderId="12" xfId="0" applyFont="1" applyFill="1" applyBorder="1" applyAlignment="1">
      <alignment horizontal="left" vertical="top" wrapText="1"/>
    </xf>
    <xf numFmtId="0" fontId="0" fillId="2" borderId="10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 wrapText="1"/>
    </xf>
    <xf numFmtId="0" fontId="0" fillId="6" borderId="10" xfId="0" applyFont="1" applyFill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0" fillId="7" borderId="9" xfId="0" applyFont="1" applyFill="1" applyBorder="1" applyAlignment="1">
      <alignment horizontal="left" vertical="top" wrapText="1"/>
    </xf>
    <xf numFmtId="0" fontId="2" fillId="7" borderId="10" xfId="0" applyFont="1" applyFill="1" applyBorder="1" applyAlignment="1">
      <alignment horizontal="left" vertical="top" wrapText="1"/>
    </xf>
    <xf numFmtId="0" fontId="0" fillId="7" borderId="10" xfId="0" applyFont="1" applyFill="1" applyBorder="1" applyAlignment="1">
      <alignment horizontal="left" vertical="top" wrapText="1"/>
    </xf>
    <xf numFmtId="0" fontId="2" fillId="5" borderId="10" xfId="0" applyFont="1" applyFill="1" applyBorder="1" applyAlignment="1">
      <alignment horizontal="left" vertical="top" wrapText="1"/>
    </xf>
    <xf numFmtId="0" fontId="0" fillId="8" borderId="9" xfId="0" applyFont="1" applyFill="1" applyBorder="1" applyAlignment="1">
      <alignment horizontal="left" vertical="top" wrapText="1"/>
    </xf>
    <xf numFmtId="0" fontId="0" fillId="8" borderId="10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0" fillId="2" borderId="8" xfId="0" applyFont="1" applyFill="1" applyBorder="1" applyAlignment="1">
      <alignment horizontal="left" vertical="top" wrapText="1"/>
    </xf>
    <xf numFmtId="0" fontId="0" fillId="2" borderId="13" xfId="0" applyFont="1" applyFill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2" fillId="3" borderId="13" xfId="0" applyFont="1" applyFill="1" applyBorder="1" applyAlignment="1">
      <alignment horizontal="left" vertical="top" wrapText="1"/>
    </xf>
    <xf numFmtId="0" fontId="0" fillId="4" borderId="8" xfId="0" applyFont="1" applyFill="1" applyBorder="1" applyAlignment="1">
      <alignment horizontal="left" vertical="top" wrapText="1"/>
    </xf>
    <xf numFmtId="0" fontId="0" fillId="4" borderId="13" xfId="0" applyFont="1" applyFill="1" applyBorder="1" applyAlignment="1">
      <alignment horizontal="left" vertical="top" wrapText="1"/>
    </xf>
    <xf numFmtId="0" fontId="0" fillId="4" borderId="14" xfId="0" applyFont="1" applyFill="1" applyBorder="1" applyAlignment="1">
      <alignment horizontal="left" vertical="top" wrapText="1"/>
    </xf>
    <xf numFmtId="0" fontId="0" fillId="6" borderId="8" xfId="0" applyFont="1" applyFill="1" applyBorder="1" applyAlignment="1">
      <alignment horizontal="left" vertical="top" wrapText="1"/>
    </xf>
    <xf numFmtId="0" fontId="0" fillId="6" borderId="13" xfId="0" applyFont="1" applyFill="1" applyBorder="1" applyAlignment="1">
      <alignment horizontal="left" vertical="top" wrapText="1"/>
    </xf>
    <xf numFmtId="0" fontId="0" fillId="7" borderId="8" xfId="0" applyFont="1" applyFill="1" applyBorder="1" applyAlignment="1">
      <alignment horizontal="left" vertical="top" wrapText="1"/>
    </xf>
    <xf numFmtId="0" fontId="0" fillId="7" borderId="13" xfId="0" applyFont="1" applyFill="1" applyBorder="1" applyAlignment="1">
      <alignment horizontal="left" vertical="top" wrapText="1"/>
    </xf>
    <xf numFmtId="0" fontId="0" fillId="5" borderId="8" xfId="0" applyFont="1" applyFill="1" applyBorder="1" applyAlignment="1">
      <alignment horizontal="left" vertical="top" wrapText="1"/>
    </xf>
    <xf numFmtId="0" fontId="0" fillId="8" borderId="8" xfId="0" applyFont="1" applyFill="1" applyBorder="1" applyAlignment="1">
      <alignment horizontal="left" vertical="top" wrapText="1"/>
    </xf>
    <xf numFmtId="0" fontId="0" fillId="8" borderId="13" xfId="0" applyFont="1" applyFill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0" fillId="2" borderId="15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6" borderId="13" xfId="0" applyFont="1" applyFill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0" fillId="5" borderId="13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left" vertical="top" wrapText="1"/>
    </xf>
    <xf numFmtId="0" fontId="2" fillId="8" borderId="8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2" fillId="7" borderId="13" xfId="0" applyFont="1" applyFill="1" applyBorder="1" applyAlignment="1">
      <alignment horizontal="left" vertical="top" wrapText="1"/>
    </xf>
    <xf numFmtId="2" fontId="0" fillId="6" borderId="8" xfId="0" applyNumberFormat="1" applyFont="1" applyFill="1" applyBorder="1" applyAlignment="1">
      <alignment horizontal="left" vertical="top" wrapText="1"/>
    </xf>
    <xf numFmtId="0" fontId="0" fillId="7" borderId="15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1" fontId="1" fillId="0" borderId="8" xfId="0" applyNumberFormat="1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top" wrapText="1"/>
    </xf>
    <xf numFmtId="0" fontId="0" fillId="8" borderId="15" xfId="0" applyFont="1" applyFill="1" applyBorder="1" applyAlignment="1">
      <alignment horizontal="left" vertical="top" wrapText="1"/>
    </xf>
    <xf numFmtId="0" fontId="2" fillId="7" borderId="8" xfId="0" applyFont="1" applyFill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0" fillId="6" borderId="11" xfId="0" applyFont="1" applyFill="1" applyBorder="1" applyAlignment="1">
      <alignment horizontal="left" vertical="top" wrapText="1"/>
    </xf>
    <xf numFmtId="0" fontId="0" fillId="6" borderId="14" xfId="0" applyFont="1" applyFill="1" applyBorder="1" applyAlignment="1">
      <alignment horizontal="left" vertical="top" wrapText="1"/>
    </xf>
    <xf numFmtId="0" fontId="4" fillId="6" borderId="14" xfId="0" applyFont="1" applyFill="1" applyBorder="1" applyAlignment="1">
      <alignment horizontal="left" vertical="top" wrapText="1"/>
    </xf>
    <xf numFmtId="0" fontId="0" fillId="6" borderId="5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0" fillId="5" borderId="12" xfId="0" applyFont="1" applyFill="1" applyBorder="1" applyAlignment="1">
      <alignment horizontal="left" vertical="top" wrapText="1"/>
    </xf>
    <xf numFmtId="0" fontId="0" fillId="5" borderId="15" xfId="0" applyFont="1" applyFill="1" applyBorder="1" applyAlignment="1">
      <alignment horizontal="left" vertical="top" wrapText="1"/>
    </xf>
    <xf numFmtId="0" fontId="0" fillId="5" borderId="4" xfId="0" applyFont="1" applyFill="1" applyBorder="1" applyAlignment="1">
      <alignment horizontal="left" vertical="top" wrapText="1"/>
    </xf>
    <xf numFmtId="0" fontId="2" fillId="8" borderId="13" xfId="0" applyFont="1" applyFill="1" applyBorder="1" applyAlignment="1">
      <alignment horizontal="left" vertical="top" wrapText="1"/>
    </xf>
    <xf numFmtId="0" fontId="1" fillId="6" borderId="5" xfId="0" applyFont="1" applyFill="1" applyBorder="1" applyAlignment="1">
      <alignment horizontal="left" vertical="top" wrapText="1"/>
    </xf>
    <xf numFmtId="0" fontId="1" fillId="10" borderId="3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90CA-B2CC-4960-A224-09793365ED6F}">
  <dimension ref="A1:AA874"/>
  <sheetViews>
    <sheetView tabSelected="1" topLeftCell="A31" zoomScale="60" zoomScaleNormal="60" workbookViewId="0">
      <pane xSplit="1" topLeftCell="C1" activePane="topRight" state="frozen"/>
      <selection pane="topRight" activeCell="C31" sqref="C1:C1048576"/>
    </sheetView>
  </sheetViews>
  <sheetFormatPr defaultRowHeight="14.4" x14ac:dyDescent="0.3"/>
  <cols>
    <col min="1" max="1" width="33.109375" style="2" customWidth="1"/>
    <col min="2" max="2" width="10.44140625" style="2" customWidth="1"/>
    <col min="3" max="3" width="41.6640625" style="2" customWidth="1"/>
    <col min="4" max="4" width="33" style="4" customWidth="1"/>
    <col min="5" max="5" width="17.44140625" style="5" customWidth="1"/>
    <col min="6" max="6" width="15" style="3" bestFit="1" customWidth="1"/>
    <col min="7" max="7" width="16.109375" style="3" customWidth="1"/>
    <col min="8" max="8" width="34.109375" style="4" customWidth="1"/>
    <col min="9" max="9" width="13.77734375" style="4" bestFit="1" customWidth="1"/>
    <col min="10" max="10" width="14.21875" style="4" customWidth="1"/>
    <col min="11" max="11" width="52.44140625" style="5" customWidth="1"/>
    <col min="12" max="12" width="15.33203125" style="4" customWidth="1"/>
    <col min="13" max="13" width="55.77734375" style="4" customWidth="1"/>
    <col min="14" max="14" width="38.33203125" style="5" customWidth="1"/>
    <col min="15" max="15" width="23" style="4" bestFit="1" customWidth="1"/>
    <col min="16" max="16" width="18.33203125" style="4" customWidth="1"/>
    <col min="17" max="17" width="33.44140625" style="5" customWidth="1"/>
    <col min="18" max="18" width="16.33203125" style="3" customWidth="1"/>
    <col min="19" max="19" width="36.44140625" style="3" customWidth="1"/>
    <col min="20" max="20" width="17.44140625" style="4" bestFit="1" customWidth="1"/>
    <col min="21" max="21" width="38.109375" style="3" customWidth="1"/>
    <col min="22" max="22" width="21.77734375" style="3" customWidth="1"/>
    <col min="23" max="23" width="15.33203125" style="4" bestFit="1" customWidth="1"/>
    <col min="24" max="24" width="20.5546875" style="5" customWidth="1"/>
    <col min="25" max="25" width="14.44140625" style="4" customWidth="1"/>
    <col min="26" max="26" width="18.44140625" style="5" customWidth="1"/>
    <col min="27" max="27" width="13.77734375" style="4" customWidth="1"/>
    <col min="28" max="16384" width="8.88671875" style="4"/>
  </cols>
  <sheetData>
    <row r="1" spans="1:27" ht="31.8" customHeight="1" x14ac:dyDescent="0.3">
      <c r="A1" s="1" t="s">
        <v>386</v>
      </c>
      <c r="B1" s="1" t="s">
        <v>368</v>
      </c>
      <c r="C1" s="1" t="s">
        <v>286</v>
      </c>
      <c r="D1" s="22" t="s">
        <v>8</v>
      </c>
      <c r="E1" s="23" t="s">
        <v>7</v>
      </c>
      <c r="F1" s="24" t="s">
        <v>16</v>
      </c>
      <c r="G1" s="25" t="s">
        <v>7</v>
      </c>
      <c r="H1" s="26" t="s">
        <v>405</v>
      </c>
      <c r="I1" s="27" t="s">
        <v>7</v>
      </c>
      <c r="J1" s="28" t="s">
        <v>410</v>
      </c>
      <c r="K1" s="29" t="s">
        <v>370</v>
      </c>
      <c r="L1" s="30" t="s">
        <v>7</v>
      </c>
      <c r="M1" s="30" t="s">
        <v>371</v>
      </c>
      <c r="N1" s="29" t="s">
        <v>9</v>
      </c>
      <c r="O1" s="30" t="s">
        <v>7</v>
      </c>
      <c r="P1" s="107" t="s">
        <v>259</v>
      </c>
      <c r="Q1" s="108" t="s">
        <v>10</v>
      </c>
      <c r="R1" s="32" t="s">
        <v>7</v>
      </c>
      <c r="S1" s="31" t="s">
        <v>24</v>
      </c>
      <c r="T1" s="32" t="s">
        <v>7</v>
      </c>
      <c r="U1" s="106" t="s">
        <v>495</v>
      </c>
      <c r="V1" s="101" t="s">
        <v>13</v>
      </c>
      <c r="W1" s="33" t="s">
        <v>7</v>
      </c>
      <c r="X1" s="34" t="s">
        <v>494</v>
      </c>
      <c r="Y1" s="35" t="s">
        <v>7</v>
      </c>
      <c r="Z1" s="34" t="s">
        <v>559</v>
      </c>
      <c r="AA1" s="35" t="s">
        <v>7</v>
      </c>
    </row>
    <row r="2" spans="1:27" s="44" customFormat="1" ht="40.799999999999997" customHeight="1" x14ac:dyDescent="0.3">
      <c r="A2" s="43" t="s">
        <v>39</v>
      </c>
      <c r="B2" s="42">
        <v>2021</v>
      </c>
      <c r="C2" s="44" t="s">
        <v>298</v>
      </c>
      <c r="D2" s="45" t="s">
        <v>88</v>
      </c>
      <c r="E2" s="46" t="s">
        <v>11</v>
      </c>
      <c r="F2" s="37" t="s">
        <v>18</v>
      </c>
      <c r="G2" s="47" t="s">
        <v>34</v>
      </c>
      <c r="H2" s="40" t="s">
        <v>404</v>
      </c>
      <c r="I2" s="40" t="s">
        <v>11</v>
      </c>
      <c r="J2" s="48" t="s">
        <v>20</v>
      </c>
      <c r="K2" s="41" t="s">
        <v>141</v>
      </c>
      <c r="L2" s="49" t="s">
        <v>12</v>
      </c>
      <c r="M2" s="49" t="s">
        <v>431</v>
      </c>
      <c r="N2" s="41" t="s">
        <v>90</v>
      </c>
      <c r="O2" s="49" t="s">
        <v>11</v>
      </c>
      <c r="P2" s="50" t="s">
        <v>258</v>
      </c>
      <c r="Q2" s="51"/>
      <c r="R2" s="52" t="s">
        <v>28</v>
      </c>
      <c r="S2" s="51" t="s">
        <v>89</v>
      </c>
      <c r="T2" s="53" t="s">
        <v>11</v>
      </c>
      <c r="U2" s="96" t="s">
        <v>432</v>
      </c>
      <c r="V2" s="102" t="s">
        <v>255</v>
      </c>
      <c r="W2" s="54" t="s">
        <v>28</v>
      </c>
      <c r="X2" s="55" t="s">
        <v>191</v>
      </c>
      <c r="Y2" s="56" t="s">
        <v>11</v>
      </c>
      <c r="Z2" s="55" t="s">
        <v>296</v>
      </c>
      <c r="AA2" s="56" t="s">
        <v>11</v>
      </c>
    </row>
    <row r="3" spans="1:27" s="73" customFormat="1" ht="43.2" customHeight="1" x14ac:dyDescent="0.3">
      <c r="A3" s="38" t="s">
        <v>40</v>
      </c>
      <c r="B3" s="39">
        <v>2022</v>
      </c>
      <c r="C3" s="82" t="s">
        <v>311</v>
      </c>
      <c r="D3" s="59" t="s">
        <v>91</v>
      </c>
      <c r="E3" s="60" t="s">
        <v>11</v>
      </c>
      <c r="F3" s="61" t="s">
        <v>18</v>
      </c>
      <c r="G3" s="62" t="s">
        <v>34</v>
      </c>
      <c r="H3" s="63" t="s">
        <v>406</v>
      </c>
      <c r="I3" s="64" t="s">
        <v>11</v>
      </c>
      <c r="J3" s="65" t="s">
        <v>92</v>
      </c>
      <c r="K3" s="66" t="s">
        <v>411</v>
      </c>
      <c r="L3" s="67" t="s">
        <v>12</v>
      </c>
      <c r="M3" s="67" t="s">
        <v>433</v>
      </c>
      <c r="N3" s="66" t="s">
        <v>542</v>
      </c>
      <c r="O3" s="67" t="s">
        <v>11</v>
      </c>
      <c r="P3" s="61" t="s">
        <v>258</v>
      </c>
      <c r="Q3" s="68" t="s">
        <v>300</v>
      </c>
      <c r="R3" s="69" t="s">
        <v>11</v>
      </c>
      <c r="S3" s="68" t="s">
        <v>299</v>
      </c>
      <c r="T3" s="69" t="s">
        <v>11</v>
      </c>
      <c r="U3" s="97" t="s">
        <v>515</v>
      </c>
      <c r="V3" s="103" t="s">
        <v>255</v>
      </c>
      <c r="W3" s="54" t="s">
        <v>28</v>
      </c>
      <c r="X3" s="71" t="s">
        <v>184</v>
      </c>
      <c r="Y3" s="72" t="s">
        <v>11</v>
      </c>
      <c r="Z3" s="71" t="s">
        <v>210</v>
      </c>
      <c r="AA3" s="72" t="s">
        <v>11</v>
      </c>
    </row>
    <row r="4" spans="1:27" s="73" customFormat="1" ht="115.2" x14ac:dyDescent="0.3">
      <c r="A4" s="74" t="s">
        <v>41</v>
      </c>
      <c r="B4" s="39">
        <v>2018</v>
      </c>
      <c r="C4" s="73" t="s">
        <v>312</v>
      </c>
      <c r="D4" s="75" t="s">
        <v>255</v>
      </c>
      <c r="E4" s="76" t="s">
        <v>28</v>
      </c>
      <c r="F4" s="61" t="s">
        <v>18</v>
      </c>
      <c r="G4" s="62" t="s">
        <v>34</v>
      </c>
      <c r="H4" s="63" t="s">
        <v>94</v>
      </c>
      <c r="I4" s="64" t="s">
        <v>11</v>
      </c>
      <c r="J4" s="65" t="s">
        <v>19</v>
      </c>
      <c r="K4" s="66" t="s">
        <v>504</v>
      </c>
      <c r="L4" s="67" t="s">
        <v>12</v>
      </c>
      <c r="M4" s="17" t="s">
        <v>28</v>
      </c>
      <c r="N4" s="66" t="s">
        <v>541</v>
      </c>
      <c r="O4" s="67" t="s">
        <v>11</v>
      </c>
      <c r="P4" s="61" t="s">
        <v>258</v>
      </c>
      <c r="Q4" s="68" t="s">
        <v>345</v>
      </c>
      <c r="R4" s="69" t="s">
        <v>11</v>
      </c>
      <c r="S4" s="68" t="s">
        <v>301</v>
      </c>
      <c r="T4" s="69" t="s">
        <v>11</v>
      </c>
      <c r="U4" s="97" t="s">
        <v>434</v>
      </c>
      <c r="V4" s="103" t="s">
        <v>255</v>
      </c>
      <c r="W4" s="54" t="s">
        <v>28</v>
      </c>
      <c r="X4" s="71" t="s">
        <v>185</v>
      </c>
      <c r="Y4" s="72" t="s">
        <v>11</v>
      </c>
      <c r="Z4" s="71" t="s">
        <v>211</v>
      </c>
      <c r="AA4" s="72" t="s">
        <v>11</v>
      </c>
    </row>
    <row r="5" spans="1:27" s="73" customFormat="1" ht="112.2" customHeight="1" x14ac:dyDescent="0.3">
      <c r="A5" s="74" t="s">
        <v>42</v>
      </c>
      <c r="B5" s="39">
        <v>2019</v>
      </c>
      <c r="C5" s="73" t="s">
        <v>313</v>
      </c>
      <c r="D5" s="75" t="s">
        <v>93</v>
      </c>
      <c r="E5" s="60" t="s">
        <v>11</v>
      </c>
      <c r="F5" s="61" t="s">
        <v>18</v>
      </c>
      <c r="G5" s="62" t="s">
        <v>34</v>
      </c>
      <c r="H5" s="63" t="s">
        <v>407</v>
      </c>
      <c r="I5" s="64" t="s">
        <v>11</v>
      </c>
      <c r="J5" s="65" t="s">
        <v>19</v>
      </c>
      <c r="K5" s="66" t="s">
        <v>412</v>
      </c>
      <c r="L5" s="67" t="s">
        <v>12</v>
      </c>
      <c r="M5" s="17" t="s">
        <v>28</v>
      </c>
      <c r="N5" s="66" t="s">
        <v>540</v>
      </c>
      <c r="O5" s="67" t="s">
        <v>11</v>
      </c>
      <c r="P5" s="61" t="s">
        <v>264</v>
      </c>
      <c r="Q5" s="68" t="s">
        <v>427</v>
      </c>
      <c r="R5" s="69" t="s">
        <v>11</v>
      </c>
      <c r="S5" s="68" t="s">
        <v>302</v>
      </c>
      <c r="T5" s="69" t="s">
        <v>11</v>
      </c>
      <c r="U5" s="97" t="s">
        <v>435</v>
      </c>
      <c r="V5" s="103" t="s">
        <v>255</v>
      </c>
      <c r="W5" s="54" t="s">
        <v>28</v>
      </c>
      <c r="X5" s="71" t="s">
        <v>190</v>
      </c>
      <c r="Y5" s="72" t="s">
        <v>11</v>
      </c>
      <c r="Z5" s="71" t="s">
        <v>212</v>
      </c>
      <c r="AA5" s="72" t="s">
        <v>11</v>
      </c>
    </row>
    <row r="6" spans="1:27" s="73" customFormat="1" ht="46.2" customHeight="1" x14ac:dyDescent="0.3">
      <c r="A6" s="74" t="s">
        <v>377</v>
      </c>
      <c r="B6" s="39">
        <v>2020</v>
      </c>
      <c r="C6" s="73" t="s">
        <v>314</v>
      </c>
      <c r="D6" s="75" t="s">
        <v>400</v>
      </c>
      <c r="E6" s="60" t="s">
        <v>11</v>
      </c>
      <c r="F6" s="61" t="s">
        <v>18</v>
      </c>
      <c r="G6" s="78" t="s">
        <v>32</v>
      </c>
      <c r="H6" s="63" t="s">
        <v>23</v>
      </c>
      <c r="I6" s="63" t="s">
        <v>11</v>
      </c>
      <c r="J6" s="65" t="s">
        <v>19</v>
      </c>
      <c r="K6" s="66" t="s">
        <v>505</v>
      </c>
      <c r="L6" s="67" t="s">
        <v>12</v>
      </c>
      <c r="M6" s="67" t="s">
        <v>436</v>
      </c>
      <c r="N6" s="66" t="s">
        <v>543</v>
      </c>
      <c r="O6" s="67" t="s">
        <v>11</v>
      </c>
      <c r="P6" s="61" t="s">
        <v>29</v>
      </c>
      <c r="Q6" s="68" t="s">
        <v>305</v>
      </c>
      <c r="R6" s="69" t="s">
        <v>11</v>
      </c>
      <c r="S6" s="68" t="s">
        <v>77</v>
      </c>
      <c r="T6" s="69" t="s">
        <v>11</v>
      </c>
      <c r="U6" s="97" t="s">
        <v>179</v>
      </c>
      <c r="V6" s="103" t="s">
        <v>255</v>
      </c>
      <c r="W6" s="54" t="s">
        <v>28</v>
      </c>
      <c r="X6" s="71" t="s">
        <v>573</v>
      </c>
      <c r="Y6" s="72" t="s">
        <v>11</v>
      </c>
      <c r="Z6" s="71"/>
      <c r="AA6" s="105" t="s">
        <v>28</v>
      </c>
    </row>
    <row r="7" spans="1:27" s="73" customFormat="1" ht="36.6" customHeight="1" x14ac:dyDescent="0.3">
      <c r="A7" s="74" t="s">
        <v>43</v>
      </c>
      <c r="B7" s="39">
        <v>2019</v>
      </c>
      <c r="C7" s="73" t="s">
        <v>315</v>
      </c>
      <c r="D7" s="75" t="s">
        <v>95</v>
      </c>
      <c r="E7" s="60" t="s">
        <v>11</v>
      </c>
      <c r="F7" s="61" t="s">
        <v>18</v>
      </c>
      <c r="G7" s="62" t="s">
        <v>34</v>
      </c>
      <c r="H7" s="63" t="s">
        <v>131</v>
      </c>
      <c r="I7" s="64" t="s">
        <v>11</v>
      </c>
      <c r="J7" s="65" t="s">
        <v>19</v>
      </c>
      <c r="K7" s="66" t="s">
        <v>413</v>
      </c>
      <c r="L7" s="67" t="s">
        <v>12</v>
      </c>
      <c r="M7" s="17" t="s">
        <v>28</v>
      </c>
      <c r="N7" s="66"/>
      <c r="O7" s="77" t="s">
        <v>28</v>
      </c>
      <c r="P7" s="61" t="s">
        <v>258</v>
      </c>
      <c r="Q7" s="68" t="s">
        <v>428</v>
      </c>
      <c r="R7" s="69" t="s">
        <v>32</v>
      </c>
      <c r="S7" s="68" t="s">
        <v>303</v>
      </c>
      <c r="T7" s="69" t="s">
        <v>11</v>
      </c>
      <c r="U7" s="97" t="s">
        <v>437</v>
      </c>
      <c r="V7" s="103" t="s">
        <v>255</v>
      </c>
      <c r="W7" s="54" t="s">
        <v>28</v>
      </c>
      <c r="X7" s="71" t="s">
        <v>189</v>
      </c>
      <c r="Y7" s="72" t="s">
        <v>11</v>
      </c>
      <c r="Z7" s="71" t="s">
        <v>213</v>
      </c>
      <c r="AA7" s="72" t="s">
        <v>11</v>
      </c>
    </row>
    <row r="8" spans="1:27" s="73" customFormat="1" ht="27" customHeight="1" x14ac:dyDescent="0.3">
      <c r="A8" s="74" t="s">
        <v>44</v>
      </c>
      <c r="B8" s="39">
        <v>2019</v>
      </c>
      <c r="C8" s="73" t="s">
        <v>316</v>
      </c>
      <c r="D8" s="75" t="s">
        <v>490</v>
      </c>
      <c r="E8" s="76" t="s">
        <v>28</v>
      </c>
      <c r="F8" s="61" t="s">
        <v>18</v>
      </c>
      <c r="G8" s="62" t="s">
        <v>34</v>
      </c>
      <c r="H8" s="63" t="s">
        <v>23</v>
      </c>
      <c r="I8" s="64" t="s">
        <v>11</v>
      </c>
      <c r="J8" s="65" t="s">
        <v>19</v>
      </c>
      <c r="K8" s="66"/>
      <c r="L8" s="17" t="s">
        <v>28</v>
      </c>
      <c r="M8" s="67" t="s">
        <v>438</v>
      </c>
      <c r="N8" s="66" t="s">
        <v>149</v>
      </c>
      <c r="O8" s="67" t="s">
        <v>11</v>
      </c>
      <c r="P8" s="61" t="s">
        <v>260</v>
      </c>
      <c r="Q8" s="68" t="s">
        <v>346</v>
      </c>
      <c r="R8" s="69" t="s">
        <v>32</v>
      </c>
      <c r="S8" s="68" t="s">
        <v>304</v>
      </c>
      <c r="T8" s="69" t="s">
        <v>11</v>
      </c>
      <c r="U8" s="98" t="s">
        <v>439</v>
      </c>
      <c r="V8" s="103"/>
      <c r="W8" s="54" t="s">
        <v>28</v>
      </c>
      <c r="X8" s="71" t="s">
        <v>186</v>
      </c>
      <c r="Y8" s="72" t="s">
        <v>11</v>
      </c>
      <c r="Z8" s="71" t="s">
        <v>214</v>
      </c>
      <c r="AA8" s="72" t="s">
        <v>11</v>
      </c>
    </row>
    <row r="9" spans="1:27" s="73" customFormat="1" ht="144" x14ac:dyDescent="0.3">
      <c r="A9" s="74" t="s">
        <v>45</v>
      </c>
      <c r="B9" s="39">
        <v>2021</v>
      </c>
      <c r="C9" s="73" t="s">
        <v>317</v>
      </c>
      <c r="D9" s="75" t="s">
        <v>255</v>
      </c>
      <c r="E9" s="76" t="s">
        <v>28</v>
      </c>
      <c r="F9" s="61" t="s">
        <v>18</v>
      </c>
      <c r="G9" s="62" t="s">
        <v>34</v>
      </c>
      <c r="H9" s="63" t="s">
        <v>408</v>
      </c>
      <c r="I9" s="64" t="s">
        <v>11</v>
      </c>
      <c r="J9" s="65" t="s">
        <v>19</v>
      </c>
      <c r="K9" s="66" t="s">
        <v>506</v>
      </c>
      <c r="L9" s="67" t="s">
        <v>12</v>
      </c>
      <c r="M9" s="67" t="s">
        <v>538</v>
      </c>
      <c r="N9" s="66" t="s">
        <v>551</v>
      </c>
      <c r="O9" s="67" t="s">
        <v>11</v>
      </c>
      <c r="P9" s="61" t="s">
        <v>261</v>
      </c>
      <c r="Q9" s="68" t="s">
        <v>306</v>
      </c>
      <c r="R9" s="69" t="s">
        <v>32</v>
      </c>
      <c r="S9" s="68" t="s">
        <v>97</v>
      </c>
      <c r="T9" s="69" t="s">
        <v>11</v>
      </c>
      <c r="U9" s="97" t="s">
        <v>440</v>
      </c>
      <c r="V9" s="103" t="s">
        <v>255</v>
      </c>
      <c r="W9" s="54" t="s">
        <v>28</v>
      </c>
      <c r="X9" s="71" t="s">
        <v>262</v>
      </c>
      <c r="Y9" s="72" t="s">
        <v>11</v>
      </c>
      <c r="Z9" s="71" t="s">
        <v>215</v>
      </c>
      <c r="AA9" s="72" t="s">
        <v>11</v>
      </c>
    </row>
    <row r="10" spans="1:27" s="73" customFormat="1" ht="100.8" x14ac:dyDescent="0.3">
      <c r="A10" s="74" t="s">
        <v>46</v>
      </c>
      <c r="B10" s="39">
        <v>2021</v>
      </c>
      <c r="C10" s="73" t="s">
        <v>318</v>
      </c>
      <c r="D10" s="75" t="s">
        <v>98</v>
      </c>
      <c r="E10" s="60" t="s">
        <v>11</v>
      </c>
      <c r="F10" s="61" t="s">
        <v>18</v>
      </c>
      <c r="G10" s="62" t="s">
        <v>34</v>
      </c>
      <c r="H10" s="63" t="s">
        <v>23</v>
      </c>
      <c r="I10" s="64" t="s">
        <v>11</v>
      </c>
      <c r="J10" s="65" t="s">
        <v>19</v>
      </c>
      <c r="K10" s="66"/>
      <c r="L10" s="17" t="s">
        <v>28</v>
      </c>
      <c r="M10" s="67" t="s">
        <v>441</v>
      </c>
      <c r="N10" s="66" t="s">
        <v>544</v>
      </c>
      <c r="O10" s="67" t="s">
        <v>11</v>
      </c>
      <c r="P10" s="61" t="s">
        <v>263</v>
      </c>
      <c r="Q10" s="68" t="s">
        <v>99</v>
      </c>
      <c r="R10" s="69" t="s">
        <v>11</v>
      </c>
      <c r="S10" s="68" t="s">
        <v>297</v>
      </c>
      <c r="T10" s="69" t="s">
        <v>11</v>
      </c>
      <c r="U10" s="97" t="s">
        <v>442</v>
      </c>
      <c r="V10" s="103" t="s">
        <v>255</v>
      </c>
      <c r="W10" s="54" t="s">
        <v>28</v>
      </c>
      <c r="X10" s="71" t="s">
        <v>187</v>
      </c>
      <c r="Y10" s="72" t="s">
        <v>11</v>
      </c>
      <c r="Z10" s="71" t="s">
        <v>216</v>
      </c>
      <c r="AA10" s="72" t="s">
        <v>11</v>
      </c>
    </row>
    <row r="11" spans="1:27" s="73" customFormat="1" ht="58.8" customHeight="1" x14ac:dyDescent="0.3">
      <c r="A11" s="74" t="s">
        <v>3</v>
      </c>
      <c r="B11" s="39">
        <v>2020</v>
      </c>
      <c r="C11" s="73" t="s">
        <v>387</v>
      </c>
      <c r="D11" s="75" t="s">
        <v>78</v>
      </c>
      <c r="E11" s="60" t="s">
        <v>11</v>
      </c>
      <c r="F11" s="61" t="s">
        <v>18</v>
      </c>
      <c r="G11" s="78" t="s">
        <v>32</v>
      </c>
      <c r="H11" s="63" t="s">
        <v>127</v>
      </c>
      <c r="I11" s="63" t="s">
        <v>11</v>
      </c>
      <c r="J11" s="65" t="s">
        <v>19</v>
      </c>
      <c r="K11" s="66" t="s">
        <v>507</v>
      </c>
      <c r="L11" s="67" t="s">
        <v>12</v>
      </c>
      <c r="M11" s="67" t="s">
        <v>493</v>
      </c>
      <c r="N11" s="66" t="s">
        <v>545</v>
      </c>
      <c r="O11" s="67" t="s">
        <v>11</v>
      </c>
      <c r="P11" s="61" t="s">
        <v>258</v>
      </c>
      <c r="Q11" s="68" t="s">
        <v>29</v>
      </c>
      <c r="R11" s="69" t="s">
        <v>11</v>
      </c>
      <c r="S11" s="68" t="s">
        <v>79</v>
      </c>
      <c r="T11" s="69" t="s">
        <v>11</v>
      </c>
      <c r="U11" s="97" t="s">
        <v>443</v>
      </c>
      <c r="V11" s="103" t="s">
        <v>255</v>
      </c>
      <c r="W11" s="54" t="s">
        <v>28</v>
      </c>
      <c r="X11" s="71" t="s">
        <v>80</v>
      </c>
      <c r="Y11" s="72" t="s">
        <v>11</v>
      </c>
      <c r="Z11" s="71" t="s">
        <v>81</v>
      </c>
      <c r="AA11" s="72" t="s">
        <v>11</v>
      </c>
    </row>
    <row r="12" spans="1:27" s="73" customFormat="1" ht="17.399999999999999" customHeight="1" x14ac:dyDescent="0.3">
      <c r="A12" s="74" t="s">
        <v>47</v>
      </c>
      <c r="B12" s="39">
        <v>2022</v>
      </c>
      <c r="C12" s="73" t="s">
        <v>319</v>
      </c>
      <c r="D12" s="75" t="s">
        <v>100</v>
      </c>
      <c r="E12" s="60" t="s">
        <v>11</v>
      </c>
      <c r="F12" s="61" t="s">
        <v>18</v>
      </c>
      <c r="G12" s="62" t="s">
        <v>34</v>
      </c>
      <c r="H12" s="63" t="s">
        <v>132</v>
      </c>
      <c r="I12" s="64" t="s">
        <v>11</v>
      </c>
      <c r="J12" s="65" t="s">
        <v>19</v>
      </c>
      <c r="K12" s="66" t="s">
        <v>142</v>
      </c>
      <c r="L12" s="67"/>
      <c r="M12" s="77" t="s">
        <v>28</v>
      </c>
      <c r="N12" s="66" t="s">
        <v>148</v>
      </c>
      <c r="O12" s="67" t="s">
        <v>11</v>
      </c>
      <c r="P12" s="61" t="s">
        <v>261</v>
      </c>
      <c r="Q12" s="68" t="s">
        <v>570</v>
      </c>
      <c r="R12" s="69" t="s">
        <v>11</v>
      </c>
      <c r="S12" s="68" t="s">
        <v>307</v>
      </c>
      <c r="T12" s="69" t="s">
        <v>11</v>
      </c>
      <c r="U12" s="98" t="s">
        <v>444</v>
      </c>
      <c r="V12" s="103"/>
      <c r="W12" s="54" t="s">
        <v>28</v>
      </c>
      <c r="X12" s="71" t="s">
        <v>188</v>
      </c>
      <c r="Y12" s="72" t="s">
        <v>11</v>
      </c>
      <c r="Z12" s="71" t="s">
        <v>217</v>
      </c>
      <c r="AA12" s="72" t="s">
        <v>11</v>
      </c>
    </row>
    <row r="13" spans="1:27" s="73" customFormat="1" ht="144" x14ac:dyDescent="0.3">
      <c r="A13" s="74" t="s">
        <v>497</v>
      </c>
      <c r="B13" s="39">
        <v>2019</v>
      </c>
      <c r="C13" s="73" t="s">
        <v>320</v>
      </c>
      <c r="D13" s="75" t="s">
        <v>556</v>
      </c>
      <c r="E13" s="60" t="s">
        <v>11</v>
      </c>
      <c r="F13" s="61" t="s">
        <v>18</v>
      </c>
      <c r="G13" s="62" t="s">
        <v>34</v>
      </c>
      <c r="H13" s="63" t="s">
        <v>133</v>
      </c>
      <c r="I13" s="64" t="s">
        <v>11</v>
      </c>
      <c r="J13" s="65" t="s">
        <v>96</v>
      </c>
      <c r="K13" s="66" t="s">
        <v>414</v>
      </c>
      <c r="L13" s="67" t="s">
        <v>12</v>
      </c>
      <c r="M13" s="67" t="s">
        <v>445</v>
      </c>
      <c r="N13" s="66" t="s">
        <v>101</v>
      </c>
      <c r="O13" s="67" t="s">
        <v>11</v>
      </c>
      <c r="P13" s="61" t="s">
        <v>261</v>
      </c>
      <c r="Q13" s="68" t="s">
        <v>309</v>
      </c>
      <c r="R13" s="69" t="s">
        <v>11</v>
      </c>
      <c r="S13" s="68" t="s">
        <v>308</v>
      </c>
      <c r="T13" s="69" t="s">
        <v>11</v>
      </c>
      <c r="U13" s="97" t="s">
        <v>446</v>
      </c>
      <c r="V13" s="103" t="s">
        <v>255</v>
      </c>
      <c r="W13" s="54" t="s">
        <v>28</v>
      </c>
      <c r="X13" s="71" t="s">
        <v>192</v>
      </c>
      <c r="Y13" s="72" t="s">
        <v>11</v>
      </c>
      <c r="Z13" s="71" t="s">
        <v>218</v>
      </c>
      <c r="AA13" s="72" t="s">
        <v>11</v>
      </c>
    </row>
    <row r="14" spans="1:27" s="73" customFormat="1" ht="87.6" customHeight="1" x14ac:dyDescent="0.3">
      <c r="A14" s="74" t="s">
        <v>102</v>
      </c>
      <c r="B14" s="39">
        <v>2021</v>
      </c>
      <c r="C14" s="73" t="s">
        <v>321</v>
      </c>
      <c r="D14" s="75" t="s">
        <v>103</v>
      </c>
      <c r="E14" s="60" t="s">
        <v>11</v>
      </c>
      <c r="F14" s="61" t="s">
        <v>18</v>
      </c>
      <c r="G14" s="62" t="s">
        <v>34</v>
      </c>
      <c r="H14" s="63" t="s">
        <v>104</v>
      </c>
      <c r="I14" s="64" t="s">
        <v>11</v>
      </c>
      <c r="J14" s="65" t="s">
        <v>20</v>
      </c>
      <c r="K14" s="66" t="s">
        <v>105</v>
      </c>
      <c r="L14" s="67" t="s">
        <v>12</v>
      </c>
      <c r="M14" s="67" t="s">
        <v>447</v>
      </c>
      <c r="N14" s="66" t="s">
        <v>150</v>
      </c>
      <c r="O14" s="77" t="s">
        <v>28</v>
      </c>
      <c r="P14" s="61" t="s">
        <v>265</v>
      </c>
      <c r="Q14" s="68" t="s">
        <v>151</v>
      </c>
      <c r="R14" s="69" t="s">
        <v>11</v>
      </c>
      <c r="S14" s="68" t="s">
        <v>106</v>
      </c>
      <c r="T14" s="69" t="s">
        <v>11</v>
      </c>
      <c r="U14" s="97" t="s">
        <v>448</v>
      </c>
      <c r="V14" s="103" t="s">
        <v>107</v>
      </c>
      <c r="W14" s="79" t="s">
        <v>11</v>
      </c>
      <c r="X14" s="71" t="s">
        <v>193</v>
      </c>
      <c r="Y14" s="72" t="s">
        <v>11</v>
      </c>
      <c r="Z14" s="71"/>
      <c r="AA14" s="105" t="s">
        <v>28</v>
      </c>
    </row>
    <row r="15" spans="1:27" s="73" customFormat="1" ht="61.2" customHeight="1" x14ac:dyDescent="0.3">
      <c r="A15" s="74" t="s">
        <v>110</v>
      </c>
      <c r="B15" s="39">
        <v>2023</v>
      </c>
      <c r="C15" s="73" t="s">
        <v>322</v>
      </c>
      <c r="D15" s="75" t="s">
        <v>401</v>
      </c>
      <c r="E15" s="60" t="s">
        <v>11</v>
      </c>
      <c r="F15" s="61" t="s">
        <v>18</v>
      </c>
      <c r="G15" s="62" t="s">
        <v>34</v>
      </c>
      <c r="H15" s="63" t="s">
        <v>23</v>
      </c>
      <c r="I15" s="64" t="s">
        <v>11</v>
      </c>
      <c r="J15" s="65" t="s">
        <v>19</v>
      </c>
      <c r="K15" s="66"/>
      <c r="L15" s="17" t="s">
        <v>28</v>
      </c>
      <c r="M15" s="67" t="s">
        <v>539</v>
      </c>
      <c r="N15" s="80" t="s">
        <v>425</v>
      </c>
      <c r="O15" s="67"/>
      <c r="P15" s="61" t="s">
        <v>277</v>
      </c>
      <c r="Q15" s="68" t="s">
        <v>29</v>
      </c>
      <c r="R15" s="69" t="s">
        <v>11</v>
      </c>
      <c r="S15" s="68" t="s">
        <v>108</v>
      </c>
      <c r="T15" s="69" t="s">
        <v>11</v>
      </c>
      <c r="U15" s="97" t="s">
        <v>449</v>
      </c>
      <c r="V15" s="103" t="s">
        <v>255</v>
      </c>
      <c r="W15" s="54" t="s">
        <v>28</v>
      </c>
      <c r="X15" s="71" t="s">
        <v>109</v>
      </c>
      <c r="Y15" s="72" t="s">
        <v>11</v>
      </c>
      <c r="Z15" s="81"/>
      <c r="AA15" s="105" t="s">
        <v>28</v>
      </c>
    </row>
    <row r="16" spans="1:27" s="73" customFormat="1" ht="86.4" customHeight="1" x14ac:dyDescent="0.3">
      <c r="A16" s="74" t="s">
        <v>6</v>
      </c>
      <c r="B16" s="39">
        <v>2020</v>
      </c>
      <c r="C16" s="82" t="s">
        <v>534</v>
      </c>
      <c r="D16" s="59" t="s">
        <v>88</v>
      </c>
      <c r="E16" s="60" t="s">
        <v>11</v>
      </c>
      <c r="F16" s="61" t="s">
        <v>17</v>
      </c>
      <c r="G16" s="78" t="s">
        <v>32</v>
      </c>
      <c r="H16" s="63" t="s">
        <v>130</v>
      </c>
      <c r="I16" s="63" t="s">
        <v>11</v>
      </c>
      <c r="J16" s="65" t="s">
        <v>19</v>
      </c>
      <c r="K16" s="66" t="s">
        <v>37</v>
      </c>
      <c r="L16" s="67" t="s">
        <v>12</v>
      </c>
      <c r="M16" s="67" t="s">
        <v>450</v>
      </c>
      <c r="N16" s="80" t="s">
        <v>28</v>
      </c>
      <c r="O16" s="77" t="s">
        <v>28</v>
      </c>
      <c r="P16" s="61" t="s">
        <v>266</v>
      </c>
      <c r="Q16" s="68" t="s">
        <v>255</v>
      </c>
      <c r="R16" s="52" t="s">
        <v>28</v>
      </c>
      <c r="S16" s="68" t="s">
        <v>347</v>
      </c>
      <c r="T16" s="69" t="s">
        <v>11</v>
      </c>
      <c r="U16" s="98" t="s">
        <v>430</v>
      </c>
      <c r="V16" s="103" t="s">
        <v>15</v>
      </c>
      <c r="W16" s="79" t="s">
        <v>11</v>
      </c>
      <c r="X16" s="71" t="s">
        <v>83</v>
      </c>
      <c r="Y16" s="72" t="s">
        <v>11</v>
      </c>
      <c r="Z16" s="71" t="s">
        <v>209</v>
      </c>
      <c r="AA16" s="72" t="s">
        <v>11</v>
      </c>
    </row>
    <row r="17" spans="1:27" s="73" customFormat="1" ht="72" x14ac:dyDescent="0.3">
      <c r="A17" s="74" t="s">
        <v>496</v>
      </c>
      <c r="B17" s="39">
        <v>2021</v>
      </c>
      <c r="C17" s="73" t="s">
        <v>323</v>
      </c>
      <c r="D17" s="75" t="s">
        <v>111</v>
      </c>
      <c r="E17" s="60" t="s">
        <v>11</v>
      </c>
      <c r="F17" s="61" t="s">
        <v>18</v>
      </c>
      <c r="G17" s="62" t="s">
        <v>34</v>
      </c>
      <c r="H17" s="63" t="s">
        <v>112</v>
      </c>
      <c r="I17" s="64" t="s">
        <v>11</v>
      </c>
      <c r="J17" s="65" t="s">
        <v>19</v>
      </c>
      <c r="K17" s="66" t="s">
        <v>508</v>
      </c>
      <c r="L17" s="67" t="s">
        <v>12</v>
      </c>
      <c r="M17" s="77" t="s">
        <v>28</v>
      </c>
      <c r="N17" s="66" t="s">
        <v>547</v>
      </c>
      <c r="O17" s="67" t="s">
        <v>11</v>
      </c>
      <c r="P17" s="61" t="s">
        <v>267</v>
      </c>
      <c r="Q17" s="68" t="s">
        <v>255</v>
      </c>
      <c r="R17" s="52" t="s">
        <v>28</v>
      </c>
      <c r="S17" s="68" t="s">
        <v>113</v>
      </c>
      <c r="T17" s="69" t="s">
        <v>11</v>
      </c>
      <c r="U17" s="97" t="s">
        <v>451</v>
      </c>
      <c r="V17" s="103" t="s">
        <v>255</v>
      </c>
      <c r="W17" s="54" t="s">
        <v>28</v>
      </c>
      <c r="X17" s="71" t="s">
        <v>194</v>
      </c>
      <c r="Y17" s="72" t="s">
        <v>11</v>
      </c>
      <c r="Z17" s="71" t="s">
        <v>219</v>
      </c>
      <c r="AA17" s="72" t="s">
        <v>11</v>
      </c>
    </row>
    <row r="18" spans="1:27" s="73" customFormat="1" ht="52.2" customHeight="1" x14ac:dyDescent="0.3">
      <c r="A18" s="74" t="s">
        <v>48</v>
      </c>
      <c r="B18" s="39">
        <v>2020</v>
      </c>
      <c r="C18" s="73" t="s">
        <v>388</v>
      </c>
      <c r="D18" s="75" t="s">
        <v>392</v>
      </c>
      <c r="E18" s="60" t="s">
        <v>32</v>
      </c>
      <c r="F18" s="61" t="s">
        <v>18</v>
      </c>
      <c r="G18" s="62" t="s">
        <v>34</v>
      </c>
      <c r="H18" s="63" t="s">
        <v>65</v>
      </c>
      <c r="I18" s="64" t="s">
        <v>32</v>
      </c>
      <c r="J18" s="65" t="s">
        <v>19</v>
      </c>
      <c r="K18" s="66" t="s">
        <v>560</v>
      </c>
      <c r="L18" s="67" t="s">
        <v>66</v>
      </c>
      <c r="M18" s="77" t="s">
        <v>28</v>
      </c>
      <c r="N18" s="66" t="s">
        <v>546</v>
      </c>
      <c r="O18" s="67" t="s">
        <v>32</v>
      </c>
      <c r="P18" s="61" t="s">
        <v>261</v>
      </c>
      <c r="Q18" s="68" t="s">
        <v>29</v>
      </c>
      <c r="R18" s="69" t="s">
        <v>32</v>
      </c>
      <c r="S18" s="68" t="s">
        <v>67</v>
      </c>
      <c r="T18" s="69" t="s">
        <v>32</v>
      </c>
      <c r="U18" s="97" t="s">
        <v>452</v>
      </c>
      <c r="V18" s="103" t="s">
        <v>255</v>
      </c>
      <c r="W18" s="54" t="s">
        <v>28</v>
      </c>
      <c r="X18" s="71" t="s">
        <v>184</v>
      </c>
      <c r="Y18" s="72" t="s">
        <v>32</v>
      </c>
      <c r="Z18" s="71" t="s">
        <v>220</v>
      </c>
      <c r="AA18" s="72" t="s">
        <v>32</v>
      </c>
    </row>
    <row r="19" spans="1:27" s="73" customFormat="1" ht="49.8" customHeight="1" x14ac:dyDescent="0.3">
      <c r="A19" s="74" t="s">
        <v>2</v>
      </c>
      <c r="B19" s="39">
        <v>2020</v>
      </c>
      <c r="C19" s="73" t="s">
        <v>389</v>
      </c>
      <c r="D19" s="75" t="s">
        <v>393</v>
      </c>
      <c r="E19" s="60" t="s">
        <v>11</v>
      </c>
      <c r="F19" s="61" t="s">
        <v>17</v>
      </c>
      <c r="G19" s="78" t="s">
        <v>32</v>
      </c>
      <c r="H19" s="63" t="s">
        <v>21</v>
      </c>
      <c r="I19" s="63" t="s">
        <v>32</v>
      </c>
      <c r="J19" s="65" t="s">
        <v>19</v>
      </c>
      <c r="K19" s="80" t="s">
        <v>295</v>
      </c>
      <c r="L19" s="17" t="s">
        <v>28</v>
      </c>
      <c r="M19" s="67" t="s">
        <v>453</v>
      </c>
      <c r="N19" s="84" t="s">
        <v>27</v>
      </c>
      <c r="O19" s="67" t="s">
        <v>11</v>
      </c>
      <c r="P19" s="61" t="s">
        <v>268</v>
      </c>
      <c r="Q19" s="68" t="s">
        <v>349</v>
      </c>
      <c r="R19" s="68" t="s">
        <v>11</v>
      </c>
      <c r="S19" s="85" t="s">
        <v>84</v>
      </c>
      <c r="T19" s="69" t="s">
        <v>11</v>
      </c>
      <c r="U19" s="97" t="s">
        <v>454</v>
      </c>
      <c r="V19" s="103" t="s">
        <v>255</v>
      </c>
      <c r="W19" s="54" t="s">
        <v>28</v>
      </c>
      <c r="X19" s="71" t="s">
        <v>181</v>
      </c>
      <c r="Y19" s="72" t="s">
        <v>11</v>
      </c>
      <c r="Z19" s="71" t="s">
        <v>75</v>
      </c>
      <c r="AA19" s="72" t="s">
        <v>11</v>
      </c>
    </row>
    <row r="20" spans="1:27" s="73" customFormat="1" ht="53.4" customHeight="1" x14ac:dyDescent="0.3">
      <c r="A20" s="74" t="s">
        <v>49</v>
      </c>
      <c r="B20" s="39">
        <v>2021</v>
      </c>
      <c r="C20" s="73" t="s">
        <v>324</v>
      </c>
      <c r="D20" s="75" t="s">
        <v>255</v>
      </c>
      <c r="E20" s="76" t="s">
        <v>28</v>
      </c>
      <c r="F20" s="61" t="s">
        <v>18</v>
      </c>
      <c r="G20" s="62" t="s">
        <v>34</v>
      </c>
      <c r="H20" s="63" t="s">
        <v>502</v>
      </c>
      <c r="I20" s="64" t="s">
        <v>32</v>
      </c>
      <c r="J20" s="65" t="s">
        <v>19</v>
      </c>
      <c r="K20" s="66"/>
      <c r="L20" s="17" t="s">
        <v>28</v>
      </c>
      <c r="M20" s="77" t="s">
        <v>28</v>
      </c>
      <c r="N20" s="66" t="s">
        <v>114</v>
      </c>
      <c r="O20" s="67" t="s">
        <v>32</v>
      </c>
      <c r="P20" s="61" t="s">
        <v>261</v>
      </c>
      <c r="Q20" s="68" t="s">
        <v>25</v>
      </c>
      <c r="R20" s="69" t="s">
        <v>11</v>
      </c>
      <c r="S20" s="68" t="s">
        <v>115</v>
      </c>
      <c r="T20" s="69" t="s">
        <v>32</v>
      </c>
      <c r="U20" s="97" t="s">
        <v>574</v>
      </c>
      <c r="V20" s="103" t="s">
        <v>255</v>
      </c>
      <c r="W20" s="54" t="s">
        <v>28</v>
      </c>
      <c r="X20" s="71" t="s">
        <v>195</v>
      </c>
      <c r="Y20" s="72" t="s">
        <v>32</v>
      </c>
      <c r="Z20" s="71" t="s">
        <v>221</v>
      </c>
      <c r="AA20" s="72" t="s">
        <v>32</v>
      </c>
    </row>
    <row r="21" spans="1:27" s="73" customFormat="1" ht="60.6" customHeight="1" x14ac:dyDescent="0.3">
      <c r="A21" s="74" t="s">
        <v>50</v>
      </c>
      <c r="B21" s="39">
        <v>2022</v>
      </c>
      <c r="C21" s="73" t="s">
        <v>325</v>
      </c>
      <c r="D21" s="75" t="s">
        <v>498</v>
      </c>
      <c r="E21" s="60" t="s">
        <v>32</v>
      </c>
      <c r="F21" s="61" t="s">
        <v>18</v>
      </c>
      <c r="G21" s="62" t="s">
        <v>34</v>
      </c>
      <c r="H21" s="63" t="s">
        <v>134</v>
      </c>
      <c r="I21" s="64" t="s">
        <v>32</v>
      </c>
      <c r="J21" s="65" t="s">
        <v>19</v>
      </c>
      <c r="K21" s="66" t="s">
        <v>509</v>
      </c>
      <c r="L21" s="67" t="s">
        <v>32</v>
      </c>
      <c r="M21" s="67" t="s">
        <v>561</v>
      </c>
      <c r="N21" s="66" t="s">
        <v>147</v>
      </c>
      <c r="O21" s="67" t="s">
        <v>32</v>
      </c>
      <c r="P21" s="61" t="s">
        <v>269</v>
      </c>
      <c r="Q21" s="68" t="s">
        <v>350</v>
      </c>
      <c r="R21" s="69" t="s">
        <v>11</v>
      </c>
      <c r="S21" s="68" t="s">
        <v>116</v>
      </c>
      <c r="T21" s="69" t="s">
        <v>32</v>
      </c>
      <c r="U21" s="97" t="s">
        <v>575</v>
      </c>
      <c r="V21" s="103" t="s">
        <v>255</v>
      </c>
      <c r="W21" s="54" t="s">
        <v>28</v>
      </c>
      <c r="X21" s="71" t="s">
        <v>196</v>
      </c>
      <c r="Y21" s="72" t="s">
        <v>32</v>
      </c>
      <c r="Z21" s="71" t="s">
        <v>222</v>
      </c>
      <c r="AA21" s="72" t="s">
        <v>32</v>
      </c>
    </row>
    <row r="22" spans="1:27" s="73" customFormat="1" ht="48" customHeight="1" x14ac:dyDescent="0.3">
      <c r="A22" s="86" t="s">
        <v>51</v>
      </c>
      <c r="B22" s="87">
        <v>2019</v>
      </c>
      <c r="C22" s="88" t="s">
        <v>326</v>
      </c>
      <c r="D22" s="75" t="s">
        <v>88</v>
      </c>
      <c r="E22" s="60" t="s">
        <v>11</v>
      </c>
      <c r="F22" s="61" t="s">
        <v>18</v>
      </c>
      <c r="G22" s="62" t="s">
        <v>34</v>
      </c>
      <c r="H22" s="63" t="s">
        <v>409</v>
      </c>
      <c r="I22" s="64" t="s">
        <v>11</v>
      </c>
      <c r="J22" s="65" t="s">
        <v>19</v>
      </c>
      <c r="K22" s="66" t="s">
        <v>537</v>
      </c>
      <c r="L22" s="67" t="s">
        <v>66</v>
      </c>
      <c r="M22" s="77" t="s">
        <v>28</v>
      </c>
      <c r="N22" s="66" t="s">
        <v>547</v>
      </c>
      <c r="O22" s="67" t="s">
        <v>32</v>
      </c>
      <c r="P22" s="61" t="s">
        <v>261</v>
      </c>
      <c r="Q22" s="68" t="s">
        <v>351</v>
      </c>
      <c r="R22" s="69" t="s">
        <v>11</v>
      </c>
      <c r="S22" s="68" t="s">
        <v>68</v>
      </c>
      <c r="T22" s="69"/>
      <c r="U22" s="97" t="s">
        <v>455</v>
      </c>
      <c r="V22" s="103" t="s">
        <v>255</v>
      </c>
      <c r="W22" s="54" t="s">
        <v>28</v>
      </c>
      <c r="X22" s="71" t="s">
        <v>310</v>
      </c>
      <c r="Y22" s="72" t="s">
        <v>11</v>
      </c>
      <c r="Z22" s="71" t="s">
        <v>223</v>
      </c>
      <c r="AA22" s="72" t="s">
        <v>11</v>
      </c>
    </row>
    <row r="23" spans="1:27" s="73" customFormat="1" ht="52.8" customHeight="1" x14ac:dyDescent="0.3">
      <c r="A23" s="74" t="s">
        <v>378</v>
      </c>
      <c r="B23" s="39">
        <v>2020</v>
      </c>
      <c r="C23" s="73" t="s">
        <v>327</v>
      </c>
      <c r="D23" s="75" t="s">
        <v>394</v>
      </c>
      <c r="E23" s="60" t="s">
        <v>11</v>
      </c>
      <c r="F23" s="61" t="s">
        <v>18</v>
      </c>
      <c r="G23" s="78" t="s">
        <v>32</v>
      </c>
      <c r="H23" s="63" t="s">
        <v>22</v>
      </c>
      <c r="I23" s="63" t="s">
        <v>11</v>
      </c>
      <c r="J23" s="65" t="s">
        <v>19</v>
      </c>
      <c r="K23" s="66" t="s">
        <v>35</v>
      </c>
      <c r="L23" s="67" t="s">
        <v>12</v>
      </c>
      <c r="M23" s="67" t="s">
        <v>456</v>
      </c>
      <c r="N23" s="66" t="s">
        <v>38</v>
      </c>
      <c r="O23" s="67" t="s">
        <v>11</v>
      </c>
      <c r="P23" s="61" t="s">
        <v>270</v>
      </c>
      <c r="Q23" s="68" t="s">
        <v>242</v>
      </c>
      <c r="R23" s="69" t="s">
        <v>11</v>
      </c>
      <c r="S23" s="68" t="s">
        <v>352</v>
      </c>
      <c r="T23" s="69" t="s">
        <v>11</v>
      </c>
      <c r="U23" s="97" t="s">
        <v>457</v>
      </c>
      <c r="V23" s="103" t="s">
        <v>255</v>
      </c>
      <c r="W23" s="54" t="s">
        <v>28</v>
      </c>
      <c r="X23" s="71" t="s">
        <v>182</v>
      </c>
      <c r="Y23" s="72" t="s">
        <v>11</v>
      </c>
      <c r="Z23" s="71" t="s">
        <v>76</v>
      </c>
      <c r="AA23" s="72" t="s">
        <v>32</v>
      </c>
    </row>
    <row r="24" spans="1:27" s="73" customFormat="1" ht="81.599999999999994" customHeight="1" x14ac:dyDescent="0.3">
      <c r="A24" s="86" t="s">
        <v>379</v>
      </c>
      <c r="B24" s="87">
        <v>2022</v>
      </c>
      <c r="C24" s="88" t="s">
        <v>328</v>
      </c>
      <c r="D24" s="75" t="s">
        <v>402</v>
      </c>
      <c r="E24" s="60" t="s">
        <v>11</v>
      </c>
      <c r="F24" s="61" t="s">
        <v>18</v>
      </c>
      <c r="G24" s="62" t="s">
        <v>34</v>
      </c>
      <c r="H24" s="63" t="s">
        <v>135</v>
      </c>
      <c r="I24" s="64" t="s">
        <v>11</v>
      </c>
      <c r="J24" s="65" t="s">
        <v>140</v>
      </c>
      <c r="K24" s="66" t="s">
        <v>510</v>
      </c>
      <c r="L24" s="67" t="s">
        <v>12</v>
      </c>
      <c r="M24" s="77" t="s">
        <v>28</v>
      </c>
      <c r="N24" s="66" t="s">
        <v>146</v>
      </c>
      <c r="O24" s="67" t="s">
        <v>32</v>
      </c>
      <c r="P24" s="61" t="s">
        <v>261</v>
      </c>
      <c r="Q24" s="68" t="s">
        <v>351</v>
      </c>
      <c r="R24" s="69" t="s">
        <v>11</v>
      </c>
      <c r="S24" s="68" t="s">
        <v>117</v>
      </c>
      <c r="T24" s="69" t="s">
        <v>32</v>
      </c>
      <c r="U24" s="98" t="s">
        <v>516</v>
      </c>
      <c r="V24" s="103" t="s">
        <v>255</v>
      </c>
      <c r="W24" s="54" t="s">
        <v>28</v>
      </c>
      <c r="X24" s="71" t="s">
        <v>344</v>
      </c>
      <c r="Y24" s="72" t="s">
        <v>11</v>
      </c>
      <c r="Z24" s="71" t="s">
        <v>519</v>
      </c>
      <c r="AA24" s="72" t="s">
        <v>11</v>
      </c>
    </row>
    <row r="25" spans="1:27" s="73" customFormat="1" ht="86.4" x14ac:dyDescent="0.3">
      <c r="A25" s="86" t="s">
        <v>489</v>
      </c>
      <c r="B25" s="87">
        <v>2022</v>
      </c>
      <c r="C25" s="88" t="s">
        <v>329</v>
      </c>
      <c r="D25" s="75" t="s">
        <v>118</v>
      </c>
      <c r="E25" s="60" t="s">
        <v>11</v>
      </c>
      <c r="F25" s="61" t="s">
        <v>18</v>
      </c>
      <c r="G25" s="62" t="s">
        <v>34</v>
      </c>
      <c r="H25" s="63" t="s">
        <v>372</v>
      </c>
      <c r="I25" s="64" t="s">
        <v>11</v>
      </c>
      <c r="J25" s="65" t="s">
        <v>19</v>
      </c>
      <c r="K25" s="66" t="s">
        <v>415</v>
      </c>
      <c r="L25" s="67" t="s">
        <v>66</v>
      </c>
      <c r="M25" s="67" t="s">
        <v>458</v>
      </c>
      <c r="N25" s="66" t="s">
        <v>145</v>
      </c>
      <c r="O25" s="67" t="s">
        <v>32</v>
      </c>
      <c r="P25" s="61" t="s">
        <v>271</v>
      </c>
      <c r="Q25" s="68" t="s">
        <v>31</v>
      </c>
      <c r="R25" s="69" t="s">
        <v>32</v>
      </c>
      <c r="S25" s="68" t="s">
        <v>120</v>
      </c>
      <c r="T25" s="69" t="s">
        <v>32</v>
      </c>
      <c r="U25" s="97" t="s">
        <v>459</v>
      </c>
      <c r="V25" s="103" t="s">
        <v>255</v>
      </c>
      <c r="W25" s="54" t="s">
        <v>28</v>
      </c>
      <c r="X25" s="71" t="s">
        <v>197</v>
      </c>
      <c r="Y25" s="72" t="s">
        <v>11</v>
      </c>
      <c r="Z25" s="71" t="s">
        <v>224</v>
      </c>
      <c r="AA25" s="72" t="s">
        <v>11</v>
      </c>
    </row>
    <row r="26" spans="1:27" s="73" customFormat="1" ht="144" x14ac:dyDescent="0.3">
      <c r="A26" s="86" t="s">
        <v>52</v>
      </c>
      <c r="B26" s="87">
        <v>2022</v>
      </c>
      <c r="C26" s="88" t="s">
        <v>330</v>
      </c>
      <c r="D26" s="75" t="s">
        <v>255</v>
      </c>
      <c r="E26" s="76" t="s">
        <v>28</v>
      </c>
      <c r="F26" s="61" t="s">
        <v>18</v>
      </c>
      <c r="G26" s="62" t="s">
        <v>34</v>
      </c>
      <c r="H26" s="63" t="s">
        <v>136</v>
      </c>
      <c r="I26" s="64" t="s">
        <v>11</v>
      </c>
      <c r="J26" s="65" t="s">
        <v>19</v>
      </c>
      <c r="K26" s="66" t="s">
        <v>416</v>
      </c>
      <c r="L26" s="67" t="s">
        <v>66</v>
      </c>
      <c r="M26" s="67" t="s">
        <v>460</v>
      </c>
      <c r="N26" s="66"/>
      <c r="O26" s="77" t="s">
        <v>28</v>
      </c>
      <c r="P26" s="61" t="s">
        <v>261</v>
      </c>
      <c r="Q26" s="68" t="s">
        <v>119</v>
      </c>
      <c r="R26" s="69" t="s">
        <v>32</v>
      </c>
      <c r="S26" s="68" t="s">
        <v>125</v>
      </c>
      <c r="T26" s="69" t="s">
        <v>32</v>
      </c>
      <c r="U26" s="97" t="s">
        <v>461</v>
      </c>
      <c r="V26" s="103" t="s">
        <v>255</v>
      </c>
      <c r="W26" s="54" t="s">
        <v>28</v>
      </c>
      <c r="X26" s="71" t="s">
        <v>198</v>
      </c>
      <c r="Y26" s="72" t="s">
        <v>11</v>
      </c>
      <c r="Z26" s="71" t="s">
        <v>520</v>
      </c>
      <c r="AA26" s="72" t="s">
        <v>11</v>
      </c>
    </row>
    <row r="27" spans="1:27" s="73" customFormat="1" ht="87.6" customHeight="1" x14ac:dyDescent="0.3">
      <c r="A27" s="86" t="s">
        <v>53</v>
      </c>
      <c r="B27" s="87">
        <v>2020</v>
      </c>
      <c r="C27" s="88" t="s">
        <v>331</v>
      </c>
      <c r="D27" s="75" t="s">
        <v>121</v>
      </c>
      <c r="E27" s="60" t="s">
        <v>11</v>
      </c>
      <c r="F27" s="61" t="s">
        <v>18</v>
      </c>
      <c r="G27" s="62" t="s">
        <v>34</v>
      </c>
      <c r="H27" s="63" t="s">
        <v>137</v>
      </c>
      <c r="I27" s="64" t="s">
        <v>11</v>
      </c>
      <c r="J27" s="65" t="s">
        <v>19</v>
      </c>
      <c r="K27" s="66" t="s">
        <v>417</v>
      </c>
      <c r="L27" s="67" t="s">
        <v>66</v>
      </c>
      <c r="M27" s="77" t="s">
        <v>28</v>
      </c>
      <c r="N27" s="66" t="s">
        <v>548</v>
      </c>
      <c r="O27" s="67" t="s">
        <v>32</v>
      </c>
      <c r="P27" s="61" t="s">
        <v>261</v>
      </c>
      <c r="Q27" s="68" t="s">
        <v>25</v>
      </c>
      <c r="R27" s="69" t="s">
        <v>32</v>
      </c>
      <c r="S27" s="68" t="s">
        <v>122</v>
      </c>
      <c r="T27" s="69" t="s">
        <v>32</v>
      </c>
      <c r="U27" s="97" t="s">
        <v>462</v>
      </c>
      <c r="V27" s="103" t="s">
        <v>255</v>
      </c>
      <c r="W27" s="54" t="s">
        <v>28</v>
      </c>
      <c r="X27" s="71" t="s">
        <v>199</v>
      </c>
      <c r="Y27" s="72" t="s">
        <v>11</v>
      </c>
      <c r="Z27" s="71" t="s">
        <v>225</v>
      </c>
      <c r="AA27" s="72" t="s">
        <v>11</v>
      </c>
    </row>
    <row r="28" spans="1:27" s="73" customFormat="1" ht="144" x14ac:dyDescent="0.3">
      <c r="A28" s="86" t="s">
        <v>54</v>
      </c>
      <c r="B28" s="87">
        <v>2020</v>
      </c>
      <c r="C28" s="88" t="s">
        <v>332</v>
      </c>
      <c r="D28" s="75" t="s">
        <v>255</v>
      </c>
      <c r="E28" s="76" t="s">
        <v>28</v>
      </c>
      <c r="F28" s="61" t="s">
        <v>72</v>
      </c>
      <c r="G28" s="62" t="s">
        <v>34</v>
      </c>
      <c r="H28" s="63" t="s">
        <v>129</v>
      </c>
      <c r="I28" s="64" t="s">
        <v>11</v>
      </c>
      <c r="J28" s="65" t="s">
        <v>19</v>
      </c>
      <c r="K28" s="66" t="s">
        <v>562</v>
      </c>
      <c r="L28" s="67" t="s">
        <v>12</v>
      </c>
      <c r="M28" s="67" t="s">
        <v>463</v>
      </c>
      <c r="N28" s="66" t="s">
        <v>144</v>
      </c>
      <c r="O28" s="67" t="s">
        <v>32</v>
      </c>
      <c r="P28" s="61" t="s">
        <v>271</v>
      </c>
      <c r="Q28" s="68" t="s">
        <v>353</v>
      </c>
      <c r="R28" s="69" t="s">
        <v>32</v>
      </c>
      <c r="S28" s="68" t="s">
        <v>354</v>
      </c>
      <c r="T28" s="69" t="s">
        <v>32</v>
      </c>
      <c r="U28" s="97" t="s">
        <v>579</v>
      </c>
      <c r="V28" s="103" t="s">
        <v>255</v>
      </c>
      <c r="W28" s="54" t="s">
        <v>28</v>
      </c>
      <c r="X28" s="71" t="s">
        <v>200</v>
      </c>
      <c r="Y28" s="72" t="s">
        <v>11</v>
      </c>
      <c r="Z28" s="71" t="s">
        <v>521</v>
      </c>
      <c r="AA28" s="72" t="s">
        <v>32</v>
      </c>
    </row>
    <row r="29" spans="1:27" s="73" customFormat="1" ht="42" customHeight="1" x14ac:dyDescent="0.3">
      <c r="A29" s="86" t="s">
        <v>55</v>
      </c>
      <c r="B29" s="87">
        <v>2020</v>
      </c>
      <c r="C29" s="88" t="s">
        <v>333</v>
      </c>
      <c r="D29" s="75" t="s">
        <v>569</v>
      </c>
      <c r="E29" s="60" t="s">
        <v>11</v>
      </c>
      <c r="F29" s="61" t="s">
        <v>18</v>
      </c>
      <c r="G29" s="62" t="s">
        <v>34</v>
      </c>
      <c r="H29" s="63" t="s">
        <v>129</v>
      </c>
      <c r="I29" s="64" t="s">
        <v>11</v>
      </c>
      <c r="J29" s="65" t="s">
        <v>19</v>
      </c>
      <c r="K29" s="66" t="s">
        <v>563</v>
      </c>
      <c r="L29" s="67" t="s">
        <v>66</v>
      </c>
      <c r="M29" s="67" t="s">
        <v>463</v>
      </c>
      <c r="N29" s="66" t="s">
        <v>123</v>
      </c>
      <c r="O29" s="67" t="s">
        <v>32</v>
      </c>
      <c r="P29" s="61" t="s">
        <v>272</v>
      </c>
      <c r="Q29" s="68" t="s">
        <v>355</v>
      </c>
      <c r="R29" s="69" t="s">
        <v>32</v>
      </c>
      <c r="S29" s="68" t="s">
        <v>124</v>
      </c>
      <c r="T29" s="69" t="s">
        <v>32</v>
      </c>
      <c r="U29" s="97" t="s">
        <v>576</v>
      </c>
      <c r="V29" s="103" t="s">
        <v>255</v>
      </c>
      <c r="W29" s="54" t="s">
        <v>28</v>
      </c>
      <c r="X29" s="71" t="s">
        <v>201</v>
      </c>
      <c r="Y29" s="72" t="s">
        <v>11</v>
      </c>
      <c r="Z29" s="71" t="s">
        <v>522</v>
      </c>
      <c r="AA29" s="72" t="s">
        <v>11</v>
      </c>
    </row>
    <row r="30" spans="1:27" s="73" customFormat="1" ht="57.6" customHeight="1" x14ac:dyDescent="0.3">
      <c r="A30" s="86" t="s">
        <v>56</v>
      </c>
      <c r="B30" s="87">
        <v>2023</v>
      </c>
      <c r="C30" s="88" t="s">
        <v>334</v>
      </c>
      <c r="D30" s="75" t="s">
        <v>403</v>
      </c>
      <c r="E30" s="60" t="s">
        <v>11</v>
      </c>
      <c r="F30" s="61" t="s">
        <v>18</v>
      </c>
      <c r="G30" s="62" t="s">
        <v>34</v>
      </c>
      <c r="H30" s="63" t="s">
        <v>152</v>
      </c>
      <c r="I30" s="64" t="s">
        <v>11</v>
      </c>
      <c r="J30" s="65" t="s">
        <v>19</v>
      </c>
      <c r="K30" s="66" t="s">
        <v>567</v>
      </c>
      <c r="L30" s="67" t="s">
        <v>66</v>
      </c>
      <c r="M30" s="67" t="s">
        <v>464</v>
      </c>
      <c r="N30" s="66" t="s">
        <v>554</v>
      </c>
      <c r="O30" s="67" t="s">
        <v>32</v>
      </c>
      <c r="P30" s="61" t="s">
        <v>261</v>
      </c>
      <c r="Q30" s="68" t="s">
        <v>242</v>
      </c>
      <c r="R30" s="69" t="s">
        <v>32</v>
      </c>
      <c r="S30" s="68" t="s">
        <v>356</v>
      </c>
      <c r="T30" s="69" t="s">
        <v>32</v>
      </c>
      <c r="U30" s="97" t="s">
        <v>568</v>
      </c>
      <c r="V30" s="103" t="s">
        <v>255</v>
      </c>
      <c r="W30" s="54" t="s">
        <v>28</v>
      </c>
      <c r="X30" s="71" t="s">
        <v>202</v>
      </c>
      <c r="Y30" s="72" t="s">
        <v>11</v>
      </c>
      <c r="Z30" s="71" t="s">
        <v>523</v>
      </c>
      <c r="AA30" s="72" t="s">
        <v>11</v>
      </c>
    </row>
    <row r="31" spans="1:27" s="73" customFormat="1" ht="20.399999999999999" customHeight="1" x14ac:dyDescent="0.3">
      <c r="A31" s="74" t="s">
        <v>5</v>
      </c>
      <c r="B31" s="39">
        <v>2020</v>
      </c>
      <c r="C31" s="73" t="s">
        <v>536</v>
      </c>
      <c r="D31" s="75" t="s">
        <v>499</v>
      </c>
      <c r="E31" s="60" t="s">
        <v>11</v>
      </c>
      <c r="F31" s="61" t="s">
        <v>18</v>
      </c>
      <c r="G31" s="78" t="s">
        <v>32</v>
      </c>
      <c r="H31" s="63" t="s">
        <v>129</v>
      </c>
      <c r="I31" s="63" t="s">
        <v>11</v>
      </c>
      <c r="J31" s="65" t="s">
        <v>19</v>
      </c>
      <c r="K31" s="66" t="s">
        <v>36</v>
      </c>
      <c r="L31" s="67" t="s">
        <v>12</v>
      </c>
      <c r="M31" s="77" t="s">
        <v>28</v>
      </c>
      <c r="N31" s="66" t="s">
        <v>33</v>
      </c>
      <c r="O31" s="67" t="s">
        <v>11</v>
      </c>
      <c r="P31" s="61" t="s">
        <v>271</v>
      </c>
      <c r="Q31" s="68" t="s">
        <v>358</v>
      </c>
      <c r="R31" s="52" t="s">
        <v>28</v>
      </c>
      <c r="S31" s="68" t="s">
        <v>357</v>
      </c>
      <c r="T31" s="69" t="s">
        <v>11</v>
      </c>
      <c r="U31" s="97" t="s">
        <v>580</v>
      </c>
      <c r="V31" s="103" t="s">
        <v>255</v>
      </c>
      <c r="W31" s="54" t="s">
        <v>28</v>
      </c>
      <c r="X31" s="71" t="s">
        <v>184</v>
      </c>
      <c r="Y31" s="72" t="s">
        <v>11</v>
      </c>
      <c r="Z31" s="71" t="s">
        <v>524</v>
      </c>
      <c r="AA31" s="72" t="s">
        <v>11</v>
      </c>
    </row>
    <row r="32" spans="1:27" s="73" customFormat="1" ht="88.2" customHeight="1" x14ac:dyDescent="0.3">
      <c r="A32" s="86" t="s">
        <v>60</v>
      </c>
      <c r="B32" s="87">
        <v>2021</v>
      </c>
      <c r="C32" s="88" t="s">
        <v>390</v>
      </c>
      <c r="D32" s="75" t="s">
        <v>153</v>
      </c>
      <c r="E32" s="60" t="s">
        <v>11</v>
      </c>
      <c r="F32" s="61" t="s">
        <v>18</v>
      </c>
      <c r="G32" s="62" t="s">
        <v>34</v>
      </c>
      <c r="H32" s="63" t="s">
        <v>154</v>
      </c>
      <c r="I32" s="63" t="s">
        <v>11</v>
      </c>
      <c r="J32" s="65" t="s">
        <v>140</v>
      </c>
      <c r="K32" s="66" t="s">
        <v>418</v>
      </c>
      <c r="L32" s="67" t="s">
        <v>66</v>
      </c>
      <c r="M32" s="67" t="s">
        <v>564</v>
      </c>
      <c r="N32" s="66" t="s">
        <v>155</v>
      </c>
      <c r="O32" s="67" t="s">
        <v>32</v>
      </c>
      <c r="P32" s="61" t="s">
        <v>278</v>
      </c>
      <c r="Q32" s="68" t="s">
        <v>359</v>
      </c>
      <c r="R32" s="69" t="s">
        <v>32</v>
      </c>
      <c r="S32" s="68" t="s">
        <v>156</v>
      </c>
      <c r="T32" s="69" t="s">
        <v>32</v>
      </c>
      <c r="U32" s="97" t="s">
        <v>517</v>
      </c>
      <c r="V32" s="103" t="s">
        <v>255</v>
      </c>
      <c r="W32" s="54" t="s">
        <v>28</v>
      </c>
      <c r="X32" s="71" t="s">
        <v>203</v>
      </c>
      <c r="Y32" s="72" t="s">
        <v>11</v>
      </c>
      <c r="Z32" s="71" t="s">
        <v>525</v>
      </c>
      <c r="AA32" s="72" t="s">
        <v>11</v>
      </c>
    </row>
    <row r="33" spans="1:27" s="73" customFormat="1" ht="72.599999999999994" customHeight="1" x14ac:dyDescent="0.3">
      <c r="A33" s="89" t="s">
        <v>0</v>
      </c>
      <c r="B33" s="39">
        <v>2019</v>
      </c>
      <c r="C33" s="73" t="s">
        <v>535</v>
      </c>
      <c r="D33" s="90"/>
      <c r="E33" s="76" t="s">
        <v>28</v>
      </c>
      <c r="F33" s="61" t="s">
        <v>17</v>
      </c>
      <c r="G33" s="78" t="s">
        <v>32</v>
      </c>
      <c r="H33" s="91" t="s">
        <v>503</v>
      </c>
      <c r="I33" s="63" t="s">
        <v>11</v>
      </c>
      <c r="J33" s="92" t="s">
        <v>20</v>
      </c>
      <c r="K33" s="80" t="s">
        <v>294</v>
      </c>
      <c r="L33" s="17" t="s">
        <v>28</v>
      </c>
      <c r="M33" s="67" t="s">
        <v>465</v>
      </c>
      <c r="N33" s="66" t="s">
        <v>26</v>
      </c>
      <c r="O33" s="67" t="s">
        <v>32</v>
      </c>
      <c r="P33" s="61" t="s">
        <v>29</v>
      </c>
      <c r="Q33" s="68" t="s">
        <v>29</v>
      </c>
      <c r="R33" s="69" t="s">
        <v>32</v>
      </c>
      <c r="S33" s="68" t="s">
        <v>74</v>
      </c>
      <c r="T33" s="69" t="s">
        <v>11</v>
      </c>
      <c r="U33" s="97" t="s">
        <v>429</v>
      </c>
      <c r="V33" s="103" t="s">
        <v>14</v>
      </c>
      <c r="W33" s="70" t="s">
        <v>11</v>
      </c>
      <c r="X33" s="93"/>
      <c r="Y33" s="81" t="s">
        <v>28</v>
      </c>
      <c r="Z33" s="93"/>
      <c r="AA33" s="81" t="s">
        <v>28</v>
      </c>
    </row>
    <row r="34" spans="1:27" s="73" customFormat="1" ht="50.4" customHeight="1" x14ac:dyDescent="0.3">
      <c r="A34" s="89" t="s">
        <v>1</v>
      </c>
      <c r="B34" s="39">
        <v>2018</v>
      </c>
      <c r="C34" s="73" t="s">
        <v>391</v>
      </c>
      <c r="D34" s="75" t="s">
        <v>395</v>
      </c>
      <c r="E34" s="60" t="s">
        <v>11</v>
      </c>
      <c r="F34" s="61" t="s">
        <v>17</v>
      </c>
      <c r="G34" s="78" t="s">
        <v>32</v>
      </c>
      <c r="H34" s="63" t="s">
        <v>126</v>
      </c>
      <c r="I34" s="63" t="s">
        <v>11</v>
      </c>
      <c r="J34" s="65" t="s">
        <v>19</v>
      </c>
      <c r="K34" s="80" t="s">
        <v>571</v>
      </c>
      <c r="L34" s="17" t="s">
        <v>28</v>
      </c>
      <c r="M34" s="67" t="s">
        <v>511</v>
      </c>
      <c r="N34" s="66" t="s">
        <v>26</v>
      </c>
      <c r="O34" s="77" t="s">
        <v>28</v>
      </c>
      <c r="P34" s="61" t="s">
        <v>273</v>
      </c>
      <c r="Q34" s="94" t="s">
        <v>255</v>
      </c>
      <c r="R34" s="52" t="s">
        <v>28</v>
      </c>
      <c r="S34" s="85" t="s">
        <v>360</v>
      </c>
      <c r="T34" s="69" t="s">
        <v>11</v>
      </c>
      <c r="U34" s="97" t="s">
        <v>466</v>
      </c>
      <c r="V34" s="103" t="s">
        <v>255</v>
      </c>
      <c r="W34" s="54" t="s">
        <v>28</v>
      </c>
      <c r="X34" s="93" t="s">
        <v>180</v>
      </c>
      <c r="Y34" s="71" t="s">
        <v>11</v>
      </c>
      <c r="Z34" s="93" t="s">
        <v>73</v>
      </c>
      <c r="AA34" s="72" t="s">
        <v>11</v>
      </c>
    </row>
    <row r="35" spans="1:27" s="73" customFormat="1" ht="20.399999999999999" customHeight="1" x14ac:dyDescent="0.3">
      <c r="A35" s="86" t="s">
        <v>61</v>
      </c>
      <c r="B35" s="87">
        <v>2021</v>
      </c>
      <c r="C35" s="88" t="s">
        <v>335</v>
      </c>
      <c r="D35" s="75" t="s">
        <v>157</v>
      </c>
      <c r="E35" s="60" t="s">
        <v>11</v>
      </c>
      <c r="F35" s="61" t="s">
        <v>18</v>
      </c>
      <c r="G35" s="62" t="s">
        <v>34</v>
      </c>
      <c r="H35" s="63" t="s">
        <v>158</v>
      </c>
      <c r="I35" s="63" t="s">
        <v>11</v>
      </c>
      <c r="J35" s="92" t="s">
        <v>20</v>
      </c>
      <c r="K35" s="66" t="s">
        <v>159</v>
      </c>
      <c r="L35" s="17" t="s">
        <v>28</v>
      </c>
      <c r="M35" s="77" t="s">
        <v>28</v>
      </c>
      <c r="N35" s="66" t="s">
        <v>549</v>
      </c>
      <c r="O35" s="67" t="s">
        <v>32</v>
      </c>
      <c r="P35" s="61" t="s">
        <v>274</v>
      </c>
      <c r="Q35" s="68"/>
      <c r="R35" s="52" t="s">
        <v>28</v>
      </c>
      <c r="S35" s="68" t="s">
        <v>160</v>
      </c>
      <c r="T35" s="69" t="s">
        <v>32</v>
      </c>
      <c r="U35" s="97" t="s">
        <v>467</v>
      </c>
      <c r="V35" s="103" t="s">
        <v>255</v>
      </c>
      <c r="W35" s="54" t="s">
        <v>28</v>
      </c>
      <c r="X35" s="71" t="s">
        <v>204</v>
      </c>
      <c r="Y35" s="72" t="s">
        <v>11</v>
      </c>
      <c r="Z35" s="71" t="s">
        <v>161</v>
      </c>
      <c r="AA35" s="72" t="s">
        <v>11</v>
      </c>
    </row>
    <row r="36" spans="1:27" s="73" customFormat="1" ht="54" customHeight="1" x14ac:dyDescent="0.3">
      <c r="A36" s="86" t="s">
        <v>57</v>
      </c>
      <c r="B36" s="87">
        <v>2022</v>
      </c>
      <c r="C36" s="88" t="s">
        <v>336</v>
      </c>
      <c r="D36" s="75" t="s">
        <v>87</v>
      </c>
      <c r="E36" s="60" t="s">
        <v>11</v>
      </c>
      <c r="F36" s="61" t="s">
        <v>18</v>
      </c>
      <c r="G36" s="62" t="s">
        <v>34</v>
      </c>
      <c r="H36" s="63" t="s">
        <v>138</v>
      </c>
      <c r="I36" s="63" t="s">
        <v>11</v>
      </c>
      <c r="J36" s="65" t="s">
        <v>19</v>
      </c>
      <c r="K36" s="66" t="s">
        <v>419</v>
      </c>
      <c r="L36" s="67" t="s">
        <v>12</v>
      </c>
      <c r="M36" s="67" t="s">
        <v>468</v>
      </c>
      <c r="N36" s="66" t="s">
        <v>547</v>
      </c>
      <c r="O36" s="67" t="s">
        <v>32</v>
      </c>
      <c r="P36" s="61" t="s">
        <v>261</v>
      </c>
      <c r="Q36" s="68" t="s">
        <v>242</v>
      </c>
      <c r="R36" s="69" t="s">
        <v>32</v>
      </c>
      <c r="S36" s="68" t="s">
        <v>361</v>
      </c>
      <c r="T36" s="69" t="s">
        <v>11</v>
      </c>
      <c r="U36" s="97" t="s">
        <v>469</v>
      </c>
      <c r="V36" s="103" t="s">
        <v>255</v>
      </c>
      <c r="W36" s="54" t="s">
        <v>28</v>
      </c>
      <c r="X36" s="71" t="s">
        <v>187</v>
      </c>
      <c r="Y36" s="72" t="s">
        <v>11</v>
      </c>
      <c r="Z36" s="71" t="s">
        <v>526</v>
      </c>
      <c r="AA36" s="72" t="s">
        <v>11</v>
      </c>
    </row>
    <row r="37" spans="1:27" s="73" customFormat="1" ht="48.6" customHeight="1" x14ac:dyDescent="0.3">
      <c r="A37" s="89" t="s">
        <v>58</v>
      </c>
      <c r="B37" s="39">
        <v>2021</v>
      </c>
      <c r="C37" s="73" t="s">
        <v>337</v>
      </c>
      <c r="D37" s="75" t="s">
        <v>162</v>
      </c>
      <c r="E37" s="60" t="s">
        <v>11</v>
      </c>
      <c r="F37" s="61" t="s">
        <v>18</v>
      </c>
      <c r="G37" s="62" t="s">
        <v>34</v>
      </c>
      <c r="H37" s="63" t="s">
        <v>163</v>
      </c>
      <c r="I37" s="63" t="s">
        <v>11</v>
      </c>
      <c r="J37" s="65" t="s">
        <v>19</v>
      </c>
      <c r="K37" s="66" t="s">
        <v>565</v>
      </c>
      <c r="L37" s="67" t="s">
        <v>66</v>
      </c>
      <c r="M37" s="67" t="s">
        <v>470</v>
      </c>
      <c r="N37" s="66" t="s">
        <v>550</v>
      </c>
      <c r="O37" s="67" t="s">
        <v>32</v>
      </c>
      <c r="P37" s="61" t="s">
        <v>261</v>
      </c>
      <c r="Q37" s="68" t="s">
        <v>25</v>
      </c>
      <c r="R37" s="69" t="s">
        <v>32</v>
      </c>
      <c r="S37" s="68" t="s">
        <v>164</v>
      </c>
      <c r="T37" s="69" t="s">
        <v>11</v>
      </c>
      <c r="U37" s="97" t="s">
        <v>577</v>
      </c>
      <c r="V37" s="103" t="s">
        <v>255</v>
      </c>
      <c r="W37" s="54" t="s">
        <v>28</v>
      </c>
      <c r="X37" s="71" t="s">
        <v>205</v>
      </c>
      <c r="Y37" s="72" t="s">
        <v>11</v>
      </c>
      <c r="Z37" s="71" t="s">
        <v>527</v>
      </c>
      <c r="AA37" s="72" t="s">
        <v>11</v>
      </c>
    </row>
    <row r="38" spans="1:27" s="73" customFormat="1" ht="58.2" customHeight="1" x14ac:dyDescent="0.3">
      <c r="A38" s="89" t="s">
        <v>62</v>
      </c>
      <c r="B38" s="39">
        <v>2023</v>
      </c>
      <c r="C38" s="73" t="s">
        <v>338</v>
      </c>
      <c r="D38" s="75" t="s">
        <v>165</v>
      </c>
      <c r="E38" s="60" t="s">
        <v>11</v>
      </c>
      <c r="F38" s="61" t="s">
        <v>18</v>
      </c>
      <c r="G38" s="62" t="s">
        <v>34</v>
      </c>
      <c r="H38" s="63" t="s">
        <v>112</v>
      </c>
      <c r="I38" s="64" t="s">
        <v>11</v>
      </c>
      <c r="J38" s="65" t="s">
        <v>19</v>
      </c>
      <c r="K38" s="66" t="s">
        <v>420</v>
      </c>
      <c r="L38" s="67" t="s">
        <v>66</v>
      </c>
      <c r="M38" s="67" t="s">
        <v>471</v>
      </c>
      <c r="N38" s="66" t="s">
        <v>426</v>
      </c>
      <c r="O38" s="67" t="s">
        <v>32</v>
      </c>
      <c r="P38" s="61" t="s">
        <v>261</v>
      </c>
      <c r="Q38" s="68" t="s">
        <v>362</v>
      </c>
      <c r="R38" s="69" t="s">
        <v>11</v>
      </c>
      <c r="S38" s="68" t="s">
        <v>166</v>
      </c>
      <c r="T38" s="69" t="s">
        <v>11</v>
      </c>
      <c r="U38" s="97" t="s">
        <v>451</v>
      </c>
      <c r="V38" s="103" t="s">
        <v>255</v>
      </c>
      <c r="W38" s="54" t="s">
        <v>28</v>
      </c>
      <c r="X38" s="71" t="s">
        <v>184</v>
      </c>
      <c r="Y38" s="72" t="s">
        <v>11</v>
      </c>
      <c r="Z38" s="71" t="s">
        <v>528</v>
      </c>
      <c r="AA38" s="72" t="s">
        <v>11</v>
      </c>
    </row>
    <row r="39" spans="1:27" s="73" customFormat="1" ht="129.6" x14ac:dyDescent="0.3">
      <c r="A39" s="89" t="s">
        <v>275</v>
      </c>
      <c r="B39" s="39">
        <v>2018</v>
      </c>
      <c r="C39" s="95" t="s">
        <v>487</v>
      </c>
      <c r="D39" s="75" t="s">
        <v>293</v>
      </c>
      <c r="E39" s="76" t="s">
        <v>492</v>
      </c>
      <c r="F39" s="61" t="s">
        <v>18</v>
      </c>
      <c r="G39" s="62" t="s">
        <v>34</v>
      </c>
      <c r="H39" s="63" t="s">
        <v>284</v>
      </c>
      <c r="I39" s="64" t="s">
        <v>11</v>
      </c>
      <c r="J39" s="65" t="s">
        <v>19</v>
      </c>
      <c r="K39" s="66" t="s">
        <v>143</v>
      </c>
      <c r="L39" s="67" t="s">
        <v>12</v>
      </c>
      <c r="M39" s="77" t="s">
        <v>28</v>
      </c>
      <c r="N39" s="66" t="s">
        <v>551</v>
      </c>
      <c r="O39" s="67" t="s">
        <v>32</v>
      </c>
      <c r="P39" s="61" t="s">
        <v>261</v>
      </c>
      <c r="Q39" s="68" t="s">
        <v>30</v>
      </c>
      <c r="R39" s="69" t="s">
        <v>32</v>
      </c>
      <c r="S39" s="68" t="s">
        <v>85</v>
      </c>
      <c r="T39" s="69" t="s">
        <v>32</v>
      </c>
      <c r="U39" s="97" t="s">
        <v>472</v>
      </c>
      <c r="V39" s="103" t="s">
        <v>255</v>
      </c>
      <c r="W39" s="54" t="s">
        <v>28</v>
      </c>
      <c r="X39" s="71" t="s">
        <v>86</v>
      </c>
      <c r="Y39" s="72" t="s">
        <v>11</v>
      </c>
      <c r="Z39" s="71" t="s">
        <v>529</v>
      </c>
      <c r="AA39" s="72" t="s">
        <v>32</v>
      </c>
    </row>
    <row r="40" spans="1:27" s="73" customFormat="1" ht="16.8" customHeight="1" x14ac:dyDescent="0.3">
      <c r="A40" s="89" t="s">
        <v>276</v>
      </c>
      <c r="B40" s="39">
        <v>2019</v>
      </c>
      <c r="C40" s="73" t="s">
        <v>339</v>
      </c>
      <c r="D40" s="75" t="s">
        <v>491</v>
      </c>
      <c r="E40" s="60" t="s">
        <v>11</v>
      </c>
      <c r="F40" s="61" t="s">
        <v>18</v>
      </c>
      <c r="G40" s="62" t="s">
        <v>34</v>
      </c>
      <c r="H40" s="63" t="s">
        <v>285</v>
      </c>
      <c r="I40" s="64" t="s">
        <v>11</v>
      </c>
      <c r="J40" s="65" t="s">
        <v>19</v>
      </c>
      <c r="K40" s="66" t="s">
        <v>167</v>
      </c>
      <c r="L40" s="67" t="s">
        <v>12</v>
      </c>
      <c r="M40" s="77" t="s">
        <v>28</v>
      </c>
      <c r="N40" s="66" t="s">
        <v>555</v>
      </c>
      <c r="O40" s="67" t="s">
        <v>32</v>
      </c>
      <c r="P40" s="61" t="s">
        <v>261</v>
      </c>
      <c r="Q40" s="68"/>
      <c r="R40" s="52" t="s">
        <v>28</v>
      </c>
      <c r="S40" s="68" t="s">
        <v>168</v>
      </c>
      <c r="T40" s="69" t="s">
        <v>32</v>
      </c>
      <c r="U40" s="97" t="s">
        <v>473</v>
      </c>
      <c r="V40" s="103" t="s">
        <v>255</v>
      </c>
      <c r="W40" s="54" t="s">
        <v>28</v>
      </c>
      <c r="X40" s="71" t="s">
        <v>367</v>
      </c>
      <c r="Y40" s="72" t="s">
        <v>11</v>
      </c>
      <c r="Z40" s="71" t="s">
        <v>530</v>
      </c>
      <c r="AA40" s="72" t="s">
        <v>11</v>
      </c>
    </row>
    <row r="41" spans="1:27" s="44" customFormat="1" ht="129.6" x14ac:dyDescent="0.3">
      <c r="A41" s="57" t="s">
        <v>380</v>
      </c>
      <c r="B41" s="42">
        <v>2020</v>
      </c>
      <c r="C41" s="44" t="s">
        <v>340</v>
      </c>
      <c r="D41" s="45" t="s">
        <v>255</v>
      </c>
      <c r="E41" s="58" t="s">
        <v>28</v>
      </c>
      <c r="F41" s="50" t="s">
        <v>18</v>
      </c>
      <c r="G41" s="47" t="s">
        <v>34</v>
      </c>
      <c r="H41" s="40" t="s">
        <v>169</v>
      </c>
      <c r="I41" s="40" t="s">
        <v>11</v>
      </c>
      <c r="J41" s="48" t="s">
        <v>20</v>
      </c>
      <c r="K41" s="41" t="s">
        <v>170</v>
      </c>
      <c r="L41" s="49" t="s">
        <v>12</v>
      </c>
      <c r="M41" s="49" t="s">
        <v>474</v>
      </c>
      <c r="N41" s="41"/>
      <c r="O41" s="77" t="s">
        <v>28</v>
      </c>
      <c r="P41" s="50" t="s">
        <v>282</v>
      </c>
      <c r="Q41" s="51" t="s">
        <v>171</v>
      </c>
      <c r="R41" s="53" t="s">
        <v>32</v>
      </c>
      <c r="S41" s="51" t="s">
        <v>365</v>
      </c>
      <c r="T41" s="53" t="s">
        <v>32</v>
      </c>
      <c r="U41" s="96" t="s">
        <v>475</v>
      </c>
      <c r="V41" s="102" t="s">
        <v>255</v>
      </c>
      <c r="W41" s="54" t="s">
        <v>28</v>
      </c>
      <c r="X41" s="55" t="s">
        <v>206</v>
      </c>
      <c r="Y41" s="56" t="s">
        <v>11</v>
      </c>
      <c r="Z41" s="55" t="s">
        <v>172</v>
      </c>
      <c r="AA41" s="56" t="s">
        <v>11</v>
      </c>
    </row>
    <row r="42" spans="1:27" s="73" customFormat="1" ht="49.2" customHeight="1" x14ac:dyDescent="0.3">
      <c r="A42" s="89" t="s">
        <v>59</v>
      </c>
      <c r="B42" s="39">
        <v>2020</v>
      </c>
      <c r="C42" s="73" t="s">
        <v>341</v>
      </c>
      <c r="D42" s="75" t="s">
        <v>173</v>
      </c>
      <c r="E42" s="60" t="s">
        <v>11</v>
      </c>
      <c r="F42" s="61" t="s">
        <v>18</v>
      </c>
      <c r="G42" s="62" t="s">
        <v>34</v>
      </c>
      <c r="H42" s="63" t="s">
        <v>174</v>
      </c>
      <c r="I42" s="64" t="s">
        <v>11</v>
      </c>
      <c r="J42" s="65" t="s">
        <v>19</v>
      </c>
      <c r="K42" s="66"/>
      <c r="L42" s="17" t="s">
        <v>28</v>
      </c>
      <c r="M42" s="67" t="s">
        <v>476</v>
      </c>
      <c r="N42" s="66" t="s">
        <v>175</v>
      </c>
      <c r="O42" s="67" t="s">
        <v>32</v>
      </c>
      <c r="P42" s="61" t="s">
        <v>261</v>
      </c>
      <c r="Q42" s="68" t="s">
        <v>25</v>
      </c>
      <c r="R42" s="69" t="s">
        <v>32</v>
      </c>
      <c r="S42" s="68" t="s">
        <v>176</v>
      </c>
      <c r="T42" s="69" t="s">
        <v>32</v>
      </c>
      <c r="U42" s="97" t="s">
        <v>578</v>
      </c>
      <c r="V42" s="103" t="s">
        <v>255</v>
      </c>
      <c r="W42" s="54" t="s">
        <v>28</v>
      </c>
      <c r="X42" s="71" t="s">
        <v>207</v>
      </c>
      <c r="Y42" s="72" t="s">
        <v>11</v>
      </c>
      <c r="Z42" s="71" t="s">
        <v>531</v>
      </c>
      <c r="AA42" s="72" t="s">
        <v>11</v>
      </c>
    </row>
    <row r="43" spans="1:27" s="73" customFormat="1" ht="144" x14ac:dyDescent="0.3">
      <c r="A43" s="89" t="s">
        <v>63</v>
      </c>
      <c r="B43" s="39">
        <v>2020</v>
      </c>
      <c r="C43" s="73" t="s">
        <v>342</v>
      </c>
      <c r="D43" s="75" t="s">
        <v>177</v>
      </c>
      <c r="E43" s="60" t="s">
        <v>11</v>
      </c>
      <c r="F43" s="61" t="s">
        <v>18</v>
      </c>
      <c r="G43" s="62" t="s">
        <v>34</v>
      </c>
      <c r="H43" s="63" t="s">
        <v>112</v>
      </c>
      <c r="I43" s="64" t="s">
        <v>11</v>
      </c>
      <c r="J43" s="65" t="s">
        <v>19</v>
      </c>
      <c r="K43" s="66"/>
      <c r="L43" s="17" t="s">
        <v>28</v>
      </c>
      <c r="M43" s="67" t="s">
        <v>477</v>
      </c>
      <c r="N43" s="66" t="s">
        <v>513</v>
      </c>
      <c r="O43" s="67" t="s">
        <v>32</v>
      </c>
      <c r="P43" s="61" t="s">
        <v>261</v>
      </c>
      <c r="Q43" s="68" t="s">
        <v>25</v>
      </c>
      <c r="R43" s="69" t="s">
        <v>32</v>
      </c>
      <c r="S43" s="68" t="s">
        <v>178</v>
      </c>
      <c r="T43" s="69" t="s">
        <v>32</v>
      </c>
      <c r="U43" s="97" t="s">
        <v>518</v>
      </c>
      <c r="V43" s="103" t="s">
        <v>255</v>
      </c>
      <c r="W43" s="54" t="s">
        <v>28</v>
      </c>
      <c r="X43" s="71" t="s">
        <v>207</v>
      </c>
      <c r="Y43" s="72" t="s">
        <v>11</v>
      </c>
      <c r="Z43" s="71" t="s">
        <v>532</v>
      </c>
      <c r="AA43" s="72" t="s">
        <v>11</v>
      </c>
    </row>
    <row r="44" spans="1:27" s="73" customFormat="1" ht="70.2" customHeight="1" x14ac:dyDescent="0.3">
      <c r="A44" s="89" t="s">
        <v>64</v>
      </c>
      <c r="B44" s="39">
        <v>2021</v>
      </c>
      <c r="C44" s="73" t="s">
        <v>343</v>
      </c>
      <c r="D44" s="75" t="s">
        <v>396</v>
      </c>
      <c r="E44" s="60" t="s">
        <v>11</v>
      </c>
      <c r="F44" s="61" t="s">
        <v>18</v>
      </c>
      <c r="G44" s="62" t="s">
        <v>34</v>
      </c>
      <c r="H44" s="63" t="s">
        <v>112</v>
      </c>
      <c r="I44" s="64" t="s">
        <v>11</v>
      </c>
      <c r="J44" s="65" t="s">
        <v>19</v>
      </c>
      <c r="K44" s="66" t="s">
        <v>421</v>
      </c>
      <c r="L44" s="67" t="s">
        <v>12</v>
      </c>
      <c r="M44" s="67" t="s">
        <v>512</v>
      </c>
      <c r="N44" s="66" t="s">
        <v>373</v>
      </c>
      <c r="O44" s="67" t="s">
        <v>11</v>
      </c>
      <c r="P44" s="61" t="s">
        <v>283</v>
      </c>
      <c r="Q44" s="68" t="s">
        <v>366</v>
      </c>
      <c r="R44" s="69" t="s">
        <v>32</v>
      </c>
      <c r="S44" s="68" t="s">
        <v>256</v>
      </c>
      <c r="T44" s="69"/>
      <c r="U44" s="97" t="s">
        <v>451</v>
      </c>
      <c r="V44" s="103" t="s">
        <v>255</v>
      </c>
      <c r="W44" s="54" t="s">
        <v>28</v>
      </c>
      <c r="X44" s="71" t="s">
        <v>257</v>
      </c>
      <c r="Y44" s="72" t="s">
        <v>11</v>
      </c>
      <c r="Z44" s="71" t="s">
        <v>533</v>
      </c>
      <c r="AA44" s="72" t="s">
        <v>11</v>
      </c>
    </row>
    <row r="45" spans="1:27" s="73" customFormat="1" ht="100.8" x14ac:dyDescent="0.3">
      <c r="A45" s="89" t="s">
        <v>226</v>
      </c>
      <c r="B45" s="39">
        <v>2019</v>
      </c>
      <c r="C45" s="73" t="s">
        <v>290</v>
      </c>
      <c r="D45" s="75" t="s">
        <v>248</v>
      </c>
      <c r="E45" s="60" t="s">
        <v>11</v>
      </c>
      <c r="F45" s="61" t="s">
        <v>18</v>
      </c>
      <c r="G45" s="62" t="s">
        <v>34</v>
      </c>
      <c r="H45" s="63" t="s">
        <v>249</v>
      </c>
      <c r="I45" s="64" t="s">
        <v>11</v>
      </c>
      <c r="J45" s="65" t="s">
        <v>19</v>
      </c>
      <c r="K45" s="66" t="s">
        <v>422</v>
      </c>
      <c r="L45" s="67" t="s">
        <v>557</v>
      </c>
      <c r="M45" s="77" t="s">
        <v>28</v>
      </c>
      <c r="N45" s="66" t="s">
        <v>250</v>
      </c>
      <c r="O45" s="67" t="s">
        <v>251</v>
      </c>
      <c r="P45" s="61" t="s">
        <v>261</v>
      </c>
      <c r="Q45" s="68" t="s">
        <v>514</v>
      </c>
      <c r="R45" s="52" t="s">
        <v>28</v>
      </c>
      <c r="S45" s="68" t="s">
        <v>252</v>
      </c>
      <c r="T45" s="69" t="s">
        <v>32</v>
      </c>
      <c r="U45" s="97" t="s">
        <v>478</v>
      </c>
      <c r="V45" s="103" t="s">
        <v>255</v>
      </c>
      <c r="W45" s="54" t="s">
        <v>28</v>
      </c>
      <c r="X45" s="71" t="s">
        <v>253</v>
      </c>
      <c r="Y45" s="72" t="s">
        <v>11</v>
      </c>
      <c r="Z45" s="71" t="s">
        <v>254</v>
      </c>
      <c r="AA45" s="72" t="s">
        <v>11</v>
      </c>
    </row>
    <row r="46" spans="1:27" s="73" customFormat="1" ht="18" customHeight="1" x14ac:dyDescent="0.3">
      <c r="A46" s="89" t="s">
        <v>381</v>
      </c>
      <c r="B46" s="39">
        <v>2019</v>
      </c>
      <c r="C46" s="73" t="s">
        <v>291</v>
      </c>
      <c r="D46" s="75" t="s">
        <v>500</v>
      </c>
      <c r="E46" s="60" t="s">
        <v>11</v>
      </c>
      <c r="F46" s="61" t="s">
        <v>18</v>
      </c>
      <c r="G46" s="62" t="s">
        <v>34</v>
      </c>
      <c r="H46" s="63" t="s">
        <v>112</v>
      </c>
      <c r="I46" s="64" t="s">
        <v>11</v>
      </c>
      <c r="J46" s="65" t="s">
        <v>19</v>
      </c>
      <c r="K46" s="66" t="s">
        <v>423</v>
      </c>
      <c r="L46" s="67" t="s">
        <v>66</v>
      </c>
      <c r="M46" s="77" t="s">
        <v>28</v>
      </c>
      <c r="N46" s="66" t="s">
        <v>552</v>
      </c>
      <c r="O46" s="67" t="s">
        <v>11</v>
      </c>
      <c r="P46" s="61" t="s">
        <v>261</v>
      </c>
      <c r="Q46" s="68" t="s">
        <v>25</v>
      </c>
      <c r="R46" s="69" t="s">
        <v>32</v>
      </c>
      <c r="S46" s="68" t="s">
        <v>227</v>
      </c>
      <c r="T46" s="69" t="s">
        <v>32</v>
      </c>
      <c r="U46" s="97" t="s">
        <v>479</v>
      </c>
      <c r="V46" s="103" t="s">
        <v>255</v>
      </c>
      <c r="W46" s="54" t="s">
        <v>28</v>
      </c>
      <c r="X46" s="71" t="s">
        <v>228</v>
      </c>
      <c r="Y46" s="72" t="s">
        <v>11</v>
      </c>
      <c r="Z46" s="71" t="s">
        <v>229</v>
      </c>
      <c r="AA46" s="72" t="s">
        <v>11</v>
      </c>
    </row>
    <row r="47" spans="1:27" s="73" customFormat="1" ht="17.399999999999999" customHeight="1" x14ac:dyDescent="0.3">
      <c r="A47" s="74" t="s">
        <v>4</v>
      </c>
      <c r="B47" s="39">
        <v>2018</v>
      </c>
      <c r="C47" s="95" t="s">
        <v>488</v>
      </c>
      <c r="D47" s="75" t="s">
        <v>397</v>
      </c>
      <c r="E47" s="60" t="s">
        <v>11</v>
      </c>
      <c r="F47" s="61" t="s">
        <v>18</v>
      </c>
      <c r="G47" s="78" t="s">
        <v>32</v>
      </c>
      <c r="H47" s="63" t="s">
        <v>128</v>
      </c>
      <c r="I47" s="63" t="s">
        <v>11</v>
      </c>
      <c r="J47" s="65" t="s">
        <v>139</v>
      </c>
      <c r="K47" s="66" t="s">
        <v>71</v>
      </c>
      <c r="L47" s="67" t="s">
        <v>12</v>
      </c>
      <c r="M47" s="77" t="s">
        <v>28</v>
      </c>
      <c r="N47" s="66" t="s">
        <v>553</v>
      </c>
      <c r="O47" s="67" t="s">
        <v>11</v>
      </c>
      <c r="P47" s="61" t="s">
        <v>279</v>
      </c>
      <c r="Q47" s="68" t="s">
        <v>69</v>
      </c>
      <c r="R47" s="83" t="s">
        <v>70</v>
      </c>
      <c r="S47" s="68" t="s">
        <v>82</v>
      </c>
      <c r="T47" s="69" t="s">
        <v>11</v>
      </c>
      <c r="U47" s="97" t="s">
        <v>480</v>
      </c>
      <c r="V47" s="103" t="s">
        <v>255</v>
      </c>
      <c r="W47" s="54" t="s">
        <v>28</v>
      </c>
      <c r="X47" s="71" t="s">
        <v>183</v>
      </c>
      <c r="Y47" s="72" t="s">
        <v>11</v>
      </c>
      <c r="Z47" s="71" t="s">
        <v>208</v>
      </c>
      <c r="AA47" s="72" t="s">
        <v>11</v>
      </c>
    </row>
    <row r="48" spans="1:27" s="73" customFormat="1" ht="18.600000000000001" customHeight="1" x14ac:dyDescent="0.3">
      <c r="A48" s="89" t="s">
        <v>382</v>
      </c>
      <c r="B48" s="39">
        <v>2018</v>
      </c>
      <c r="C48" s="73" t="s">
        <v>289</v>
      </c>
      <c r="D48" s="75" t="s">
        <v>398</v>
      </c>
      <c r="E48" s="60" t="s">
        <v>11</v>
      </c>
      <c r="F48" s="61" t="s">
        <v>18</v>
      </c>
      <c r="G48" s="62" t="s">
        <v>34</v>
      </c>
      <c r="H48" s="63" t="s">
        <v>112</v>
      </c>
      <c r="I48" s="64" t="s">
        <v>32</v>
      </c>
      <c r="J48" s="65" t="s">
        <v>19</v>
      </c>
      <c r="K48" s="66" t="s">
        <v>230</v>
      </c>
      <c r="L48" s="67" t="s">
        <v>66</v>
      </c>
      <c r="M48" s="77" t="s">
        <v>28</v>
      </c>
      <c r="N48" s="66" t="s">
        <v>231</v>
      </c>
      <c r="O48" s="67" t="s">
        <v>11</v>
      </c>
      <c r="P48" s="61" t="s">
        <v>280</v>
      </c>
      <c r="Q48" s="68" t="s">
        <v>363</v>
      </c>
      <c r="R48" s="52" t="s">
        <v>28</v>
      </c>
      <c r="S48" s="68" t="s">
        <v>232</v>
      </c>
      <c r="T48" s="69" t="s">
        <v>32</v>
      </c>
      <c r="U48" s="97" t="s">
        <v>481</v>
      </c>
      <c r="V48" s="103" t="s">
        <v>255</v>
      </c>
      <c r="W48" s="54" t="s">
        <v>28</v>
      </c>
      <c r="X48" s="71" t="s">
        <v>233</v>
      </c>
      <c r="Y48" s="72" t="s">
        <v>11</v>
      </c>
      <c r="Z48" s="71" t="s">
        <v>234</v>
      </c>
      <c r="AA48" s="72" t="s">
        <v>11</v>
      </c>
    </row>
    <row r="49" spans="1:27" s="73" customFormat="1" ht="55.2" customHeight="1" x14ac:dyDescent="0.3">
      <c r="A49" s="89" t="s">
        <v>383</v>
      </c>
      <c r="B49" s="39">
        <v>2023</v>
      </c>
      <c r="C49" s="73" t="s">
        <v>287</v>
      </c>
      <c r="D49" s="75" t="s">
        <v>501</v>
      </c>
      <c r="E49" s="60" t="s">
        <v>11</v>
      </c>
      <c r="F49" s="61" t="s">
        <v>18</v>
      </c>
      <c r="G49" s="62" t="s">
        <v>34</v>
      </c>
      <c r="H49" s="63" t="s">
        <v>235</v>
      </c>
      <c r="I49" s="64" t="s">
        <v>11</v>
      </c>
      <c r="J49" s="65" t="s">
        <v>19</v>
      </c>
      <c r="K49" s="66" t="s">
        <v>424</v>
      </c>
      <c r="L49" s="67" t="s">
        <v>66</v>
      </c>
      <c r="M49" s="67" t="s">
        <v>566</v>
      </c>
      <c r="N49" s="66" t="s">
        <v>236</v>
      </c>
      <c r="O49" s="67" t="s">
        <v>11</v>
      </c>
      <c r="P49" s="61" t="s">
        <v>271</v>
      </c>
      <c r="Q49" s="68" t="s">
        <v>237</v>
      </c>
      <c r="R49" s="69" t="s">
        <v>32</v>
      </c>
      <c r="S49" s="68" t="s">
        <v>238</v>
      </c>
      <c r="T49" s="69" t="s">
        <v>32</v>
      </c>
      <c r="U49" s="97" t="s">
        <v>482</v>
      </c>
      <c r="V49" s="103" t="s">
        <v>255</v>
      </c>
      <c r="W49" s="54" t="s">
        <v>28</v>
      </c>
      <c r="X49" s="71" t="s">
        <v>239</v>
      </c>
      <c r="Y49" s="72" t="s">
        <v>11</v>
      </c>
      <c r="Z49" s="71" t="s">
        <v>240</v>
      </c>
      <c r="AA49" s="72" t="s">
        <v>11</v>
      </c>
    </row>
    <row r="50" spans="1:27" s="73" customFormat="1" ht="59.4" customHeight="1" x14ac:dyDescent="0.3">
      <c r="A50" s="89" t="s">
        <v>384</v>
      </c>
      <c r="B50" s="39">
        <v>2019</v>
      </c>
      <c r="C50" s="73" t="s">
        <v>288</v>
      </c>
      <c r="D50" s="75" t="s">
        <v>241</v>
      </c>
      <c r="E50" s="60" t="s">
        <v>11</v>
      </c>
      <c r="F50" s="61" t="s">
        <v>18</v>
      </c>
      <c r="G50" s="62" t="s">
        <v>34</v>
      </c>
      <c r="H50" s="63" t="s">
        <v>112</v>
      </c>
      <c r="I50" s="64" t="s">
        <v>11</v>
      </c>
      <c r="J50" s="65" t="s">
        <v>19</v>
      </c>
      <c r="K50" s="66" t="s">
        <v>374</v>
      </c>
      <c r="L50" s="67" t="s">
        <v>66</v>
      </c>
      <c r="M50" s="67" t="s">
        <v>483</v>
      </c>
      <c r="N50" s="66" t="s">
        <v>572</v>
      </c>
      <c r="O50" s="67" t="s">
        <v>11</v>
      </c>
      <c r="P50" s="61" t="s">
        <v>281</v>
      </c>
      <c r="Q50" s="68" t="s">
        <v>242</v>
      </c>
      <c r="R50" s="69" t="s">
        <v>32</v>
      </c>
      <c r="S50" s="68" t="s">
        <v>364</v>
      </c>
      <c r="T50" s="69" t="s">
        <v>32</v>
      </c>
      <c r="U50" s="97" t="s">
        <v>484</v>
      </c>
      <c r="V50" s="103" t="s">
        <v>255</v>
      </c>
      <c r="W50" s="54" t="s">
        <v>28</v>
      </c>
      <c r="X50" s="71" t="s">
        <v>558</v>
      </c>
      <c r="Y50" s="72" t="s">
        <v>11</v>
      </c>
      <c r="Z50" s="71" t="s">
        <v>243</v>
      </c>
      <c r="AA50" s="72" t="s">
        <v>11</v>
      </c>
    </row>
    <row r="51" spans="1:27" ht="115.2" x14ac:dyDescent="0.3">
      <c r="A51" s="1" t="s">
        <v>385</v>
      </c>
      <c r="B51" s="8">
        <v>2021</v>
      </c>
      <c r="C51" s="9" t="s">
        <v>292</v>
      </c>
      <c r="D51" s="10" t="s">
        <v>399</v>
      </c>
      <c r="E51" s="11" t="s">
        <v>11</v>
      </c>
      <c r="F51" s="12" t="s">
        <v>18</v>
      </c>
      <c r="G51" s="13" t="s">
        <v>34</v>
      </c>
      <c r="H51" s="14" t="s">
        <v>137</v>
      </c>
      <c r="I51" s="15" t="s">
        <v>11</v>
      </c>
      <c r="J51" s="16" t="s">
        <v>19</v>
      </c>
      <c r="K51" s="7"/>
      <c r="L51" s="17" t="s">
        <v>28</v>
      </c>
      <c r="M51" s="6" t="s">
        <v>485</v>
      </c>
      <c r="N51" s="7" t="s">
        <v>244</v>
      </c>
      <c r="O51" s="6" t="s">
        <v>11</v>
      </c>
      <c r="P51" s="12" t="s">
        <v>261</v>
      </c>
      <c r="Q51" s="18" t="s">
        <v>348</v>
      </c>
      <c r="R51" s="52" t="s">
        <v>28</v>
      </c>
      <c r="S51" s="18" t="s">
        <v>245</v>
      </c>
      <c r="T51" s="19" t="s">
        <v>32</v>
      </c>
      <c r="U51" s="99" t="s">
        <v>486</v>
      </c>
      <c r="V51" s="104" t="s">
        <v>255</v>
      </c>
      <c r="W51" s="100" t="s">
        <v>28</v>
      </c>
      <c r="X51" s="20" t="s">
        <v>246</v>
      </c>
      <c r="Y51" s="21" t="s">
        <v>11</v>
      </c>
      <c r="Z51" s="20" t="s">
        <v>247</v>
      </c>
      <c r="AA51" s="21" t="s">
        <v>11</v>
      </c>
    </row>
    <row r="52" spans="1:27" ht="60.6" customHeight="1" x14ac:dyDescent="0.3">
      <c r="E52" s="4"/>
      <c r="F52" s="4"/>
      <c r="G52" s="4"/>
      <c r="K52" s="4"/>
      <c r="M52" s="4" t="s">
        <v>375</v>
      </c>
      <c r="N52" s="4"/>
      <c r="Q52" s="4"/>
      <c r="R52" s="4"/>
      <c r="S52" s="4"/>
      <c r="U52" s="4"/>
      <c r="V52" s="4"/>
      <c r="X52" s="4"/>
      <c r="Z52" s="4"/>
    </row>
    <row r="53" spans="1:27" x14ac:dyDescent="0.3">
      <c r="A53" s="36" t="s">
        <v>376</v>
      </c>
      <c r="B53" s="36" t="s">
        <v>369</v>
      </c>
      <c r="E53" s="4"/>
      <c r="F53" s="4"/>
      <c r="G53" s="4"/>
      <c r="K53" s="4"/>
      <c r="N53" s="4"/>
      <c r="Q53" s="4"/>
      <c r="R53" s="4"/>
      <c r="S53" s="4"/>
      <c r="U53" s="4"/>
      <c r="V53" s="4"/>
      <c r="X53" s="4"/>
      <c r="Z53" s="4"/>
    </row>
    <row r="54" spans="1:27" ht="18" customHeight="1" x14ac:dyDescent="0.3">
      <c r="A54" s="4">
        <v>2018</v>
      </c>
      <c r="B54" s="4">
        <f>COUNTIF($B$2:$B$51, 2018)</f>
        <v>5</v>
      </c>
      <c r="E54" s="4"/>
      <c r="F54" s="4"/>
      <c r="G54" s="4"/>
      <c r="K54" s="4"/>
      <c r="N54" s="4"/>
      <c r="Q54" s="4"/>
      <c r="R54" s="4"/>
      <c r="S54" s="4"/>
      <c r="U54" s="4"/>
      <c r="V54" s="4"/>
      <c r="X54" s="4"/>
      <c r="Z54" s="4"/>
    </row>
    <row r="55" spans="1:27" x14ac:dyDescent="0.3">
      <c r="A55" s="4">
        <v>2019</v>
      </c>
      <c r="B55" s="4">
        <f>COUNTIF($B$2:$B$51, 2019)</f>
        <v>10</v>
      </c>
      <c r="E55" s="4"/>
      <c r="F55" s="4"/>
      <c r="G55" s="4"/>
      <c r="K55" s="4"/>
      <c r="N55" s="4"/>
      <c r="Q55" s="4"/>
      <c r="R55" s="4"/>
      <c r="S55" s="4"/>
      <c r="U55" s="4"/>
      <c r="V55" s="4"/>
      <c r="X55" s="4"/>
      <c r="Z55" s="4"/>
    </row>
    <row r="56" spans="1:27" x14ac:dyDescent="0.3">
      <c r="A56" s="4">
        <v>2020</v>
      </c>
      <c r="B56" s="4">
        <f>COUNTIF($B$2:$B$51, 2020)</f>
        <v>13</v>
      </c>
      <c r="E56" s="4"/>
      <c r="F56" s="4"/>
      <c r="G56" s="4"/>
      <c r="K56" s="4"/>
      <c r="N56" s="4"/>
      <c r="Q56" s="4"/>
      <c r="R56" s="4"/>
      <c r="S56" s="4"/>
      <c r="U56" s="4"/>
      <c r="V56" s="4"/>
      <c r="X56" s="4"/>
      <c r="Z56" s="4"/>
    </row>
    <row r="57" spans="1:27" x14ac:dyDescent="0.3">
      <c r="A57" s="4">
        <v>2021</v>
      </c>
      <c r="B57" s="4">
        <f>COUNTIF($B$2:$B$51, 2021)</f>
        <v>11</v>
      </c>
      <c r="E57" s="4"/>
      <c r="F57" s="4"/>
      <c r="G57" s="4"/>
      <c r="K57" s="4"/>
      <c r="N57" s="4"/>
      <c r="Q57" s="4"/>
      <c r="R57" s="4"/>
      <c r="S57" s="4"/>
      <c r="U57" s="4"/>
      <c r="V57" s="4"/>
      <c r="X57" s="4"/>
      <c r="Z57" s="4"/>
    </row>
    <row r="58" spans="1:27" x14ac:dyDescent="0.3">
      <c r="A58" s="4">
        <v>2022</v>
      </c>
      <c r="B58" s="4">
        <f>COUNTIF($B$2:$B$51, 2022)</f>
        <v>7</v>
      </c>
      <c r="E58" s="4"/>
      <c r="F58" s="4"/>
      <c r="G58" s="4"/>
      <c r="K58" s="4"/>
      <c r="N58" s="4"/>
      <c r="Q58" s="4"/>
      <c r="R58" s="4"/>
      <c r="S58" s="4"/>
      <c r="U58" s="4"/>
      <c r="V58" s="4"/>
      <c r="X58" s="4"/>
      <c r="Z58" s="4"/>
    </row>
    <row r="59" spans="1:27" x14ac:dyDescent="0.3">
      <c r="A59" s="4">
        <v>2023</v>
      </c>
      <c r="B59" s="4">
        <f>COUNTIF($B$2:$B$51, 2023)</f>
        <v>4</v>
      </c>
      <c r="E59" s="4"/>
      <c r="F59" s="4"/>
      <c r="G59" s="4"/>
      <c r="K59" s="4"/>
      <c r="N59" s="4"/>
      <c r="Q59" s="4"/>
      <c r="R59" s="4"/>
      <c r="S59" s="4"/>
      <c r="U59" s="4"/>
      <c r="V59" s="4"/>
      <c r="X59" s="4"/>
      <c r="Z59" s="4"/>
    </row>
    <row r="60" spans="1:27" x14ac:dyDescent="0.3">
      <c r="E60" s="4"/>
      <c r="F60" s="4"/>
      <c r="G60" s="4"/>
      <c r="K60" s="4"/>
      <c r="N60" s="4"/>
      <c r="Q60" s="4"/>
      <c r="R60" s="4"/>
      <c r="S60" s="4"/>
      <c r="U60" s="4"/>
      <c r="V60" s="4"/>
      <c r="X60" s="4"/>
      <c r="Z60" s="4"/>
    </row>
    <row r="61" spans="1:27" x14ac:dyDescent="0.3">
      <c r="E61" s="4"/>
      <c r="F61" s="4"/>
      <c r="G61" s="4"/>
      <c r="K61" s="4"/>
      <c r="N61" s="4"/>
      <c r="Q61" s="4"/>
      <c r="R61" s="4"/>
      <c r="S61" s="4"/>
      <c r="U61" s="4"/>
      <c r="V61" s="4"/>
      <c r="X61" s="4"/>
      <c r="Z61" s="4"/>
    </row>
    <row r="62" spans="1:27" x14ac:dyDescent="0.3">
      <c r="E62" s="4"/>
      <c r="F62" s="4"/>
      <c r="G62" s="4"/>
      <c r="K62" s="4"/>
      <c r="N62" s="4"/>
      <c r="Q62" s="4"/>
      <c r="R62" s="4"/>
      <c r="S62" s="4"/>
      <c r="U62" s="4"/>
      <c r="V62" s="4"/>
      <c r="X62" s="4"/>
      <c r="Z62" s="4"/>
    </row>
    <row r="63" spans="1:27" x14ac:dyDescent="0.3">
      <c r="E63" s="4"/>
      <c r="F63" s="4"/>
      <c r="G63" s="4"/>
      <c r="K63" s="4"/>
      <c r="N63" s="4"/>
      <c r="Q63" s="4"/>
      <c r="R63" s="4"/>
      <c r="S63" s="4"/>
      <c r="U63" s="4"/>
      <c r="V63" s="4"/>
      <c r="X63" s="4"/>
      <c r="Z63" s="4"/>
    </row>
    <row r="64" spans="1:27" x14ac:dyDescent="0.3">
      <c r="E64" s="4"/>
      <c r="F64" s="4"/>
      <c r="G64" s="4"/>
      <c r="K64" s="4"/>
      <c r="N64" s="4"/>
      <c r="Q64" s="4"/>
      <c r="R64" s="4"/>
      <c r="S64" s="4"/>
      <c r="U64" s="4"/>
      <c r="V64" s="4"/>
      <c r="X64" s="4"/>
      <c r="Z64" s="4"/>
    </row>
    <row r="65" spans="5:26" x14ac:dyDescent="0.3">
      <c r="E65" s="4"/>
      <c r="F65" s="4"/>
      <c r="G65" s="4"/>
      <c r="K65" s="4"/>
      <c r="N65" s="4"/>
      <c r="Q65" s="4"/>
      <c r="R65" s="4"/>
      <c r="S65" s="4"/>
      <c r="U65" s="4"/>
      <c r="V65" s="4"/>
      <c r="X65" s="4"/>
      <c r="Z65" s="4"/>
    </row>
    <row r="66" spans="5:26" x14ac:dyDescent="0.3">
      <c r="E66" s="4"/>
      <c r="F66" s="4"/>
      <c r="G66" s="4"/>
      <c r="K66" s="4"/>
      <c r="N66" s="4"/>
      <c r="Q66" s="4"/>
      <c r="R66" s="4"/>
      <c r="S66" s="4"/>
      <c r="U66" s="4"/>
      <c r="V66" s="4"/>
      <c r="X66" s="4"/>
      <c r="Z66" s="4"/>
    </row>
    <row r="67" spans="5:26" x14ac:dyDescent="0.3">
      <c r="E67" s="4"/>
      <c r="F67" s="4"/>
      <c r="G67" s="4"/>
      <c r="K67" s="4"/>
      <c r="N67" s="4"/>
      <c r="Q67" s="4"/>
      <c r="R67" s="4"/>
      <c r="S67" s="4"/>
      <c r="U67" s="4"/>
      <c r="V67" s="4"/>
      <c r="X67" s="4"/>
      <c r="Z67" s="4"/>
    </row>
    <row r="68" spans="5:26" x14ac:dyDescent="0.3">
      <c r="E68" s="4"/>
      <c r="F68" s="4"/>
      <c r="G68" s="4"/>
      <c r="K68" s="4"/>
      <c r="N68" s="4"/>
      <c r="Q68" s="4"/>
      <c r="R68" s="4"/>
      <c r="S68" s="4"/>
      <c r="U68" s="4"/>
      <c r="V68" s="4"/>
      <c r="X68" s="4"/>
      <c r="Z68" s="4"/>
    </row>
    <row r="69" spans="5:26" x14ac:dyDescent="0.3">
      <c r="E69" s="4"/>
      <c r="F69" s="4"/>
      <c r="G69" s="4"/>
      <c r="K69" s="4"/>
      <c r="N69" s="4"/>
      <c r="Q69" s="4"/>
      <c r="R69" s="4"/>
      <c r="S69" s="4"/>
      <c r="U69" s="4"/>
      <c r="V69" s="4"/>
      <c r="X69" s="4"/>
      <c r="Z69" s="4"/>
    </row>
    <row r="70" spans="5:26" x14ac:dyDescent="0.3">
      <c r="E70" s="4"/>
      <c r="F70" s="4"/>
      <c r="G70" s="4"/>
      <c r="K70" s="4"/>
      <c r="N70" s="4"/>
      <c r="Q70" s="4"/>
      <c r="R70" s="4"/>
      <c r="S70" s="4"/>
      <c r="U70" s="4"/>
      <c r="V70" s="4"/>
      <c r="X70" s="4"/>
      <c r="Z70" s="4"/>
    </row>
    <row r="71" spans="5:26" x14ac:dyDescent="0.3">
      <c r="E71" s="4"/>
      <c r="F71" s="4"/>
      <c r="G71" s="4"/>
      <c r="K71" s="4"/>
      <c r="N71" s="4"/>
      <c r="Q71" s="4"/>
      <c r="R71" s="4"/>
      <c r="S71" s="4"/>
      <c r="U71" s="4"/>
      <c r="V71" s="4"/>
      <c r="X71" s="4"/>
      <c r="Z71" s="4"/>
    </row>
    <row r="72" spans="5:26" x14ac:dyDescent="0.3">
      <c r="E72" s="4"/>
      <c r="F72" s="4"/>
      <c r="G72" s="4"/>
      <c r="K72" s="4"/>
      <c r="N72" s="4"/>
      <c r="Q72" s="4"/>
      <c r="R72" s="4"/>
      <c r="S72" s="4"/>
      <c r="U72" s="4"/>
      <c r="V72" s="4"/>
      <c r="X72" s="4"/>
      <c r="Z72" s="4"/>
    </row>
    <row r="73" spans="5:26" x14ac:dyDescent="0.3">
      <c r="E73" s="4"/>
      <c r="F73" s="4"/>
      <c r="G73" s="4"/>
      <c r="K73" s="4"/>
      <c r="N73" s="4"/>
      <c r="Q73" s="4"/>
      <c r="R73" s="4"/>
      <c r="S73" s="4"/>
      <c r="U73" s="4"/>
      <c r="V73" s="4"/>
      <c r="X73" s="4"/>
      <c r="Z73" s="4"/>
    </row>
    <row r="74" spans="5:26" x14ac:dyDescent="0.3">
      <c r="E74" s="4"/>
      <c r="F74" s="4"/>
      <c r="G74" s="4"/>
      <c r="K74" s="4"/>
      <c r="N74" s="4"/>
      <c r="Q74" s="4"/>
      <c r="R74" s="4"/>
      <c r="S74" s="4"/>
      <c r="U74" s="4"/>
      <c r="V74" s="4"/>
      <c r="X74" s="4"/>
      <c r="Z74" s="4"/>
    </row>
    <row r="75" spans="5:26" x14ac:dyDescent="0.3">
      <c r="E75" s="4"/>
      <c r="F75" s="4"/>
      <c r="G75" s="4"/>
      <c r="K75" s="4"/>
      <c r="N75" s="4"/>
      <c r="Q75" s="4"/>
      <c r="R75" s="4"/>
      <c r="S75" s="4"/>
      <c r="U75" s="4"/>
      <c r="V75" s="4"/>
      <c r="X75" s="4"/>
      <c r="Z75" s="4"/>
    </row>
    <row r="76" spans="5:26" x14ac:dyDescent="0.3">
      <c r="E76" s="4"/>
      <c r="F76" s="4"/>
      <c r="G76" s="4"/>
      <c r="K76" s="4"/>
      <c r="N76" s="4"/>
      <c r="Q76" s="4"/>
      <c r="R76" s="4"/>
      <c r="S76" s="4"/>
      <c r="U76" s="4"/>
      <c r="V76" s="4"/>
      <c r="X76" s="4"/>
      <c r="Z76" s="4"/>
    </row>
    <row r="77" spans="5:26" x14ac:dyDescent="0.3">
      <c r="E77" s="4"/>
      <c r="F77" s="4"/>
      <c r="G77" s="4"/>
      <c r="K77" s="4"/>
      <c r="N77" s="4"/>
      <c r="Q77" s="4"/>
      <c r="R77" s="4"/>
      <c r="S77" s="4"/>
      <c r="U77" s="4"/>
      <c r="V77" s="4"/>
      <c r="X77" s="4"/>
      <c r="Z77" s="4"/>
    </row>
    <row r="78" spans="5:26" x14ac:dyDescent="0.3">
      <c r="E78" s="4"/>
      <c r="F78" s="4"/>
      <c r="G78" s="4"/>
      <c r="K78" s="4"/>
      <c r="N78" s="4"/>
      <c r="Q78" s="4"/>
      <c r="R78" s="4"/>
      <c r="S78" s="4"/>
      <c r="U78" s="4"/>
      <c r="V78" s="4"/>
      <c r="X78" s="4"/>
      <c r="Z78" s="4"/>
    </row>
    <row r="79" spans="5:26" x14ac:dyDescent="0.3">
      <c r="E79" s="4"/>
      <c r="F79" s="4"/>
      <c r="G79" s="4"/>
      <c r="K79" s="4"/>
      <c r="N79" s="4"/>
      <c r="Q79" s="4"/>
      <c r="R79" s="4"/>
      <c r="S79" s="4"/>
      <c r="U79" s="4"/>
      <c r="V79" s="4"/>
      <c r="X79" s="4"/>
      <c r="Z79" s="4"/>
    </row>
    <row r="80" spans="5:26" x14ac:dyDescent="0.3">
      <c r="E80" s="4"/>
      <c r="F80" s="4"/>
      <c r="G80" s="4"/>
      <c r="K80" s="4"/>
      <c r="N80" s="4"/>
      <c r="Q80" s="4"/>
      <c r="R80" s="4"/>
      <c r="S80" s="4"/>
      <c r="U80" s="4"/>
      <c r="V80" s="4"/>
      <c r="X80" s="4"/>
      <c r="Z80" s="4"/>
    </row>
    <row r="81" spans="5:26" x14ac:dyDescent="0.3">
      <c r="E81" s="4"/>
      <c r="F81" s="4"/>
      <c r="G81" s="4"/>
      <c r="K81" s="4"/>
      <c r="N81" s="4"/>
      <c r="Q81" s="4"/>
      <c r="R81" s="4"/>
      <c r="S81" s="4"/>
      <c r="U81" s="4"/>
      <c r="V81" s="4"/>
      <c r="X81" s="4"/>
      <c r="Z81" s="4"/>
    </row>
    <row r="82" spans="5:26" x14ac:dyDescent="0.3">
      <c r="E82" s="4"/>
      <c r="F82" s="4"/>
      <c r="G82" s="4"/>
      <c r="K82" s="4"/>
      <c r="N82" s="4"/>
      <c r="Q82" s="4"/>
      <c r="R82" s="4"/>
      <c r="S82" s="4"/>
      <c r="U82" s="4"/>
      <c r="V82" s="4"/>
      <c r="X82" s="4"/>
      <c r="Z82" s="4"/>
    </row>
    <row r="83" spans="5:26" x14ac:dyDescent="0.3">
      <c r="E83" s="4"/>
      <c r="F83" s="4"/>
      <c r="G83" s="4"/>
      <c r="K83" s="4"/>
      <c r="N83" s="4"/>
      <c r="Q83" s="4"/>
      <c r="R83" s="4"/>
      <c r="S83" s="4"/>
      <c r="U83" s="4"/>
      <c r="V83" s="4"/>
      <c r="X83" s="4"/>
      <c r="Z83" s="4"/>
    </row>
    <row r="84" spans="5:26" x14ac:dyDescent="0.3">
      <c r="E84" s="4"/>
      <c r="F84" s="4"/>
      <c r="G84" s="4"/>
      <c r="K84" s="4"/>
      <c r="N84" s="4"/>
      <c r="Q84" s="4"/>
      <c r="R84" s="4"/>
      <c r="S84" s="4"/>
      <c r="U84" s="4"/>
      <c r="V84" s="4"/>
      <c r="X84" s="4"/>
      <c r="Z84" s="4"/>
    </row>
    <row r="85" spans="5:26" x14ac:dyDescent="0.3">
      <c r="E85" s="4"/>
      <c r="F85" s="4"/>
      <c r="G85" s="4"/>
      <c r="K85" s="4"/>
      <c r="N85" s="4"/>
      <c r="Q85" s="4"/>
      <c r="R85" s="4"/>
      <c r="S85" s="4"/>
      <c r="U85" s="4"/>
      <c r="V85" s="4"/>
      <c r="X85" s="4"/>
      <c r="Z85" s="4"/>
    </row>
    <row r="86" spans="5:26" x14ac:dyDescent="0.3">
      <c r="E86" s="4"/>
      <c r="F86" s="4"/>
      <c r="G86" s="4"/>
      <c r="K86" s="4"/>
      <c r="N86" s="4"/>
      <c r="Q86" s="4"/>
      <c r="R86" s="4"/>
      <c r="S86" s="4"/>
      <c r="U86" s="4"/>
      <c r="V86" s="4"/>
      <c r="X86" s="4"/>
      <c r="Z86" s="4"/>
    </row>
    <row r="87" spans="5:26" x14ac:dyDescent="0.3">
      <c r="E87" s="4"/>
      <c r="F87" s="4"/>
      <c r="G87" s="4"/>
      <c r="K87" s="4"/>
      <c r="N87" s="4"/>
      <c r="Q87" s="4"/>
      <c r="R87" s="4"/>
      <c r="S87" s="4"/>
      <c r="U87" s="4"/>
      <c r="V87" s="4"/>
      <c r="X87" s="4"/>
      <c r="Z87" s="4"/>
    </row>
    <row r="88" spans="5:26" x14ac:dyDescent="0.3">
      <c r="E88" s="4"/>
      <c r="F88" s="4"/>
      <c r="G88" s="4"/>
      <c r="K88" s="4"/>
      <c r="N88" s="4"/>
      <c r="Q88" s="4"/>
      <c r="R88" s="4"/>
      <c r="S88" s="4"/>
      <c r="U88" s="4"/>
      <c r="V88" s="4"/>
      <c r="X88" s="4"/>
      <c r="Z88" s="4"/>
    </row>
    <row r="89" spans="5:26" x14ac:dyDescent="0.3">
      <c r="E89" s="4"/>
      <c r="F89" s="4"/>
      <c r="G89" s="4"/>
      <c r="K89" s="4"/>
      <c r="N89" s="4"/>
      <c r="Q89" s="4"/>
      <c r="R89" s="4"/>
      <c r="S89" s="4"/>
      <c r="U89" s="4"/>
      <c r="V89" s="4"/>
      <c r="X89" s="4"/>
      <c r="Z89" s="4"/>
    </row>
    <row r="90" spans="5:26" x14ac:dyDescent="0.3">
      <c r="E90" s="4"/>
      <c r="F90" s="4"/>
      <c r="G90" s="4"/>
      <c r="K90" s="4"/>
      <c r="N90" s="4"/>
      <c r="Q90" s="4"/>
      <c r="R90" s="4"/>
      <c r="S90" s="4"/>
      <c r="U90" s="4"/>
      <c r="V90" s="4"/>
      <c r="X90" s="4"/>
      <c r="Z90" s="4"/>
    </row>
    <row r="91" spans="5:26" x14ac:dyDescent="0.3">
      <c r="E91" s="4"/>
      <c r="F91" s="4"/>
      <c r="G91" s="4"/>
      <c r="K91" s="4"/>
      <c r="N91" s="4"/>
      <c r="Q91" s="4"/>
      <c r="R91" s="4"/>
      <c r="S91" s="4"/>
      <c r="U91" s="4"/>
      <c r="V91" s="4"/>
      <c r="X91" s="4"/>
      <c r="Z91" s="4"/>
    </row>
    <row r="92" spans="5:26" x14ac:dyDescent="0.3">
      <c r="E92" s="4"/>
      <c r="F92" s="4"/>
      <c r="G92" s="4"/>
      <c r="K92" s="4"/>
      <c r="N92" s="4"/>
      <c r="Q92" s="4"/>
      <c r="R92" s="4"/>
      <c r="S92" s="4"/>
      <c r="U92" s="4"/>
      <c r="V92" s="4"/>
      <c r="X92" s="4"/>
      <c r="Z92" s="4"/>
    </row>
    <row r="93" spans="5:26" x14ac:dyDescent="0.3">
      <c r="E93" s="4"/>
      <c r="F93" s="4"/>
      <c r="G93" s="4"/>
      <c r="K93" s="4"/>
      <c r="N93" s="4"/>
      <c r="Q93" s="4"/>
      <c r="R93" s="4"/>
      <c r="S93" s="4"/>
      <c r="U93" s="4"/>
      <c r="V93" s="4"/>
      <c r="X93" s="4"/>
      <c r="Z93" s="4"/>
    </row>
    <row r="94" spans="5:26" x14ac:dyDescent="0.3">
      <c r="E94" s="4"/>
      <c r="F94" s="4"/>
      <c r="G94" s="4"/>
      <c r="K94" s="4"/>
      <c r="N94" s="4"/>
      <c r="Q94" s="4"/>
      <c r="R94" s="4"/>
      <c r="S94" s="4"/>
      <c r="U94" s="4"/>
      <c r="V94" s="4"/>
      <c r="X94" s="4"/>
      <c r="Z94" s="4"/>
    </row>
    <row r="95" spans="5:26" x14ac:dyDescent="0.3">
      <c r="E95" s="4"/>
      <c r="F95" s="4"/>
      <c r="G95" s="4"/>
      <c r="K95" s="4"/>
      <c r="N95" s="4"/>
      <c r="Q95" s="4"/>
      <c r="R95" s="4"/>
      <c r="S95" s="4"/>
      <c r="U95" s="4"/>
      <c r="V95" s="4"/>
      <c r="X95" s="4"/>
      <c r="Z95" s="4"/>
    </row>
    <row r="96" spans="5:26" x14ac:dyDescent="0.3">
      <c r="E96" s="4"/>
      <c r="F96" s="4"/>
      <c r="G96" s="4"/>
      <c r="K96" s="4"/>
      <c r="N96" s="4"/>
      <c r="Q96" s="4"/>
      <c r="R96" s="4"/>
      <c r="S96" s="4"/>
      <c r="U96" s="4"/>
      <c r="V96" s="4"/>
      <c r="X96" s="4"/>
      <c r="Z96" s="4"/>
    </row>
    <row r="97" spans="5:26" x14ac:dyDescent="0.3">
      <c r="E97" s="4"/>
      <c r="F97" s="4"/>
      <c r="G97" s="4"/>
      <c r="K97" s="4"/>
      <c r="N97" s="4"/>
      <c r="Q97" s="4"/>
      <c r="R97" s="4"/>
      <c r="S97" s="4"/>
      <c r="U97" s="4"/>
      <c r="V97" s="4"/>
      <c r="X97" s="4"/>
      <c r="Z97" s="4"/>
    </row>
    <row r="98" spans="5:26" x14ac:dyDescent="0.3">
      <c r="E98" s="4"/>
      <c r="F98" s="4"/>
      <c r="G98" s="4"/>
      <c r="K98" s="4"/>
      <c r="N98" s="4"/>
      <c r="Q98" s="4"/>
      <c r="R98" s="4"/>
      <c r="S98" s="4"/>
      <c r="U98" s="4"/>
      <c r="V98" s="4"/>
      <c r="X98" s="4"/>
      <c r="Z98" s="4"/>
    </row>
    <row r="99" spans="5:26" x14ac:dyDescent="0.3">
      <c r="E99" s="4"/>
      <c r="F99" s="4"/>
      <c r="G99" s="4"/>
      <c r="K99" s="4"/>
      <c r="N99" s="4"/>
      <c r="Q99" s="4"/>
      <c r="R99" s="4"/>
      <c r="S99" s="4"/>
      <c r="U99" s="4"/>
      <c r="V99" s="4"/>
      <c r="X99" s="4"/>
      <c r="Z99" s="4"/>
    </row>
    <row r="100" spans="5:26" x14ac:dyDescent="0.3">
      <c r="E100" s="4"/>
      <c r="F100" s="4"/>
      <c r="G100" s="4"/>
      <c r="K100" s="4"/>
      <c r="N100" s="4"/>
      <c r="Q100" s="4"/>
      <c r="R100" s="4"/>
      <c r="S100" s="4"/>
      <c r="U100" s="4"/>
      <c r="V100" s="4"/>
      <c r="X100" s="4"/>
      <c r="Z100" s="4"/>
    </row>
    <row r="101" spans="5:26" x14ac:dyDescent="0.3">
      <c r="E101" s="4"/>
      <c r="F101" s="4"/>
      <c r="G101" s="4"/>
      <c r="K101" s="4"/>
      <c r="N101" s="4"/>
      <c r="Q101" s="4"/>
      <c r="R101" s="4"/>
      <c r="S101" s="4"/>
      <c r="U101" s="4"/>
      <c r="V101" s="4"/>
      <c r="X101" s="4"/>
      <c r="Z101" s="4"/>
    </row>
    <row r="102" spans="5:26" x14ac:dyDescent="0.3">
      <c r="E102" s="4"/>
      <c r="F102" s="4"/>
      <c r="G102" s="4"/>
      <c r="K102" s="4"/>
      <c r="N102" s="4"/>
      <c r="Q102" s="4"/>
      <c r="R102" s="4"/>
      <c r="S102" s="4"/>
      <c r="U102" s="4"/>
      <c r="V102" s="4"/>
      <c r="X102" s="4"/>
      <c r="Z102" s="4"/>
    </row>
    <row r="103" spans="5:26" x14ac:dyDescent="0.3">
      <c r="E103" s="4"/>
      <c r="F103" s="4"/>
      <c r="G103" s="4"/>
      <c r="K103" s="4"/>
      <c r="N103" s="4"/>
      <c r="Q103" s="4"/>
      <c r="R103" s="4"/>
      <c r="S103" s="4"/>
      <c r="U103" s="4"/>
      <c r="V103" s="4"/>
      <c r="X103" s="4"/>
      <c r="Z103" s="4"/>
    </row>
    <row r="104" spans="5:26" x14ac:dyDescent="0.3">
      <c r="E104" s="4"/>
      <c r="F104" s="4"/>
      <c r="G104" s="4"/>
      <c r="K104" s="4"/>
      <c r="N104" s="4"/>
      <c r="Q104" s="4"/>
      <c r="R104" s="4"/>
      <c r="S104" s="4"/>
      <c r="U104" s="4"/>
      <c r="V104" s="4"/>
      <c r="X104" s="4"/>
      <c r="Z104" s="4"/>
    </row>
    <row r="105" spans="5:26" x14ac:dyDescent="0.3">
      <c r="E105" s="4"/>
      <c r="F105" s="4"/>
      <c r="G105" s="4"/>
      <c r="K105" s="4"/>
      <c r="N105" s="4"/>
      <c r="Q105" s="4"/>
      <c r="R105" s="4"/>
      <c r="S105" s="4"/>
      <c r="U105" s="4"/>
      <c r="V105" s="4"/>
      <c r="X105" s="4"/>
      <c r="Z105" s="4"/>
    </row>
    <row r="106" spans="5:26" x14ac:dyDescent="0.3">
      <c r="E106" s="4"/>
      <c r="F106" s="4"/>
      <c r="G106" s="4"/>
      <c r="K106" s="4"/>
      <c r="N106" s="4"/>
      <c r="Q106" s="4"/>
      <c r="R106" s="4"/>
      <c r="S106" s="4"/>
      <c r="U106" s="4"/>
      <c r="V106" s="4"/>
      <c r="X106" s="4"/>
      <c r="Z106" s="4"/>
    </row>
    <row r="107" spans="5:26" x14ac:dyDescent="0.3">
      <c r="E107" s="4"/>
      <c r="F107" s="4"/>
      <c r="G107" s="4"/>
      <c r="K107" s="4"/>
      <c r="N107" s="4"/>
      <c r="Q107" s="4"/>
      <c r="R107" s="4"/>
      <c r="S107" s="4"/>
      <c r="U107" s="4"/>
      <c r="V107" s="4"/>
      <c r="X107" s="4"/>
      <c r="Z107" s="4"/>
    </row>
    <row r="108" spans="5:26" x14ac:dyDescent="0.3">
      <c r="E108" s="4"/>
      <c r="F108" s="4"/>
      <c r="G108" s="4"/>
      <c r="K108" s="4"/>
      <c r="N108" s="4"/>
      <c r="Q108" s="4"/>
      <c r="R108" s="4"/>
      <c r="S108" s="4"/>
      <c r="U108" s="4"/>
      <c r="V108" s="4"/>
      <c r="X108" s="4"/>
      <c r="Z108" s="4"/>
    </row>
    <row r="109" spans="5:26" x14ac:dyDescent="0.3">
      <c r="E109" s="4"/>
      <c r="F109" s="4"/>
      <c r="G109" s="4"/>
      <c r="K109" s="4"/>
      <c r="N109" s="4"/>
      <c r="Q109" s="4"/>
      <c r="R109" s="4"/>
      <c r="S109" s="4"/>
      <c r="U109" s="4"/>
      <c r="V109" s="4"/>
      <c r="X109" s="4"/>
      <c r="Z109" s="4"/>
    </row>
    <row r="110" spans="5:26" x14ac:dyDescent="0.3">
      <c r="E110" s="4"/>
      <c r="F110" s="4"/>
      <c r="G110" s="4"/>
      <c r="K110" s="4"/>
      <c r="N110" s="4"/>
      <c r="Q110" s="4"/>
      <c r="R110" s="4"/>
      <c r="S110" s="4"/>
      <c r="U110" s="4"/>
      <c r="V110" s="4"/>
      <c r="X110" s="4"/>
      <c r="Z110" s="4"/>
    </row>
    <row r="111" spans="5:26" x14ac:dyDescent="0.3">
      <c r="E111" s="4"/>
      <c r="F111" s="4"/>
      <c r="G111" s="4"/>
      <c r="K111" s="4"/>
      <c r="N111" s="4"/>
      <c r="Q111" s="4"/>
      <c r="R111" s="4"/>
      <c r="S111" s="4"/>
      <c r="U111" s="4"/>
      <c r="V111" s="4"/>
      <c r="X111" s="4"/>
      <c r="Z111" s="4"/>
    </row>
    <row r="112" spans="5:26" x14ac:dyDescent="0.3">
      <c r="E112" s="4"/>
      <c r="F112" s="4"/>
      <c r="G112" s="4"/>
      <c r="K112" s="4"/>
      <c r="N112" s="4"/>
      <c r="Q112" s="4"/>
      <c r="R112" s="4"/>
      <c r="S112" s="4"/>
      <c r="U112" s="4"/>
      <c r="V112" s="4"/>
      <c r="X112" s="4"/>
      <c r="Z112" s="4"/>
    </row>
    <row r="113" spans="5:26" x14ac:dyDescent="0.3">
      <c r="E113" s="4"/>
      <c r="F113" s="4"/>
      <c r="G113" s="4"/>
      <c r="K113" s="4"/>
      <c r="N113" s="4"/>
      <c r="Q113" s="4"/>
      <c r="R113" s="4"/>
      <c r="S113" s="4"/>
      <c r="U113" s="4"/>
      <c r="V113" s="4"/>
      <c r="X113" s="4"/>
      <c r="Z113" s="4"/>
    </row>
    <row r="114" spans="5:26" x14ac:dyDescent="0.3">
      <c r="E114" s="4"/>
      <c r="F114" s="4"/>
      <c r="G114" s="4"/>
      <c r="K114" s="4"/>
      <c r="N114" s="4"/>
      <c r="Q114" s="4"/>
      <c r="R114" s="4"/>
      <c r="S114" s="4"/>
      <c r="U114" s="4"/>
      <c r="V114" s="4"/>
      <c r="X114" s="4"/>
      <c r="Z114" s="4"/>
    </row>
    <row r="115" spans="5:26" x14ac:dyDescent="0.3">
      <c r="E115" s="4"/>
      <c r="F115" s="4"/>
      <c r="G115" s="4"/>
      <c r="K115" s="4"/>
      <c r="N115" s="4"/>
      <c r="Q115" s="4"/>
      <c r="R115" s="4"/>
      <c r="S115" s="4"/>
      <c r="U115" s="4"/>
      <c r="V115" s="4"/>
      <c r="X115" s="4"/>
      <c r="Z115" s="4"/>
    </row>
    <row r="116" spans="5:26" x14ac:dyDescent="0.3">
      <c r="E116" s="4"/>
      <c r="F116" s="4"/>
      <c r="G116" s="4"/>
      <c r="K116" s="4"/>
      <c r="N116" s="4"/>
      <c r="Q116" s="4"/>
      <c r="R116" s="4"/>
      <c r="S116" s="4"/>
      <c r="U116" s="4"/>
      <c r="V116" s="4"/>
      <c r="X116" s="4"/>
      <c r="Z116" s="4"/>
    </row>
    <row r="117" spans="5:26" x14ac:dyDescent="0.3">
      <c r="E117" s="4"/>
      <c r="F117" s="4"/>
      <c r="G117" s="4"/>
      <c r="K117" s="4"/>
      <c r="N117" s="4"/>
      <c r="Q117" s="4"/>
      <c r="R117" s="4"/>
      <c r="S117" s="4"/>
      <c r="U117" s="4"/>
      <c r="V117" s="4"/>
      <c r="X117" s="4"/>
      <c r="Z117" s="4"/>
    </row>
    <row r="118" spans="5:26" x14ac:dyDescent="0.3">
      <c r="E118" s="4"/>
      <c r="F118" s="4"/>
      <c r="G118" s="4"/>
      <c r="K118" s="4"/>
      <c r="N118" s="4"/>
      <c r="Q118" s="4"/>
      <c r="R118" s="4"/>
      <c r="S118" s="4"/>
      <c r="U118" s="4"/>
      <c r="V118" s="4"/>
      <c r="X118" s="4"/>
      <c r="Z118" s="4"/>
    </row>
    <row r="119" spans="5:26" x14ac:dyDescent="0.3">
      <c r="E119" s="4"/>
      <c r="F119" s="4"/>
      <c r="G119" s="4"/>
      <c r="K119" s="4"/>
      <c r="N119" s="4"/>
      <c r="Q119" s="4"/>
      <c r="R119" s="4"/>
      <c r="S119" s="4"/>
      <c r="U119" s="4"/>
      <c r="V119" s="4"/>
      <c r="X119" s="4"/>
      <c r="Z119" s="4"/>
    </row>
    <row r="120" spans="5:26" x14ac:dyDescent="0.3">
      <c r="E120" s="4"/>
      <c r="F120" s="4"/>
      <c r="G120" s="4"/>
      <c r="K120" s="4"/>
      <c r="N120" s="4"/>
      <c r="Q120" s="4"/>
      <c r="R120" s="4"/>
      <c r="S120" s="4"/>
      <c r="U120" s="4"/>
      <c r="V120" s="4"/>
      <c r="X120" s="4"/>
      <c r="Z120" s="4"/>
    </row>
    <row r="121" spans="5:26" x14ac:dyDescent="0.3">
      <c r="E121" s="4"/>
      <c r="F121" s="4"/>
      <c r="G121" s="4"/>
      <c r="K121" s="4"/>
      <c r="N121" s="4"/>
      <c r="Q121" s="4"/>
      <c r="R121" s="4"/>
      <c r="S121" s="4"/>
      <c r="U121" s="4"/>
      <c r="V121" s="4"/>
      <c r="X121" s="4"/>
      <c r="Z121" s="4"/>
    </row>
    <row r="122" spans="5:26" x14ac:dyDescent="0.3">
      <c r="E122" s="4"/>
      <c r="F122" s="4"/>
      <c r="G122" s="4"/>
      <c r="K122" s="4"/>
      <c r="N122" s="4"/>
      <c r="Q122" s="4"/>
      <c r="R122" s="4"/>
      <c r="S122" s="4"/>
      <c r="U122" s="4"/>
      <c r="V122" s="4"/>
      <c r="X122" s="4"/>
      <c r="Z122" s="4"/>
    </row>
    <row r="123" spans="5:26" x14ac:dyDescent="0.3">
      <c r="E123" s="4"/>
      <c r="F123" s="4"/>
      <c r="G123" s="4"/>
      <c r="K123" s="4"/>
      <c r="N123" s="4"/>
      <c r="Q123" s="4"/>
      <c r="R123" s="4"/>
      <c r="S123" s="4"/>
      <c r="U123" s="4"/>
      <c r="V123" s="4"/>
      <c r="X123" s="4"/>
      <c r="Z123" s="4"/>
    </row>
    <row r="124" spans="5:26" x14ac:dyDescent="0.3">
      <c r="E124" s="4"/>
      <c r="F124" s="4"/>
      <c r="G124" s="4"/>
      <c r="K124" s="4"/>
      <c r="N124" s="4"/>
      <c r="Q124" s="4"/>
      <c r="R124" s="4"/>
      <c r="S124" s="4"/>
      <c r="U124" s="4"/>
      <c r="V124" s="4"/>
      <c r="X124" s="4"/>
      <c r="Z124" s="4"/>
    </row>
    <row r="125" spans="5:26" x14ac:dyDescent="0.3">
      <c r="E125" s="4"/>
      <c r="F125" s="4"/>
      <c r="G125" s="4"/>
      <c r="K125" s="4"/>
      <c r="N125" s="4"/>
      <c r="Q125" s="4"/>
      <c r="R125" s="4"/>
      <c r="S125" s="4"/>
      <c r="U125" s="4"/>
      <c r="V125" s="4"/>
      <c r="X125" s="4"/>
      <c r="Z125" s="4"/>
    </row>
    <row r="126" spans="5:26" x14ac:dyDescent="0.3">
      <c r="E126" s="4"/>
      <c r="F126" s="4"/>
      <c r="G126" s="4"/>
      <c r="K126" s="4"/>
      <c r="N126" s="4"/>
      <c r="Q126" s="4"/>
      <c r="R126" s="4"/>
      <c r="S126" s="4"/>
      <c r="U126" s="4"/>
      <c r="V126" s="4"/>
      <c r="X126" s="4"/>
      <c r="Z126" s="4"/>
    </row>
    <row r="127" spans="5:26" x14ac:dyDescent="0.3">
      <c r="E127" s="4"/>
      <c r="F127" s="4"/>
      <c r="G127" s="4"/>
      <c r="K127" s="4"/>
      <c r="N127" s="4"/>
      <c r="Q127" s="4"/>
      <c r="R127" s="4"/>
      <c r="S127" s="4"/>
      <c r="U127" s="4"/>
      <c r="V127" s="4"/>
      <c r="X127" s="4"/>
      <c r="Z127" s="4"/>
    </row>
    <row r="128" spans="5:26" x14ac:dyDescent="0.3">
      <c r="E128" s="4"/>
      <c r="F128" s="4"/>
      <c r="G128" s="4"/>
      <c r="K128" s="4"/>
      <c r="N128" s="4"/>
      <c r="Q128" s="4"/>
      <c r="R128" s="4"/>
      <c r="S128" s="4"/>
      <c r="U128" s="4"/>
      <c r="V128" s="4"/>
      <c r="X128" s="4"/>
      <c r="Z128" s="4"/>
    </row>
    <row r="129" spans="5:26" x14ac:dyDescent="0.3">
      <c r="E129" s="4"/>
      <c r="F129" s="4"/>
      <c r="G129" s="4"/>
      <c r="K129" s="4"/>
      <c r="N129" s="4"/>
      <c r="Q129" s="4"/>
      <c r="R129" s="4"/>
      <c r="S129" s="4"/>
      <c r="U129" s="4"/>
      <c r="V129" s="4"/>
      <c r="X129" s="4"/>
      <c r="Z129" s="4"/>
    </row>
    <row r="130" spans="5:26" x14ac:dyDescent="0.3">
      <c r="E130" s="4"/>
      <c r="F130" s="4"/>
      <c r="G130" s="4"/>
      <c r="K130" s="4"/>
      <c r="N130" s="4"/>
      <c r="Q130" s="4"/>
      <c r="R130" s="4"/>
      <c r="S130" s="4"/>
      <c r="U130" s="4"/>
      <c r="V130" s="4"/>
      <c r="X130" s="4"/>
      <c r="Z130" s="4"/>
    </row>
    <row r="131" spans="5:26" x14ac:dyDescent="0.3">
      <c r="E131" s="4"/>
      <c r="F131" s="4"/>
      <c r="G131" s="4"/>
      <c r="K131" s="4"/>
      <c r="N131" s="4"/>
      <c r="Q131" s="4"/>
      <c r="R131" s="4"/>
      <c r="S131" s="4"/>
      <c r="U131" s="4"/>
      <c r="V131" s="4"/>
      <c r="X131" s="4"/>
      <c r="Z131" s="4"/>
    </row>
    <row r="132" spans="5:26" x14ac:dyDescent="0.3">
      <c r="E132" s="4"/>
      <c r="F132" s="4"/>
      <c r="G132" s="4"/>
      <c r="K132" s="4"/>
      <c r="N132" s="4"/>
      <c r="Q132" s="4"/>
      <c r="R132" s="4"/>
      <c r="S132" s="4"/>
      <c r="U132" s="4"/>
      <c r="V132" s="4"/>
      <c r="X132" s="4"/>
      <c r="Z132" s="4"/>
    </row>
    <row r="133" spans="5:26" x14ac:dyDescent="0.3">
      <c r="E133" s="4"/>
      <c r="F133" s="4"/>
      <c r="G133" s="4"/>
      <c r="K133" s="4"/>
      <c r="N133" s="4"/>
      <c r="Q133" s="4"/>
      <c r="R133" s="4"/>
      <c r="S133" s="4"/>
      <c r="U133" s="4"/>
      <c r="V133" s="4"/>
      <c r="X133" s="4"/>
      <c r="Z133" s="4"/>
    </row>
    <row r="134" spans="5:26" x14ac:dyDescent="0.3">
      <c r="E134" s="4"/>
      <c r="F134" s="4"/>
      <c r="G134" s="4"/>
      <c r="K134" s="4"/>
      <c r="N134" s="4"/>
      <c r="Q134" s="4"/>
      <c r="R134" s="4"/>
      <c r="S134" s="4"/>
      <c r="U134" s="4"/>
      <c r="V134" s="4"/>
      <c r="X134" s="4"/>
      <c r="Z134" s="4"/>
    </row>
    <row r="135" spans="5:26" x14ac:dyDescent="0.3">
      <c r="E135" s="4"/>
      <c r="F135" s="4"/>
      <c r="G135" s="4"/>
      <c r="K135" s="4"/>
      <c r="N135" s="4"/>
      <c r="Q135" s="4"/>
      <c r="R135" s="4"/>
      <c r="S135" s="4"/>
      <c r="U135" s="4"/>
      <c r="V135" s="4"/>
      <c r="X135" s="4"/>
      <c r="Z135" s="4"/>
    </row>
    <row r="136" spans="5:26" x14ac:dyDescent="0.3">
      <c r="E136" s="4"/>
      <c r="F136" s="4"/>
      <c r="G136" s="4"/>
      <c r="K136" s="4"/>
      <c r="N136" s="4"/>
      <c r="Q136" s="4"/>
      <c r="R136" s="4"/>
      <c r="S136" s="4"/>
      <c r="U136" s="4"/>
      <c r="V136" s="4"/>
      <c r="X136" s="4"/>
      <c r="Z136" s="4"/>
    </row>
    <row r="137" spans="5:26" x14ac:dyDescent="0.3">
      <c r="E137" s="4"/>
      <c r="F137" s="4"/>
      <c r="G137" s="4"/>
      <c r="K137" s="4"/>
      <c r="N137" s="4"/>
      <c r="Q137" s="4"/>
      <c r="R137" s="4"/>
      <c r="S137" s="4"/>
      <c r="U137" s="4"/>
      <c r="V137" s="4"/>
      <c r="X137" s="4"/>
      <c r="Z137" s="4"/>
    </row>
    <row r="138" spans="5:26" x14ac:dyDescent="0.3">
      <c r="E138" s="4"/>
      <c r="F138" s="4"/>
      <c r="G138" s="4"/>
      <c r="K138" s="4"/>
      <c r="N138" s="4"/>
      <c r="Q138" s="4"/>
      <c r="R138" s="4"/>
      <c r="S138" s="4"/>
      <c r="U138" s="4"/>
      <c r="V138" s="4"/>
      <c r="X138" s="4"/>
      <c r="Z138" s="4"/>
    </row>
    <row r="139" spans="5:26" x14ac:dyDescent="0.3">
      <c r="E139" s="4"/>
      <c r="F139" s="4"/>
      <c r="G139" s="4"/>
      <c r="K139" s="4"/>
      <c r="N139" s="4"/>
      <c r="Q139" s="4"/>
      <c r="R139" s="4"/>
      <c r="S139" s="4"/>
      <c r="U139" s="4"/>
      <c r="V139" s="4"/>
      <c r="X139" s="4"/>
      <c r="Z139" s="4"/>
    </row>
    <row r="140" spans="5:26" x14ac:dyDescent="0.3">
      <c r="E140" s="4"/>
      <c r="F140" s="4"/>
      <c r="G140" s="4"/>
      <c r="K140" s="4"/>
      <c r="N140" s="4"/>
      <c r="Q140" s="4"/>
      <c r="R140" s="4"/>
      <c r="S140" s="4"/>
      <c r="U140" s="4"/>
      <c r="V140" s="4"/>
      <c r="X140" s="4"/>
      <c r="Z140" s="4"/>
    </row>
    <row r="141" spans="5:26" x14ac:dyDescent="0.3">
      <c r="E141" s="4"/>
      <c r="F141" s="4"/>
      <c r="G141" s="4"/>
      <c r="K141" s="4"/>
      <c r="N141" s="4"/>
      <c r="Q141" s="4"/>
      <c r="R141" s="4"/>
      <c r="S141" s="4"/>
      <c r="U141" s="4"/>
      <c r="V141" s="4"/>
      <c r="X141" s="4"/>
      <c r="Z141" s="4"/>
    </row>
    <row r="142" spans="5:26" x14ac:dyDescent="0.3">
      <c r="E142" s="4"/>
      <c r="F142" s="4"/>
      <c r="G142" s="4"/>
      <c r="K142" s="4"/>
      <c r="N142" s="4"/>
      <c r="Q142" s="4"/>
      <c r="R142" s="4"/>
      <c r="S142" s="4"/>
      <c r="U142" s="4"/>
      <c r="V142" s="4"/>
      <c r="X142" s="4"/>
      <c r="Z142" s="4"/>
    </row>
    <row r="143" spans="5:26" x14ac:dyDescent="0.3">
      <c r="E143" s="4"/>
      <c r="F143" s="4"/>
      <c r="G143" s="4"/>
      <c r="K143" s="4"/>
      <c r="N143" s="4"/>
      <c r="Q143" s="4"/>
      <c r="R143" s="4"/>
      <c r="S143" s="4"/>
      <c r="U143" s="4"/>
      <c r="V143" s="4"/>
      <c r="X143" s="4"/>
      <c r="Z143" s="4"/>
    </row>
    <row r="144" spans="5:26" x14ac:dyDescent="0.3">
      <c r="E144" s="4"/>
      <c r="F144" s="4"/>
      <c r="G144" s="4"/>
      <c r="K144" s="4"/>
      <c r="N144" s="4"/>
      <c r="Q144" s="4"/>
      <c r="R144" s="4"/>
      <c r="S144" s="4"/>
      <c r="U144" s="4"/>
      <c r="V144" s="4"/>
      <c r="X144" s="4"/>
      <c r="Z144" s="4"/>
    </row>
    <row r="145" spans="5:26" x14ac:dyDescent="0.3">
      <c r="E145" s="4"/>
      <c r="F145" s="4"/>
      <c r="G145" s="4"/>
      <c r="K145" s="4"/>
      <c r="N145" s="4"/>
      <c r="Q145" s="4"/>
      <c r="R145" s="4"/>
      <c r="S145" s="4"/>
      <c r="U145" s="4"/>
      <c r="V145" s="4"/>
      <c r="X145" s="4"/>
      <c r="Z145" s="4"/>
    </row>
    <row r="146" spans="5:26" x14ac:dyDescent="0.3">
      <c r="E146" s="4"/>
      <c r="F146" s="4"/>
      <c r="G146" s="4"/>
      <c r="K146" s="4"/>
      <c r="N146" s="4"/>
      <c r="Q146" s="4"/>
      <c r="R146" s="4"/>
      <c r="S146" s="4"/>
      <c r="U146" s="4"/>
      <c r="V146" s="4"/>
      <c r="X146" s="4"/>
      <c r="Z146" s="4"/>
    </row>
    <row r="147" spans="5:26" x14ac:dyDescent="0.3">
      <c r="E147" s="4"/>
      <c r="F147" s="4"/>
      <c r="G147" s="4"/>
      <c r="K147" s="4"/>
      <c r="N147" s="4"/>
      <c r="Q147" s="4"/>
      <c r="R147" s="4"/>
      <c r="S147" s="4"/>
      <c r="U147" s="4"/>
      <c r="V147" s="4"/>
      <c r="X147" s="4"/>
      <c r="Z147" s="4"/>
    </row>
    <row r="148" spans="5:26" x14ac:dyDescent="0.3">
      <c r="E148" s="4"/>
      <c r="F148" s="4"/>
      <c r="G148" s="4"/>
      <c r="K148" s="4"/>
      <c r="N148" s="4"/>
      <c r="Q148" s="4"/>
      <c r="R148" s="4"/>
      <c r="S148" s="4"/>
      <c r="U148" s="4"/>
      <c r="V148" s="4"/>
      <c r="X148" s="4"/>
      <c r="Z148" s="4"/>
    </row>
    <row r="149" spans="5:26" x14ac:dyDescent="0.3">
      <c r="E149" s="4"/>
      <c r="F149" s="4"/>
      <c r="G149" s="4"/>
      <c r="K149" s="4"/>
      <c r="N149" s="4"/>
      <c r="Q149" s="4"/>
      <c r="R149" s="4"/>
      <c r="S149" s="4"/>
      <c r="U149" s="4"/>
      <c r="V149" s="4"/>
      <c r="X149" s="4"/>
      <c r="Z149" s="4"/>
    </row>
    <row r="150" spans="5:26" x14ac:dyDescent="0.3">
      <c r="E150" s="4"/>
      <c r="F150" s="4"/>
      <c r="G150" s="4"/>
      <c r="K150" s="4"/>
      <c r="N150" s="4"/>
      <c r="Q150" s="4"/>
      <c r="R150" s="4"/>
      <c r="S150" s="4"/>
      <c r="U150" s="4"/>
      <c r="V150" s="4"/>
      <c r="X150" s="4"/>
      <c r="Z150" s="4"/>
    </row>
    <row r="151" spans="5:26" x14ac:dyDescent="0.3">
      <c r="E151" s="4"/>
      <c r="F151" s="4"/>
      <c r="G151" s="4"/>
      <c r="K151" s="4"/>
      <c r="N151" s="4"/>
      <c r="Q151" s="4"/>
      <c r="R151" s="4"/>
      <c r="S151" s="4"/>
      <c r="U151" s="4"/>
      <c r="V151" s="4"/>
      <c r="X151" s="4"/>
      <c r="Z151" s="4"/>
    </row>
    <row r="152" spans="5:26" x14ac:dyDescent="0.3">
      <c r="E152" s="4"/>
      <c r="F152" s="4"/>
      <c r="G152" s="4"/>
      <c r="K152" s="4"/>
      <c r="N152" s="4"/>
      <c r="Q152" s="4"/>
      <c r="R152" s="4"/>
      <c r="S152" s="4"/>
      <c r="U152" s="4"/>
      <c r="V152" s="4"/>
      <c r="X152" s="4"/>
      <c r="Z152" s="4"/>
    </row>
    <row r="153" spans="5:26" x14ac:dyDescent="0.3">
      <c r="E153" s="4"/>
      <c r="F153" s="4"/>
      <c r="G153" s="4"/>
      <c r="K153" s="4"/>
      <c r="N153" s="4"/>
      <c r="Q153" s="4"/>
      <c r="R153" s="4"/>
      <c r="S153" s="4"/>
      <c r="U153" s="4"/>
      <c r="V153" s="4"/>
      <c r="X153" s="4"/>
      <c r="Z153" s="4"/>
    </row>
    <row r="154" spans="5:26" x14ac:dyDescent="0.3">
      <c r="E154" s="4"/>
      <c r="F154" s="4"/>
      <c r="G154" s="4"/>
      <c r="K154" s="4"/>
      <c r="N154" s="4"/>
      <c r="Q154" s="4"/>
      <c r="R154" s="4"/>
      <c r="S154" s="4"/>
      <c r="U154" s="4"/>
      <c r="V154" s="4"/>
      <c r="X154" s="4"/>
      <c r="Z154" s="4"/>
    </row>
    <row r="155" spans="5:26" x14ac:dyDescent="0.3">
      <c r="E155" s="4"/>
      <c r="F155" s="4"/>
      <c r="G155" s="4"/>
      <c r="K155" s="4"/>
      <c r="N155" s="4"/>
      <c r="Q155" s="4"/>
      <c r="R155" s="4"/>
      <c r="S155" s="4"/>
      <c r="U155" s="4"/>
      <c r="V155" s="4"/>
      <c r="X155" s="4"/>
      <c r="Z155" s="4"/>
    </row>
    <row r="156" spans="5:26" x14ac:dyDescent="0.3">
      <c r="E156" s="4"/>
      <c r="F156" s="4"/>
      <c r="G156" s="4"/>
      <c r="K156" s="4"/>
      <c r="N156" s="4"/>
      <c r="Q156" s="4"/>
      <c r="R156" s="4"/>
      <c r="S156" s="4"/>
      <c r="U156" s="4"/>
      <c r="V156" s="4"/>
      <c r="X156" s="4"/>
      <c r="Z156" s="4"/>
    </row>
    <row r="157" spans="5:26" x14ac:dyDescent="0.3">
      <c r="E157" s="4"/>
      <c r="F157" s="4"/>
      <c r="G157" s="4"/>
      <c r="K157" s="4"/>
      <c r="N157" s="4"/>
      <c r="Q157" s="4"/>
      <c r="R157" s="4"/>
      <c r="S157" s="4"/>
      <c r="U157" s="4"/>
      <c r="V157" s="4"/>
      <c r="X157" s="4"/>
      <c r="Z157" s="4"/>
    </row>
    <row r="158" spans="5:26" x14ac:dyDescent="0.3">
      <c r="E158" s="4"/>
      <c r="F158" s="4"/>
      <c r="G158" s="4"/>
      <c r="K158" s="4"/>
      <c r="N158" s="4"/>
      <c r="Q158" s="4"/>
      <c r="R158" s="4"/>
      <c r="S158" s="4"/>
      <c r="U158" s="4"/>
      <c r="V158" s="4"/>
      <c r="X158" s="4"/>
      <c r="Z158" s="4"/>
    </row>
    <row r="159" spans="5:26" x14ac:dyDescent="0.3">
      <c r="E159" s="4"/>
      <c r="F159" s="4"/>
      <c r="G159" s="4"/>
      <c r="K159" s="4"/>
      <c r="N159" s="4"/>
      <c r="Q159" s="4"/>
      <c r="R159" s="4"/>
      <c r="S159" s="4"/>
      <c r="U159" s="4"/>
      <c r="V159" s="4"/>
      <c r="X159" s="4"/>
      <c r="Z159" s="4"/>
    </row>
    <row r="160" spans="5:26" x14ac:dyDescent="0.3">
      <c r="E160" s="4"/>
      <c r="F160" s="4"/>
      <c r="G160" s="4"/>
      <c r="K160" s="4"/>
      <c r="N160" s="4"/>
      <c r="Q160" s="4"/>
      <c r="R160" s="4"/>
      <c r="S160" s="4"/>
      <c r="U160" s="4"/>
      <c r="V160" s="4"/>
      <c r="X160" s="4"/>
      <c r="Z160" s="4"/>
    </row>
    <row r="161" spans="5:26" x14ac:dyDescent="0.3">
      <c r="E161" s="4"/>
      <c r="F161" s="4"/>
      <c r="G161" s="4"/>
      <c r="K161" s="4"/>
      <c r="N161" s="4"/>
      <c r="Q161" s="4"/>
      <c r="R161" s="4"/>
      <c r="S161" s="4"/>
      <c r="U161" s="4"/>
      <c r="V161" s="4"/>
      <c r="X161" s="4"/>
      <c r="Z161" s="4"/>
    </row>
    <row r="162" spans="5:26" x14ac:dyDescent="0.3">
      <c r="E162" s="4"/>
      <c r="F162" s="4"/>
      <c r="G162" s="4"/>
      <c r="K162" s="4"/>
      <c r="N162" s="4"/>
      <c r="Q162" s="4"/>
      <c r="R162" s="4"/>
      <c r="S162" s="4"/>
      <c r="U162" s="4"/>
      <c r="V162" s="4"/>
      <c r="X162" s="4"/>
      <c r="Z162" s="4"/>
    </row>
    <row r="163" spans="5:26" x14ac:dyDescent="0.3">
      <c r="E163" s="4"/>
      <c r="F163" s="4"/>
      <c r="G163" s="4"/>
      <c r="K163" s="4"/>
      <c r="N163" s="4"/>
      <c r="Q163" s="4"/>
      <c r="R163" s="4"/>
      <c r="S163" s="4"/>
      <c r="U163" s="4"/>
      <c r="V163" s="4"/>
      <c r="X163" s="4"/>
      <c r="Z163" s="4"/>
    </row>
    <row r="164" spans="5:26" x14ac:dyDescent="0.3">
      <c r="E164" s="4"/>
      <c r="F164" s="4"/>
      <c r="G164" s="4"/>
      <c r="K164" s="4"/>
      <c r="N164" s="4"/>
      <c r="Q164" s="4"/>
      <c r="R164" s="4"/>
      <c r="S164" s="4"/>
      <c r="U164" s="4"/>
      <c r="V164" s="4"/>
      <c r="X164" s="4"/>
      <c r="Z164" s="4"/>
    </row>
    <row r="165" spans="5:26" x14ac:dyDescent="0.3">
      <c r="E165" s="4"/>
      <c r="F165" s="4"/>
      <c r="G165" s="4"/>
      <c r="K165" s="4"/>
      <c r="N165" s="4"/>
      <c r="Q165" s="4"/>
      <c r="R165" s="4"/>
      <c r="S165" s="4"/>
      <c r="U165" s="4"/>
      <c r="V165" s="4"/>
      <c r="X165" s="4"/>
      <c r="Z165" s="4"/>
    </row>
    <row r="166" spans="5:26" x14ac:dyDescent="0.3">
      <c r="E166" s="4"/>
      <c r="F166" s="4"/>
      <c r="G166" s="4"/>
      <c r="K166" s="4"/>
      <c r="N166" s="4"/>
      <c r="Q166" s="4"/>
      <c r="R166" s="4"/>
      <c r="S166" s="4"/>
      <c r="U166" s="4"/>
      <c r="V166" s="4"/>
      <c r="X166" s="4"/>
      <c r="Z166" s="4"/>
    </row>
    <row r="167" spans="5:26" x14ac:dyDescent="0.3">
      <c r="E167" s="4"/>
      <c r="F167" s="4"/>
      <c r="G167" s="4"/>
      <c r="K167" s="4"/>
      <c r="N167" s="4"/>
      <c r="Q167" s="4"/>
      <c r="R167" s="4"/>
      <c r="S167" s="4"/>
      <c r="U167" s="4"/>
      <c r="V167" s="4"/>
      <c r="X167" s="4"/>
      <c r="Z167" s="4"/>
    </row>
    <row r="168" spans="5:26" x14ac:dyDescent="0.3">
      <c r="E168" s="4"/>
      <c r="F168" s="4"/>
      <c r="G168" s="4"/>
      <c r="K168" s="4"/>
      <c r="N168" s="4"/>
      <c r="Q168" s="4"/>
      <c r="R168" s="4"/>
      <c r="S168" s="4"/>
      <c r="U168" s="4"/>
      <c r="V168" s="4"/>
      <c r="X168" s="4"/>
      <c r="Z168" s="4"/>
    </row>
    <row r="169" spans="5:26" x14ac:dyDescent="0.3">
      <c r="E169" s="4"/>
      <c r="F169" s="4"/>
      <c r="G169" s="4"/>
      <c r="K169" s="4"/>
      <c r="N169" s="4"/>
      <c r="Q169" s="4"/>
      <c r="R169" s="4"/>
      <c r="S169" s="4"/>
      <c r="U169" s="4"/>
      <c r="V169" s="4"/>
      <c r="X169" s="4"/>
      <c r="Z169" s="4"/>
    </row>
    <row r="170" spans="5:26" x14ac:dyDescent="0.3">
      <c r="E170" s="4"/>
      <c r="F170" s="4"/>
      <c r="G170" s="4"/>
      <c r="K170" s="4"/>
      <c r="N170" s="4"/>
      <c r="Q170" s="4"/>
      <c r="R170" s="4"/>
      <c r="S170" s="4"/>
      <c r="U170" s="4"/>
      <c r="V170" s="4"/>
      <c r="X170" s="4"/>
      <c r="Z170" s="4"/>
    </row>
    <row r="171" spans="5:26" x14ac:dyDescent="0.3">
      <c r="E171" s="4"/>
      <c r="F171" s="4"/>
      <c r="G171" s="4"/>
      <c r="K171" s="4"/>
      <c r="N171" s="4"/>
      <c r="Q171" s="4"/>
      <c r="R171" s="4"/>
      <c r="S171" s="4"/>
      <c r="U171" s="4"/>
      <c r="V171" s="4"/>
      <c r="X171" s="4"/>
      <c r="Z171" s="4"/>
    </row>
    <row r="172" spans="5:26" x14ac:dyDescent="0.3">
      <c r="E172" s="4"/>
      <c r="F172" s="4"/>
      <c r="G172" s="4"/>
      <c r="K172" s="4"/>
      <c r="N172" s="4"/>
      <c r="Q172" s="4"/>
      <c r="R172" s="4"/>
      <c r="S172" s="4"/>
      <c r="U172" s="4"/>
      <c r="V172" s="4"/>
      <c r="X172" s="4"/>
      <c r="Z172" s="4"/>
    </row>
    <row r="173" spans="5:26" x14ac:dyDescent="0.3">
      <c r="E173" s="4"/>
      <c r="F173" s="4"/>
      <c r="G173" s="4"/>
      <c r="K173" s="4"/>
      <c r="N173" s="4"/>
      <c r="Q173" s="4"/>
      <c r="R173" s="4"/>
      <c r="S173" s="4"/>
      <c r="U173" s="4"/>
      <c r="V173" s="4"/>
      <c r="X173" s="4"/>
      <c r="Z173" s="4"/>
    </row>
    <row r="174" spans="5:26" x14ac:dyDescent="0.3">
      <c r="E174" s="4"/>
      <c r="F174" s="4"/>
      <c r="G174" s="4"/>
      <c r="K174" s="4"/>
      <c r="N174" s="4"/>
      <c r="Q174" s="4"/>
      <c r="R174" s="4"/>
      <c r="S174" s="4"/>
      <c r="U174" s="4"/>
      <c r="V174" s="4"/>
      <c r="X174" s="4"/>
      <c r="Z174" s="4"/>
    </row>
    <row r="175" spans="5:26" x14ac:dyDescent="0.3">
      <c r="E175" s="4"/>
      <c r="F175" s="4"/>
      <c r="G175" s="4"/>
      <c r="K175" s="4"/>
      <c r="N175" s="4"/>
      <c r="Q175" s="4"/>
      <c r="R175" s="4"/>
      <c r="S175" s="4"/>
      <c r="U175" s="4"/>
      <c r="V175" s="4"/>
      <c r="X175" s="4"/>
      <c r="Z175" s="4"/>
    </row>
    <row r="176" spans="5:26" x14ac:dyDescent="0.3">
      <c r="E176" s="4"/>
      <c r="F176" s="4"/>
      <c r="G176" s="4"/>
      <c r="K176" s="4"/>
      <c r="N176" s="4"/>
      <c r="Q176" s="4"/>
      <c r="R176" s="4"/>
      <c r="S176" s="4"/>
      <c r="U176" s="4"/>
      <c r="V176" s="4"/>
      <c r="X176" s="4"/>
      <c r="Z176" s="4"/>
    </row>
    <row r="177" spans="5:26" x14ac:dyDescent="0.3">
      <c r="E177" s="4"/>
      <c r="F177" s="4"/>
      <c r="G177" s="4"/>
      <c r="K177" s="4"/>
      <c r="N177" s="4"/>
      <c r="Q177" s="4"/>
      <c r="R177" s="4"/>
      <c r="S177" s="4"/>
      <c r="U177" s="4"/>
      <c r="V177" s="4"/>
      <c r="X177" s="4"/>
      <c r="Z177" s="4"/>
    </row>
    <row r="178" spans="5:26" x14ac:dyDescent="0.3">
      <c r="E178" s="4"/>
      <c r="F178" s="4"/>
      <c r="G178" s="4"/>
      <c r="K178" s="4"/>
      <c r="N178" s="4"/>
      <c r="Q178" s="4"/>
      <c r="R178" s="4"/>
      <c r="S178" s="4"/>
      <c r="U178" s="4"/>
      <c r="V178" s="4"/>
      <c r="X178" s="4"/>
      <c r="Z178" s="4"/>
    </row>
    <row r="179" spans="5:26" x14ac:dyDescent="0.3">
      <c r="E179" s="4"/>
      <c r="F179" s="4"/>
      <c r="G179" s="4"/>
      <c r="K179" s="4"/>
      <c r="N179" s="4"/>
      <c r="Q179" s="4"/>
      <c r="R179" s="4"/>
      <c r="S179" s="4"/>
      <c r="U179" s="4"/>
      <c r="V179" s="4"/>
      <c r="X179" s="4"/>
      <c r="Z179" s="4"/>
    </row>
    <row r="180" spans="5:26" x14ac:dyDescent="0.3">
      <c r="E180" s="4"/>
      <c r="F180" s="4"/>
      <c r="G180" s="4"/>
      <c r="K180" s="4"/>
      <c r="N180" s="4"/>
      <c r="Q180" s="4"/>
      <c r="R180" s="4"/>
      <c r="S180" s="4"/>
      <c r="U180" s="4"/>
      <c r="V180" s="4"/>
      <c r="X180" s="4"/>
      <c r="Z180" s="4"/>
    </row>
    <row r="181" spans="5:26" x14ac:dyDescent="0.3">
      <c r="E181" s="4"/>
      <c r="F181" s="4"/>
      <c r="G181" s="4"/>
      <c r="K181" s="4"/>
      <c r="N181" s="4"/>
      <c r="Q181" s="4"/>
      <c r="R181" s="4"/>
      <c r="S181" s="4"/>
      <c r="U181" s="4"/>
      <c r="V181" s="4"/>
      <c r="X181" s="4"/>
      <c r="Z181" s="4"/>
    </row>
    <row r="182" spans="5:26" x14ac:dyDescent="0.3">
      <c r="E182" s="4"/>
      <c r="F182" s="4"/>
      <c r="G182" s="4"/>
      <c r="K182" s="4"/>
      <c r="N182" s="4"/>
      <c r="Q182" s="4"/>
      <c r="R182" s="4"/>
      <c r="S182" s="4"/>
      <c r="U182" s="4"/>
      <c r="V182" s="4"/>
      <c r="X182" s="4"/>
      <c r="Z182" s="4"/>
    </row>
    <row r="183" spans="5:26" x14ac:dyDescent="0.3">
      <c r="E183" s="4"/>
      <c r="F183" s="4"/>
      <c r="G183" s="4"/>
      <c r="K183" s="4"/>
      <c r="N183" s="4"/>
      <c r="Q183" s="4"/>
      <c r="R183" s="4"/>
      <c r="S183" s="4"/>
      <c r="U183" s="4"/>
      <c r="V183" s="4"/>
      <c r="X183" s="4"/>
      <c r="Z183" s="4"/>
    </row>
    <row r="184" spans="5:26" x14ac:dyDescent="0.3">
      <c r="E184" s="4"/>
      <c r="F184" s="4"/>
      <c r="G184" s="4"/>
      <c r="K184" s="4"/>
      <c r="N184" s="4"/>
      <c r="Q184" s="4"/>
      <c r="R184" s="4"/>
      <c r="S184" s="4"/>
      <c r="U184" s="4"/>
      <c r="V184" s="4"/>
      <c r="X184" s="4"/>
      <c r="Z184" s="4"/>
    </row>
    <row r="185" spans="5:26" x14ac:dyDescent="0.3">
      <c r="E185" s="4"/>
      <c r="F185" s="4"/>
      <c r="G185" s="4"/>
      <c r="K185" s="4"/>
      <c r="N185" s="4"/>
      <c r="Q185" s="4"/>
      <c r="R185" s="4"/>
      <c r="S185" s="4"/>
      <c r="U185" s="4"/>
      <c r="V185" s="4"/>
      <c r="X185" s="4"/>
      <c r="Z185" s="4"/>
    </row>
    <row r="186" spans="5:26" x14ac:dyDescent="0.3">
      <c r="E186" s="4"/>
      <c r="F186" s="4"/>
      <c r="G186" s="4"/>
      <c r="K186" s="4"/>
      <c r="N186" s="4"/>
      <c r="Q186" s="4"/>
      <c r="R186" s="4"/>
      <c r="S186" s="4"/>
      <c r="U186" s="4"/>
      <c r="V186" s="4"/>
      <c r="X186" s="4"/>
      <c r="Z186" s="4"/>
    </row>
    <row r="187" spans="5:26" x14ac:dyDescent="0.3">
      <c r="E187" s="4"/>
      <c r="F187" s="4"/>
      <c r="G187" s="4"/>
      <c r="K187" s="4"/>
      <c r="N187" s="4"/>
      <c r="Q187" s="4"/>
      <c r="R187" s="4"/>
      <c r="S187" s="4"/>
      <c r="U187" s="4"/>
      <c r="V187" s="4"/>
      <c r="X187" s="4"/>
      <c r="Z187" s="4"/>
    </row>
    <row r="188" spans="5:26" x14ac:dyDescent="0.3">
      <c r="E188" s="4"/>
      <c r="F188" s="4"/>
      <c r="G188" s="4"/>
      <c r="K188" s="4"/>
      <c r="N188" s="4"/>
      <c r="Q188" s="4"/>
      <c r="R188" s="4"/>
      <c r="S188" s="4"/>
      <c r="U188" s="4"/>
      <c r="V188" s="4"/>
      <c r="X188" s="4"/>
      <c r="Z188" s="4"/>
    </row>
    <row r="189" spans="5:26" x14ac:dyDescent="0.3">
      <c r="E189" s="4"/>
      <c r="F189" s="4"/>
      <c r="G189" s="4"/>
      <c r="K189" s="4"/>
      <c r="N189" s="4"/>
      <c r="Q189" s="4"/>
      <c r="R189" s="4"/>
      <c r="S189" s="4"/>
      <c r="U189" s="4"/>
      <c r="V189" s="4"/>
      <c r="X189" s="4"/>
      <c r="Z189" s="4"/>
    </row>
    <row r="190" spans="5:26" x14ac:dyDescent="0.3">
      <c r="E190" s="4"/>
      <c r="F190" s="4"/>
      <c r="G190" s="4"/>
      <c r="K190" s="4"/>
      <c r="N190" s="4"/>
      <c r="Q190" s="4"/>
      <c r="R190" s="4"/>
      <c r="S190" s="4"/>
      <c r="U190" s="4"/>
      <c r="V190" s="4"/>
      <c r="X190" s="4"/>
      <c r="Z190" s="4"/>
    </row>
    <row r="191" spans="5:26" x14ac:dyDescent="0.3">
      <c r="E191" s="4"/>
      <c r="F191" s="4"/>
      <c r="G191" s="4"/>
      <c r="K191" s="4"/>
      <c r="N191" s="4"/>
      <c r="Q191" s="4"/>
      <c r="R191" s="4"/>
      <c r="S191" s="4"/>
      <c r="U191" s="4"/>
      <c r="V191" s="4"/>
      <c r="X191" s="4"/>
      <c r="Z191" s="4"/>
    </row>
    <row r="192" spans="5:26" x14ac:dyDescent="0.3">
      <c r="E192" s="4"/>
      <c r="F192" s="4"/>
      <c r="G192" s="4"/>
      <c r="K192" s="4"/>
      <c r="N192" s="4"/>
      <c r="Q192" s="4"/>
      <c r="R192" s="4"/>
      <c r="S192" s="4"/>
      <c r="U192" s="4"/>
      <c r="V192" s="4"/>
      <c r="X192" s="4"/>
      <c r="Z192" s="4"/>
    </row>
    <row r="193" spans="5:26" x14ac:dyDescent="0.3">
      <c r="E193" s="4"/>
      <c r="F193" s="4"/>
      <c r="G193" s="4"/>
      <c r="K193" s="4"/>
      <c r="N193" s="4"/>
      <c r="Q193" s="4"/>
      <c r="R193" s="4"/>
      <c r="S193" s="4"/>
      <c r="U193" s="4"/>
      <c r="V193" s="4"/>
      <c r="X193" s="4"/>
      <c r="Z193" s="4"/>
    </row>
    <row r="194" spans="5:26" x14ac:dyDescent="0.3">
      <c r="E194" s="4"/>
      <c r="F194" s="4"/>
      <c r="G194" s="4"/>
      <c r="K194" s="4"/>
      <c r="N194" s="4"/>
      <c r="Q194" s="4"/>
      <c r="R194" s="4"/>
      <c r="S194" s="4"/>
      <c r="U194" s="4"/>
      <c r="V194" s="4"/>
      <c r="X194" s="4"/>
      <c r="Z194" s="4"/>
    </row>
    <row r="195" spans="5:26" x14ac:dyDescent="0.3">
      <c r="E195" s="4"/>
      <c r="F195" s="4"/>
      <c r="G195" s="4"/>
      <c r="K195" s="4"/>
      <c r="N195" s="4"/>
      <c r="Q195" s="4"/>
      <c r="R195" s="4"/>
      <c r="S195" s="4"/>
      <c r="U195" s="4"/>
      <c r="V195" s="4"/>
      <c r="X195" s="4"/>
      <c r="Z195" s="4"/>
    </row>
    <row r="196" spans="5:26" x14ac:dyDescent="0.3">
      <c r="E196" s="4"/>
      <c r="F196" s="4"/>
      <c r="G196" s="4"/>
      <c r="K196" s="4"/>
      <c r="N196" s="4"/>
      <c r="Q196" s="4"/>
      <c r="R196" s="4"/>
      <c r="S196" s="4"/>
      <c r="U196" s="4"/>
      <c r="V196" s="4"/>
      <c r="X196" s="4"/>
      <c r="Z196" s="4"/>
    </row>
    <row r="197" spans="5:26" x14ac:dyDescent="0.3">
      <c r="E197" s="4"/>
      <c r="F197" s="4"/>
      <c r="G197" s="4"/>
      <c r="K197" s="4"/>
      <c r="N197" s="4"/>
      <c r="Q197" s="4"/>
      <c r="R197" s="4"/>
      <c r="S197" s="4"/>
      <c r="U197" s="4"/>
      <c r="V197" s="4"/>
      <c r="X197" s="4"/>
      <c r="Z197" s="4"/>
    </row>
    <row r="198" spans="5:26" x14ac:dyDescent="0.3">
      <c r="E198" s="4"/>
      <c r="F198" s="4"/>
      <c r="G198" s="4"/>
      <c r="K198" s="4"/>
      <c r="N198" s="4"/>
      <c r="Q198" s="4"/>
      <c r="R198" s="4"/>
      <c r="S198" s="4"/>
      <c r="U198" s="4"/>
      <c r="V198" s="4"/>
      <c r="X198" s="4"/>
      <c r="Z198" s="4"/>
    </row>
    <row r="199" spans="5:26" x14ac:dyDescent="0.3">
      <c r="E199" s="4"/>
      <c r="F199" s="4"/>
      <c r="G199" s="4"/>
      <c r="K199" s="4"/>
      <c r="N199" s="4"/>
      <c r="Q199" s="4"/>
      <c r="R199" s="4"/>
      <c r="S199" s="4"/>
      <c r="U199" s="4"/>
      <c r="V199" s="4"/>
      <c r="X199" s="4"/>
      <c r="Z199" s="4"/>
    </row>
    <row r="200" spans="5:26" x14ac:dyDescent="0.3">
      <c r="E200" s="4"/>
      <c r="F200" s="4"/>
      <c r="G200" s="4"/>
      <c r="K200" s="4"/>
      <c r="N200" s="4"/>
      <c r="Q200" s="4"/>
      <c r="R200" s="4"/>
      <c r="S200" s="4"/>
      <c r="U200" s="4"/>
      <c r="V200" s="4"/>
      <c r="X200" s="4"/>
      <c r="Z200" s="4"/>
    </row>
    <row r="201" spans="5:26" x14ac:dyDescent="0.3">
      <c r="E201" s="4"/>
      <c r="F201" s="4"/>
      <c r="G201" s="4"/>
      <c r="K201" s="4"/>
      <c r="N201" s="4"/>
      <c r="Q201" s="4"/>
      <c r="R201" s="4"/>
      <c r="S201" s="4"/>
      <c r="U201" s="4"/>
      <c r="V201" s="4"/>
      <c r="X201" s="4"/>
      <c r="Z201" s="4"/>
    </row>
    <row r="202" spans="5:26" x14ac:dyDescent="0.3">
      <c r="E202" s="4"/>
      <c r="F202" s="4"/>
      <c r="G202" s="4"/>
      <c r="K202" s="4"/>
      <c r="N202" s="4"/>
      <c r="Q202" s="4"/>
      <c r="R202" s="4"/>
      <c r="S202" s="4"/>
      <c r="U202" s="4"/>
      <c r="V202" s="4"/>
      <c r="X202" s="4"/>
      <c r="Z202" s="4"/>
    </row>
    <row r="203" spans="5:26" x14ac:dyDescent="0.3">
      <c r="E203" s="4"/>
      <c r="F203" s="4"/>
      <c r="G203" s="4"/>
      <c r="K203" s="4"/>
      <c r="N203" s="4"/>
      <c r="Q203" s="4"/>
      <c r="R203" s="4"/>
      <c r="S203" s="4"/>
      <c r="U203" s="4"/>
      <c r="V203" s="4"/>
      <c r="X203" s="4"/>
      <c r="Z203" s="4"/>
    </row>
    <row r="204" spans="5:26" x14ac:dyDescent="0.3">
      <c r="E204" s="4"/>
      <c r="F204" s="4"/>
      <c r="G204" s="4"/>
      <c r="K204" s="4"/>
      <c r="N204" s="4"/>
      <c r="Q204" s="4"/>
      <c r="R204" s="4"/>
      <c r="S204" s="4"/>
      <c r="U204" s="4"/>
      <c r="V204" s="4"/>
      <c r="X204" s="4"/>
      <c r="Z204" s="4"/>
    </row>
    <row r="205" spans="5:26" x14ac:dyDescent="0.3">
      <c r="E205" s="4"/>
      <c r="F205" s="4"/>
      <c r="G205" s="4"/>
      <c r="K205" s="4"/>
      <c r="N205" s="4"/>
      <c r="Q205" s="4"/>
      <c r="R205" s="4"/>
      <c r="S205" s="4"/>
      <c r="U205" s="4"/>
      <c r="V205" s="4"/>
      <c r="X205" s="4"/>
      <c r="Z205" s="4"/>
    </row>
    <row r="206" spans="5:26" x14ac:dyDescent="0.3">
      <c r="E206" s="4"/>
      <c r="F206" s="4"/>
      <c r="G206" s="4"/>
      <c r="K206" s="4"/>
      <c r="N206" s="4"/>
      <c r="Q206" s="4"/>
      <c r="R206" s="4"/>
      <c r="S206" s="4"/>
      <c r="U206" s="4"/>
      <c r="V206" s="4"/>
      <c r="X206" s="4"/>
      <c r="Z206" s="4"/>
    </row>
    <row r="207" spans="5:26" x14ac:dyDescent="0.3">
      <c r="E207" s="4"/>
      <c r="F207" s="4"/>
      <c r="G207" s="4"/>
      <c r="K207" s="4"/>
      <c r="N207" s="4"/>
      <c r="Q207" s="4"/>
      <c r="R207" s="4"/>
      <c r="S207" s="4"/>
      <c r="U207" s="4"/>
      <c r="V207" s="4"/>
      <c r="X207" s="4"/>
      <c r="Z207" s="4"/>
    </row>
    <row r="208" spans="5:26" x14ac:dyDescent="0.3">
      <c r="E208" s="4"/>
      <c r="F208" s="4"/>
      <c r="G208" s="4"/>
      <c r="K208" s="4"/>
      <c r="N208" s="4"/>
      <c r="Q208" s="4"/>
      <c r="R208" s="4"/>
      <c r="S208" s="4"/>
      <c r="U208" s="4"/>
      <c r="V208" s="4"/>
      <c r="X208" s="4"/>
      <c r="Z208" s="4"/>
    </row>
    <row r="209" spans="5:26" x14ac:dyDescent="0.3">
      <c r="E209" s="4"/>
      <c r="F209" s="4"/>
      <c r="G209" s="4"/>
      <c r="K209" s="4"/>
      <c r="N209" s="4"/>
      <c r="Q209" s="4"/>
      <c r="R209" s="4"/>
      <c r="S209" s="4"/>
      <c r="U209" s="4"/>
      <c r="V209" s="4"/>
      <c r="X209" s="4"/>
      <c r="Z209" s="4"/>
    </row>
    <row r="210" spans="5:26" x14ac:dyDescent="0.3">
      <c r="E210" s="4"/>
      <c r="F210" s="4"/>
      <c r="G210" s="4"/>
      <c r="K210" s="4"/>
      <c r="N210" s="4"/>
      <c r="Q210" s="4"/>
      <c r="R210" s="4"/>
      <c r="S210" s="4"/>
      <c r="U210" s="4"/>
      <c r="V210" s="4"/>
      <c r="X210" s="4"/>
      <c r="Z210" s="4"/>
    </row>
    <row r="211" spans="5:26" x14ac:dyDescent="0.3">
      <c r="E211" s="4"/>
      <c r="F211" s="4"/>
      <c r="G211" s="4"/>
      <c r="K211" s="4"/>
      <c r="N211" s="4"/>
      <c r="Q211" s="4"/>
      <c r="R211" s="4"/>
      <c r="S211" s="4"/>
      <c r="U211" s="4"/>
      <c r="V211" s="4"/>
      <c r="X211" s="4"/>
      <c r="Z211" s="4"/>
    </row>
    <row r="212" spans="5:26" x14ac:dyDescent="0.3">
      <c r="E212" s="4"/>
      <c r="F212" s="4"/>
      <c r="G212" s="4"/>
      <c r="K212" s="4"/>
      <c r="N212" s="4"/>
      <c r="Q212" s="4"/>
      <c r="R212" s="4"/>
      <c r="S212" s="4"/>
      <c r="U212" s="4"/>
      <c r="V212" s="4"/>
      <c r="X212" s="4"/>
      <c r="Z212" s="4"/>
    </row>
    <row r="213" spans="5:26" x14ac:dyDescent="0.3">
      <c r="E213" s="4"/>
      <c r="F213" s="4"/>
      <c r="G213" s="4"/>
      <c r="K213" s="4"/>
      <c r="N213" s="4"/>
      <c r="Q213" s="4"/>
      <c r="R213" s="4"/>
      <c r="S213" s="4"/>
      <c r="U213" s="4"/>
      <c r="V213" s="4"/>
      <c r="X213" s="4"/>
      <c r="Z213" s="4"/>
    </row>
    <row r="214" spans="5:26" x14ac:dyDescent="0.3">
      <c r="E214" s="4"/>
      <c r="F214" s="4"/>
      <c r="G214" s="4"/>
      <c r="K214" s="4"/>
      <c r="N214" s="4"/>
      <c r="Q214" s="4"/>
      <c r="R214" s="4"/>
      <c r="S214" s="4"/>
      <c r="U214" s="4"/>
      <c r="V214" s="4"/>
      <c r="X214" s="4"/>
      <c r="Z214" s="4"/>
    </row>
    <row r="215" spans="5:26" x14ac:dyDescent="0.3">
      <c r="E215" s="4"/>
      <c r="F215" s="4"/>
      <c r="G215" s="4"/>
      <c r="K215" s="4"/>
      <c r="N215" s="4"/>
      <c r="Q215" s="4"/>
      <c r="R215" s="4"/>
      <c r="S215" s="4"/>
      <c r="U215" s="4"/>
      <c r="V215" s="4"/>
      <c r="X215" s="4"/>
      <c r="Z215" s="4"/>
    </row>
    <row r="216" spans="5:26" x14ac:dyDescent="0.3">
      <c r="E216" s="4"/>
      <c r="F216" s="4"/>
      <c r="G216" s="4"/>
      <c r="K216" s="4"/>
      <c r="N216" s="4"/>
      <c r="Q216" s="4"/>
      <c r="R216" s="4"/>
      <c r="S216" s="4"/>
      <c r="U216" s="4"/>
      <c r="V216" s="4"/>
      <c r="X216" s="4"/>
      <c r="Z216" s="4"/>
    </row>
    <row r="217" spans="5:26" x14ac:dyDescent="0.3">
      <c r="E217" s="4"/>
      <c r="F217" s="4"/>
      <c r="G217" s="4"/>
      <c r="K217" s="4"/>
      <c r="N217" s="4"/>
      <c r="Q217" s="4"/>
      <c r="R217" s="4"/>
      <c r="S217" s="4"/>
      <c r="U217" s="4"/>
      <c r="V217" s="4"/>
      <c r="X217" s="4"/>
      <c r="Z217" s="4"/>
    </row>
    <row r="218" spans="5:26" x14ac:dyDescent="0.3">
      <c r="E218" s="4"/>
      <c r="F218" s="4"/>
      <c r="G218" s="4"/>
      <c r="K218" s="4"/>
      <c r="N218" s="4"/>
      <c r="Q218" s="4"/>
      <c r="R218" s="4"/>
      <c r="S218" s="4"/>
      <c r="U218" s="4"/>
      <c r="V218" s="4"/>
      <c r="X218" s="4"/>
      <c r="Z218" s="4"/>
    </row>
    <row r="219" spans="5:26" x14ac:dyDescent="0.3">
      <c r="E219" s="4"/>
      <c r="F219" s="4"/>
      <c r="G219" s="4"/>
      <c r="K219" s="4"/>
      <c r="N219" s="4"/>
      <c r="Q219" s="4"/>
      <c r="R219" s="4"/>
      <c r="S219" s="4"/>
      <c r="U219" s="4"/>
      <c r="V219" s="4"/>
      <c r="X219" s="4"/>
      <c r="Z219" s="4"/>
    </row>
    <row r="220" spans="5:26" x14ac:dyDescent="0.3">
      <c r="E220" s="4"/>
      <c r="F220" s="4"/>
      <c r="G220" s="4"/>
      <c r="K220" s="4"/>
      <c r="N220" s="4"/>
      <c r="Q220" s="4"/>
      <c r="R220" s="4"/>
      <c r="S220" s="4"/>
      <c r="U220" s="4"/>
      <c r="V220" s="4"/>
      <c r="X220" s="4"/>
      <c r="Z220" s="4"/>
    </row>
    <row r="221" spans="5:26" x14ac:dyDescent="0.3">
      <c r="E221" s="4"/>
      <c r="F221" s="4"/>
      <c r="G221" s="4"/>
      <c r="K221" s="4"/>
      <c r="N221" s="4"/>
      <c r="Q221" s="4"/>
      <c r="R221" s="4"/>
      <c r="S221" s="4"/>
      <c r="U221" s="4"/>
      <c r="V221" s="4"/>
      <c r="X221" s="4"/>
      <c r="Z221" s="4"/>
    </row>
    <row r="222" spans="5:26" x14ac:dyDescent="0.3">
      <c r="E222" s="4"/>
      <c r="F222" s="4"/>
      <c r="G222" s="4"/>
      <c r="K222" s="4"/>
      <c r="N222" s="4"/>
      <c r="Q222" s="4"/>
      <c r="R222" s="4"/>
      <c r="S222" s="4"/>
      <c r="U222" s="4"/>
      <c r="V222" s="4"/>
      <c r="X222" s="4"/>
      <c r="Z222" s="4"/>
    </row>
    <row r="223" spans="5:26" x14ac:dyDescent="0.3">
      <c r="E223" s="4"/>
      <c r="F223" s="4"/>
      <c r="G223" s="4"/>
      <c r="K223" s="4"/>
      <c r="N223" s="4"/>
      <c r="Q223" s="4"/>
      <c r="R223" s="4"/>
      <c r="S223" s="4"/>
      <c r="U223" s="4"/>
      <c r="V223" s="4"/>
      <c r="X223" s="4"/>
      <c r="Z223" s="4"/>
    </row>
    <row r="224" spans="5:26" x14ac:dyDescent="0.3">
      <c r="E224" s="4"/>
      <c r="F224" s="4"/>
      <c r="G224" s="4"/>
      <c r="K224" s="4"/>
      <c r="N224" s="4"/>
      <c r="Q224" s="4"/>
      <c r="R224" s="4"/>
      <c r="S224" s="4"/>
      <c r="U224" s="4"/>
      <c r="V224" s="4"/>
      <c r="X224" s="4"/>
      <c r="Z224" s="4"/>
    </row>
    <row r="225" spans="5:26" x14ac:dyDescent="0.3">
      <c r="E225" s="4"/>
      <c r="F225" s="4"/>
      <c r="G225" s="4"/>
      <c r="K225" s="4"/>
      <c r="N225" s="4"/>
      <c r="Q225" s="4"/>
      <c r="R225" s="4"/>
      <c r="S225" s="4"/>
      <c r="U225" s="4"/>
      <c r="V225" s="4"/>
      <c r="X225" s="4"/>
      <c r="Z225" s="4"/>
    </row>
    <row r="226" spans="5:26" x14ac:dyDescent="0.3">
      <c r="E226" s="4"/>
      <c r="F226" s="4"/>
      <c r="G226" s="4"/>
      <c r="K226" s="4"/>
      <c r="N226" s="4"/>
      <c r="Q226" s="4"/>
      <c r="R226" s="4"/>
      <c r="S226" s="4"/>
      <c r="U226" s="4"/>
      <c r="V226" s="4"/>
      <c r="X226" s="4"/>
      <c r="Z226" s="4"/>
    </row>
    <row r="227" spans="5:26" x14ac:dyDescent="0.3">
      <c r="E227" s="4"/>
      <c r="F227" s="4"/>
      <c r="G227" s="4"/>
      <c r="K227" s="4"/>
      <c r="N227" s="4"/>
      <c r="Q227" s="4"/>
      <c r="R227" s="4"/>
      <c r="S227" s="4"/>
      <c r="U227" s="4"/>
      <c r="V227" s="4"/>
      <c r="X227" s="4"/>
      <c r="Z227" s="4"/>
    </row>
    <row r="228" spans="5:26" x14ac:dyDescent="0.3">
      <c r="E228" s="4"/>
      <c r="F228" s="4"/>
      <c r="G228" s="4"/>
      <c r="K228" s="4"/>
      <c r="N228" s="4"/>
      <c r="Q228" s="4"/>
      <c r="R228" s="4"/>
      <c r="S228" s="4"/>
      <c r="U228" s="4"/>
      <c r="V228" s="4"/>
      <c r="X228" s="4"/>
      <c r="Z228" s="4"/>
    </row>
    <row r="229" spans="5:26" x14ac:dyDescent="0.3">
      <c r="E229" s="4"/>
      <c r="F229" s="4"/>
      <c r="G229" s="4"/>
      <c r="K229" s="4"/>
      <c r="N229" s="4"/>
      <c r="Q229" s="4"/>
      <c r="R229" s="4"/>
      <c r="S229" s="4"/>
      <c r="U229" s="4"/>
      <c r="V229" s="4"/>
      <c r="X229" s="4"/>
      <c r="Z229" s="4"/>
    </row>
    <row r="230" spans="5:26" x14ac:dyDescent="0.3">
      <c r="E230" s="4"/>
      <c r="F230" s="4"/>
      <c r="G230" s="4"/>
      <c r="K230" s="4"/>
      <c r="N230" s="4"/>
      <c r="Q230" s="4"/>
      <c r="R230" s="4"/>
      <c r="S230" s="4"/>
      <c r="U230" s="4"/>
      <c r="V230" s="4"/>
      <c r="X230" s="4"/>
      <c r="Z230" s="4"/>
    </row>
    <row r="231" spans="5:26" x14ac:dyDescent="0.3">
      <c r="E231" s="4"/>
      <c r="F231" s="4"/>
      <c r="G231" s="4"/>
      <c r="K231" s="4"/>
      <c r="N231" s="4"/>
      <c r="Q231" s="4"/>
      <c r="R231" s="4"/>
      <c r="S231" s="4"/>
      <c r="U231" s="4"/>
      <c r="V231" s="4"/>
      <c r="X231" s="4"/>
      <c r="Z231" s="4"/>
    </row>
    <row r="232" spans="5:26" x14ac:dyDescent="0.3">
      <c r="E232" s="4"/>
      <c r="F232" s="4"/>
      <c r="G232" s="4"/>
      <c r="K232" s="4"/>
      <c r="N232" s="4"/>
      <c r="Q232" s="4"/>
      <c r="R232" s="4"/>
      <c r="S232" s="4"/>
      <c r="U232" s="4"/>
      <c r="V232" s="4"/>
      <c r="X232" s="4"/>
      <c r="Z232" s="4"/>
    </row>
    <row r="233" spans="5:26" x14ac:dyDescent="0.3">
      <c r="E233" s="4"/>
      <c r="F233" s="4"/>
      <c r="G233" s="4"/>
      <c r="K233" s="4"/>
      <c r="N233" s="4"/>
      <c r="Q233" s="4"/>
      <c r="R233" s="4"/>
      <c r="S233" s="4"/>
      <c r="U233" s="4"/>
      <c r="V233" s="4"/>
      <c r="X233" s="4"/>
      <c r="Z233" s="4"/>
    </row>
    <row r="234" spans="5:26" x14ac:dyDescent="0.3">
      <c r="E234" s="4"/>
      <c r="F234" s="4"/>
      <c r="G234" s="4"/>
      <c r="K234" s="4"/>
      <c r="N234" s="4"/>
      <c r="Q234" s="4"/>
      <c r="R234" s="4"/>
      <c r="S234" s="4"/>
      <c r="U234" s="4"/>
      <c r="V234" s="4"/>
      <c r="X234" s="4"/>
      <c r="Z234" s="4"/>
    </row>
    <row r="235" spans="5:26" x14ac:dyDescent="0.3">
      <c r="E235" s="4"/>
      <c r="F235" s="4"/>
      <c r="G235" s="4"/>
      <c r="K235" s="4"/>
      <c r="N235" s="4"/>
      <c r="Q235" s="4"/>
      <c r="R235" s="4"/>
      <c r="S235" s="4"/>
      <c r="U235" s="4"/>
      <c r="V235" s="4"/>
      <c r="X235" s="4"/>
      <c r="Z235" s="4"/>
    </row>
    <row r="236" spans="5:26" x14ac:dyDescent="0.3">
      <c r="E236" s="4"/>
      <c r="F236" s="4"/>
      <c r="G236" s="4"/>
      <c r="K236" s="4"/>
      <c r="N236" s="4"/>
      <c r="Q236" s="4"/>
      <c r="R236" s="4"/>
      <c r="S236" s="4"/>
      <c r="U236" s="4"/>
      <c r="V236" s="4"/>
      <c r="X236" s="4"/>
      <c r="Z236" s="4"/>
    </row>
    <row r="237" spans="5:26" x14ac:dyDescent="0.3">
      <c r="E237" s="4"/>
      <c r="F237" s="4"/>
      <c r="G237" s="4"/>
      <c r="K237" s="4"/>
      <c r="N237" s="4"/>
      <c r="Q237" s="4"/>
      <c r="R237" s="4"/>
      <c r="S237" s="4"/>
      <c r="U237" s="4"/>
      <c r="V237" s="4"/>
      <c r="X237" s="4"/>
      <c r="Z237" s="4"/>
    </row>
    <row r="238" spans="5:26" x14ac:dyDescent="0.3">
      <c r="E238" s="4"/>
      <c r="F238" s="4"/>
      <c r="G238" s="4"/>
      <c r="K238" s="4"/>
      <c r="N238" s="4"/>
      <c r="Q238" s="4"/>
      <c r="R238" s="4"/>
      <c r="S238" s="4"/>
      <c r="U238" s="4"/>
      <c r="V238" s="4"/>
      <c r="X238" s="4"/>
      <c r="Z238" s="4"/>
    </row>
    <row r="239" spans="5:26" x14ac:dyDescent="0.3">
      <c r="E239" s="4"/>
      <c r="F239" s="4"/>
      <c r="G239" s="4"/>
      <c r="K239" s="4"/>
      <c r="N239" s="4"/>
      <c r="Q239" s="4"/>
      <c r="R239" s="4"/>
      <c r="S239" s="4"/>
      <c r="U239" s="4"/>
      <c r="V239" s="4"/>
      <c r="X239" s="4"/>
      <c r="Z239" s="4"/>
    </row>
    <row r="240" spans="5:26" x14ac:dyDescent="0.3">
      <c r="E240" s="4"/>
      <c r="F240" s="4"/>
      <c r="G240" s="4"/>
      <c r="K240" s="4"/>
      <c r="N240" s="4"/>
      <c r="Q240" s="4"/>
      <c r="R240" s="4"/>
      <c r="S240" s="4"/>
      <c r="U240" s="4"/>
      <c r="V240" s="4"/>
      <c r="X240" s="4"/>
      <c r="Z240" s="4"/>
    </row>
    <row r="241" spans="5:26" x14ac:dyDescent="0.3">
      <c r="E241" s="4"/>
      <c r="F241" s="4"/>
      <c r="G241" s="4"/>
      <c r="K241" s="4"/>
      <c r="N241" s="4"/>
      <c r="Q241" s="4"/>
      <c r="R241" s="4"/>
      <c r="S241" s="4"/>
      <c r="U241" s="4"/>
      <c r="V241" s="4"/>
      <c r="X241" s="4"/>
      <c r="Z241" s="4"/>
    </row>
    <row r="242" spans="5:26" x14ac:dyDescent="0.3">
      <c r="E242" s="4"/>
      <c r="F242" s="4"/>
      <c r="G242" s="4"/>
      <c r="K242" s="4"/>
      <c r="N242" s="4"/>
      <c r="Q242" s="4"/>
      <c r="R242" s="4"/>
      <c r="S242" s="4"/>
      <c r="U242" s="4"/>
      <c r="V242" s="4"/>
      <c r="X242" s="4"/>
      <c r="Z242" s="4"/>
    </row>
    <row r="243" spans="5:26" x14ac:dyDescent="0.3">
      <c r="E243" s="4"/>
      <c r="F243" s="4"/>
      <c r="G243" s="4"/>
      <c r="K243" s="4"/>
      <c r="N243" s="4"/>
      <c r="Q243" s="4"/>
      <c r="R243" s="4"/>
      <c r="S243" s="4"/>
      <c r="U243" s="4"/>
      <c r="V243" s="4"/>
      <c r="X243" s="4"/>
      <c r="Z243" s="4"/>
    </row>
    <row r="244" spans="5:26" x14ac:dyDescent="0.3">
      <c r="E244" s="4"/>
      <c r="F244" s="4"/>
      <c r="G244" s="4"/>
      <c r="K244" s="4"/>
      <c r="N244" s="4"/>
      <c r="Q244" s="4"/>
      <c r="R244" s="4"/>
      <c r="S244" s="4"/>
      <c r="U244" s="4"/>
      <c r="V244" s="4"/>
      <c r="X244" s="4"/>
      <c r="Z244" s="4"/>
    </row>
    <row r="245" spans="5:26" x14ac:dyDescent="0.3">
      <c r="E245" s="4"/>
      <c r="F245" s="4"/>
      <c r="G245" s="4"/>
      <c r="K245" s="4"/>
      <c r="N245" s="4"/>
      <c r="Q245" s="4"/>
      <c r="R245" s="4"/>
      <c r="S245" s="4"/>
      <c r="U245" s="4"/>
      <c r="V245" s="4"/>
      <c r="X245" s="4"/>
      <c r="Z245" s="4"/>
    </row>
    <row r="246" spans="5:26" x14ac:dyDescent="0.3">
      <c r="E246" s="4"/>
      <c r="F246" s="4"/>
      <c r="G246" s="4"/>
      <c r="K246" s="4"/>
      <c r="N246" s="4"/>
      <c r="Q246" s="4"/>
      <c r="R246" s="4"/>
      <c r="S246" s="4"/>
      <c r="U246" s="4"/>
      <c r="V246" s="4"/>
      <c r="X246" s="4"/>
      <c r="Z246" s="4"/>
    </row>
    <row r="247" spans="5:26" x14ac:dyDescent="0.3">
      <c r="E247" s="4"/>
      <c r="F247" s="4"/>
      <c r="G247" s="4"/>
      <c r="K247" s="4"/>
      <c r="N247" s="4"/>
      <c r="Q247" s="4"/>
      <c r="R247" s="4"/>
      <c r="S247" s="4"/>
      <c r="U247" s="4"/>
      <c r="V247" s="4"/>
      <c r="X247" s="4"/>
      <c r="Z247" s="4"/>
    </row>
    <row r="248" spans="5:26" x14ac:dyDescent="0.3">
      <c r="E248" s="4"/>
      <c r="F248" s="4"/>
      <c r="G248" s="4"/>
      <c r="K248" s="4"/>
      <c r="N248" s="4"/>
      <c r="Q248" s="4"/>
      <c r="R248" s="4"/>
      <c r="S248" s="4"/>
      <c r="U248" s="4"/>
      <c r="V248" s="4"/>
      <c r="X248" s="4"/>
      <c r="Z248" s="4"/>
    </row>
    <row r="249" spans="5:26" x14ac:dyDescent="0.3">
      <c r="E249" s="4"/>
      <c r="F249" s="4"/>
      <c r="G249" s="4"/>
      <c r="K249" s="4"/>
      <c r="N249" s="4"/>
      <c r="Q249" s="4"/>
      <c r="R249" s="4"/>
      <c r="S249" s="4"/>
      <c r="U249" s="4"/>
      <c r="V249" s="4"/>
      <c r="X249" s="4"/>
      <c r="Z249" s="4"/>
    </row>
    <row r="250" spans="5:26" x14ac:dyDescent="0.3">
      <c r="E250" s="4"/>
      <c r="F250" s="4"/>
      <c r="G250" s="4"/>
      <c r="K250" s="4"/>
      <c r="N250" s="4"/>
      <c r="Q250" s="4"/>
      <c r="R250" s="4"/>
      <c r="S250" s="4"/>
      <c r="U250" s="4"/>
      <c r="V250" s="4"/>
      <c r="X250" s="4"/>
      <c r="Z250" s="4"/>
    </row>
    <row r="251" spans="5:26" x14ac:dyDescent="0.3">
      <c r="E251" s="4"/>
      <c r="F251" s="4"/>
      <c r="G251" s="4"/>
      <c r="K251" s="4"/>
      <c r="N251" s="4"/>
      <c r="Q251" s="4"/>
      <c r="R251" s="4"/>
      <c r="S251" s="4"/>
      <c r="U251" s="4"/>
      <c r="V251" s="4"/>
      <c r="X251" s="4"/>
      <c r="Z251" s="4"/>
    </row>
    <row r="252" spans="5:26" x14ac:dyDescent="0.3">
      <c r="E252" s="4"/>
      <c r="F252" s="4"/>
      <c r="G252" s="4"/>
      <c r="K252" s="4"/>
      <c r="N252" s="4"/>
      <c r="Q252" s="4"/>
      <c r="R252" s="4"/>
      <c r="S252" s="4"/>
      <c r="U252" s="4"/>
      <c r="V252" s="4"/>
      <c r="X252" s="4"/>
      <c r="Z252" s="4"/>
    </row>
    <row r="253" spans="5:26" x14ac:dyDescent="0.3">
      <c r="E253" s="4"/>
      <c r="F253" s="4"/>
      <c r="G253" s="4"/>
      <c r="K253" s="4"/>
      <c r="N253" s="4"/>
      <c r="Q253" s="4"/>
      <c r="R253" s="4"/>
      <c r="S253" s="4"/>
      <c r="U253" s="4"/>
      <c r="V253" s="4"/>
      <c r="X253" s="4"/>
      <c r="Z253" s="4"/>
    </row>
    <row r="254" spans="5:26" x14ac:dyDescent="0.3">
      <c r="E254" s="4"/>
      <c r="F254" s="4"/>
      <c r="G254" s="4"/>
      <c r="K254" s="4"/>
      <c r="N254" s="4"/>
      <c r="Q254" s="4"/>
      <c r="R254" s="4"/>
      <c r="S254" s="4"/>
      <c r="U254" s="4"/>
      <c r="V254" s="4"/>
      <c r="X254" s="4"/>
      <c r="Z254" s="4"/>
    </row>
    <row r="255" spans="5:26" x14ac:dyDescent="0.3">
      <c r="E255" s="4"/>
      <c r="F255" s="4"/>
      <c r="G255" s="4"/>
      <c r="K255" s="4"/>
      <c r="N255" s="4"/>
      <c r="Q255" s="4"/>
      <c r="R255" s="4"/>
      <c r="S255" s="4"/>
      <c r="U255" s="4"/>
      <c r="V255" s="4"/>
      <c r="X255" s="4"/>
      <c r="Z255" s="4"/>
    </row>
    <row r="256" spans="5:26" x14ac:dyDescent="0.3">
      <c r="E256" s="4"/>
      <c r="F256" s="4"/>
      <c r="G256" s="4"/>
      <c r="K256" s="4"/>
      <c r="N256" s="4"/>
      <c r="Q256" s="4"/>
      <c r="R256" s="4"/>
      <c r="S256" s="4"/>
      <c r="U256" s="4"/>
      <c r="V256" s="4"/>
      <c r="X256" s="4"/>
      <c r="Z256" s="4"/>
    </row>
    <row r="257" spans="5:26" x14ac:dyDescent="0.3">
      <c r="E257" s="4"/>
      <c r="F257" s="4"/>
      <c r="G257" s="4"/>
      <c r="K257" s="4"/>
      <c r="N257" s="4"/>
      <c r="Q257" s="4"/>
      <c r="R257" s="4"/>
      <c r="S257" s="4"/>
      <c r="U257" s="4"/>
      <c r="V257" s="4"/>
      <c r="X257" s="4"/>
      <c r="Z257" s="4"/>
    </row>
    <row r="258" spans="5:26" x14ac:dyDescent="0.3">
      <c r="E258" s="4"/>
      <c r="F258" s="4"/>
      <c r="G258" s="4"/>
      <c r="K258" s="4"/>
      <c r="N258" s="4"/>
      <c r="Q258" s="4"/>
      <c r="R258" s="4"/>
      <c r="S258" s="4"/>
      <c r="U258" s="4"/>
      <c r="V258" s="4"/>
      <c r="X258" s="4"/>
      <c r="Z258" s="4"/>
    </row>
    <row r="259" spans="5:26" x14ac:dyDescent="0.3">
      <c r="E259" s="4"/>
      <c r="F259" s="4"/>
      <c r="G259" s="4"/>
      <c r="K259" s="4"/>
      <c r="N259" s="4"/>
      <c r="Q259" s="4"/>
      <c r="R259" s="4"/>
      <c r="S259" s="4"/>
      <c r="U259" s="4"/>
      <c r="V259" s="4"/>
      <c r="X259" s="4"/>
      <c r="Z259" s="4"/>
    </row>
    <row r="260" spans="5:26" x14ac:dyDescent="0.3">
      <c r="E260" s="4"/>
      <c r="F260" s="4"/>
      <c r="G260" s="4"/>
      <c r="K260" s="4"/>
      <c r="N260" s="4"/>
      <c r="Q260" s="4"/>
      <c r="R260" s="4"/>
      <c r="S260" s="4"/>
      <c r="U260" s="4"/>
      <c r="V260" s="4"/>
      <c r="X260" s="4"/>
      <c r="Z260" s="4"/>
    </row>
    <row r="261" spans="5:26" x14ac:dyDescent="0.3">
      <c r="E261" s="4"/>
      <c r="F261" s="4"/>
      <c r="G261" s="4"/>
      <c r="K261" s="4"/>
      <c r="N261" s="4"/>
      <c r="Q261" s="4"/>
      <c r="R261" s="4"/>
      <c r="S261" s="4"/>
      <c r="U261" s="4"/>
      <c r="V261" s="4"/>
      <c r="X261" s="4"/>
      <c r="Z261" s="4"/>
    </row>
    <row r="262" spans="5:26" x14ac:dyDescent="0.3">
      <c r="E262" s="4"/>
      <c r="F262" s="4"/>
      <c r="G262" s="4"/>
      <c r="K262" s="4"/>
      <c r="N262" s="4"/>
      <c r="Q262" s="4"/>
      <c r="R262" s="4"/>
      <c r="S262" s="4"/>
      <c r="U262" s="4"/>
      <c r="V262" s="4"/>
      <c r="X262" s="4"/>
      <c r="Z262" s="4"/>
    </row>
    <row r="263" spans="5:26" x14ac:dyDescent="0.3">
      <c r="E263" s="4"/>
      <c r="F263" s="4"/>
      <c r="G263" s="4"/>
      <c r="K263" s="4"/>
      <c r="N263" s="4"/>
      <c r="Q263" s="4"/>
      <c r="R263" s="4"/>
      <c r="S263" s="4"/>
      <c r="U263" s="4"/>
      <c r="V263" s="4"/>
      <c r="X263" s="4"/>
      <c r="Z263" s="4"/>
    </row>
    <row r="264" spans="5:26" x14ac:dyDescent="0.3">
      <c r="E264" s="4"/>
      <c r="F264" s="4"/>
      <c r="G264" s="4"/>
      <c r="K264" s="4"/>
      <c r="N264" s="4"/>
      <c r="Q264" s="4"/>
      <c r="R264" s="4"/>
      <c r="S264" s="4"/>
      <c r="U264" s="4"/>
      <c r="V264" s="4"/>
      <c r="X264" s="4"/>
      <c r="Z264" s="4"/>
    </row>
    <row r="265" spans="5:26" x14ac:dyDescent="0.3">
      <c r="E265" s="4"/>
      <c r="F265" s="4"/>
      <c r="G265" s="4"/>
      <c r="K265" s="4"/>
      <c r="N265" s="4"/>
      <c r="Q265" s="4"/>
      <c r="R265" s="4"/>
      <c r="S265" s="4"/>
      <c r="U265" s="4"/>
      <c r="V265" s="4"/>
      <c r="X265" s="4"/>
      <c r="Z265" s="4"/>
    </row>
    <row r="266" spans="5:26" x14ac:dyDescent="0.3">
      <c r="E266" s="4"/>
      <c r="F266" s="4"/>
      <c r="G266" s="4"/>
      <c r="K266" s="4"/>
      <c r="N266" s="4"/>
      <c r="Q266" s="4"/>
      <c r="R266" s="4"/>
      <c r="S266" s="4"/>
      <c r="U266" s="4"/>
      <c r="V266" s="4"/>
      <c r="X266" s="4"/>
      <c r="Z266" s="4"/>
    </row>
    <row r="267" spans="5:26" x14ac:dyDescent="0.3">
      <c r="E267" s="4"/>
      <c r="F267" s="4"/>
      <c r="G267" s="4"/>
      <c r="K267" s="4"/>
      <c r="N267" s="4"/>
      <c r="Q267" s="4"/>
      <c r="R267" s="4"/>
      <c r="S267" s="4"/>
      <c r="U267" s="4"/>
      <c r="V267" s="4"/>
      <c r="X267" s="4"/>
      <c r="Z267" s="4"/>
    </row>
    <row r="268" spans="5:26" x14ac:dyDescent="0.3">
      <c r="E268" s="4"/>
      <c r="F268" s="4"/>
      <c r="G268" s="4"/>
      <c r="K268" s="4"/>
      <c r="N268" s="4"/>
      <c r="Q268" s="4"/>
      <c r="R268" s="4"/>
      <c r="S268" s="4"/>
      <c r="U268" s="4"/>
      <c r="V268" s="4"/>
      <c r="X268" s="4"/>
      <c r="Z268" s="4"/>
    </row>
    <row r="269" spans="5:26" x14ac:dyDescent="0.3">
      <c r="E269" s="4"/>
      <c r="F269" s="4"/>
      <c r="G269" s="4"/>
      <c r="K269" s="4"/>
      <c r="N269" s="4"/>
      <c r="Q269" s="4"/>
      <c r="R269" s="4"/>
      <c r="S269" s="4"/>
      <c r="U269" s="4"/>
      <c r="V269" s="4"/>
      <c r="X269" s="4"/>
      <c r="Z269" s="4"/>
    </row>
    <row r="270" spans="5:26" x14ac:dyDescent="0.3">
      <c r="E270" s="4"/>
      <c r="F270" s="4"/>
      <c r="G270" s="4"/>
      <c r="K270" s="4"/>
      <c r="N270" s="4"/>
      <c r="Q270" s="4"/>
      <c r="R270" s="4"/>
      <c r="S270" s="4"/>
      <c r="U270" s="4"/>
      <c r="V270" s="4"/>
      <c r="X270" s="4"/>
      <c r="Z270" s="4"/>
    </row>
    <row r="271" spans="5:26" x14ac:dyDescent="0.3">
      <c r="E271" s="4"/>
      <c r="F271" s="4"/>
      <c r="G271" s="4"/>
      <c r="K271" s="4"/>
      <c r="N271" s="4"/>
      <c r="Q271" s="4"/>
      <c r="R271" s="4"/>
      <c r="S271" s="4"/>
      <c r="U271" s="4"/>
      <c r="V271" s="4"/>
      <c r="X271" s="4"/>
      <c r="Z271" s="4"/>
    </row>
    <row r="272" spans="5:26" x14ac:dyDescent="0.3">
      <c r="E272" s="4"/>
      <c r="F272" s="4"/>
      <c r="G272" s="4"/>
      <c r="K272" s="4"/>
      <c r="N272" s="4"/>
      <c r="Q272" s="4"/>
      <c r="R272" s="4"/>
      <c r="S272" s="4"/>
      <c r="U272" s="4"/>
      <c r="V272" s="4"/>
      <c r="X272" s="4"/>
      <c r="Z272" s="4"/>
    </row>
    <row r="273" spans="5:26" x14ac:dyDescent="0.3">
      <c r="E273" s="4"/>
      <c r="F273" s="4"/>
      <c r="G273" s="4"/>
      <c r="K273" s="4"/>
      <c r="N273" s="4"/>
      <c r="Q273" s="4"/>
      <c r="R273" s="4"/>
      <c r="S273" s="4"/>
      <c r="U273" s="4"/>
      <c r="V273" s="4"/>
      <c r="X273" s="4"/>
      <c r="Z273" s="4"/>
    </row>
    <row r="274" spans="5:26" x14ac:dyDescent="0.3">
      <c r="E274" s="4"/>
      <c r="F274" s="4"/>
      <c r="G274" s="4"/>
      <c r="K274" s="4"/>
      <c r="N274" s="4"/>
      <c r="Q274" s="4"/>
      <c r="R274" s="4"/>
      <c r="S274" s="4"/>
      <c r="U274" s="4"/>
      <c r="V274" s="4"/>
      <c r="X274" s="4"/>
      <c r="Z274" s="4"/>
    </row>
    <row r="275" spans="5:26" x14ac:dyDescent="0.3">
      <c r="E275" s="4"/>
      <c r="F275" s="4"/>
      <c r="G275" s="4"/>
      <c r="K275" s="4"/>
      <c r="N275" s="4"/>
      <c r="Q275" s="4"/>
      <c r="R275" s="4"/>
      <c r="S275" s="4"/>
      <c r="U275" s="4"/>
      <c r="V275" s="4"/>
      <c r="X275" s="4"/>
      <c r="Z275" s="4"/>
    </row>
    <row r="276" spans="5:26" x14ac:dyDescent="0.3">
      <c r="E276" s="4"/>
      <c r="F276" s="4"/>
      <c r="G276" s="4"/>
      <c r="K276" s="4"/>
      <c r="N276" s="4"/>
      <c r="Q276" s="4"/>
      <c r="R276" s="4"/>
      <c r="S276" s="4"/>
      <c r="U276" s="4"/>
      <c r="V276" s="4"/>
      <c r="X276" s="4"/>
      <c r="Z276" s="4"/>
    </row>
    <row r="277" spans="5:26" x14ac:dyDescent="0.3">
      <c r="E277" s="4"/>
      <c r="F277" s="4"/>
      <c r="G277" s="4"/>
      <c r="K277" s="4"/>
      <c r="N277" s="4"/>
      <c r="Q277" s="4"/>
      <c r="R277" s="4"/>
      <c r="S277" s="4"/>
      <c r="U277" s="4"/>
      <c r="V277" s="4"/>
      <c r="X277" s="4"/>
      <c r="Z277" s="4"/>
    </row>
    <row r="278" spans="5:26" x14ac:dyDescent="0.3">
      <c r="E278" s="4"/>
      <c r="F278" s="4"/>
      <c r="G278" s="4"/>
      <c r="K278" s="4"/>
      <c r="N278" s="4"/>
      <c r="Q278" s="4"/>
      <c r="R278" s="4"/>
      <c r="S278" s="4"/>
      <c r="U278" s="4"/>
      <c r="V278" s="4"/>
      <c r="X278" s="4"/>
      <c r="Z278" s="4"/>
    </row>
    <row r="279" spans="5:26" x14ac:dyDescent="0.3">
      <c r="E279" s="4"/>
      <c r="F279" s="4"/>
      <c r="G279" s="4"/>
      <c r="K279" s="4"/>
      <c r="N279" s="4"/>
      <c r="Q279" s="4"/>
      <c r="R279" s="4"/>
      <c r="S279" s="4"/>
      <c r="U279" s="4"/>
      <c r="V279" s="4"/>
      <c r="X279" s="4"/>
      <c r="Z279" s="4"/>
    </row>
    <row r="280" spans="5:26" x14ac:dyDescent="0.3">
      <c r="E280" s="4"/>
      <c r="F280" s="4"/>
      <c r="G280" s="4"/>
      <c r="K280" s="4"/>
      <c r="N280" s="4"/>
      <c r="Q280" s="4"/>
      <c r="R280" s="4"/>
      <c r="S280" s="4"/>
      <c r="U280" s="4"/>
      <c r="V280" s="4"/>
      <c r="X280" s="4"/>
      <c r="Z280" s="4"/>
    </row>
    <row r="281" spans="5:26" x14ac:dyDescent="0.3">
      <c r="E281" s="4"/>
      <c r="F281" s="4"/>
      <c r="G281" s="4"/>
      <c r="K281" s="4"/>
      <c r="N281" s="4"/>
      <c r="Q281" s="4"/>
      <c r="R281" s="4"/>
      <c r="S281" s="4"/>
      <c r="U281" s="4"/>
      <c r="V281" s="4"/>
      <c r="X281" s="4"/>
      <c r="Z281" s="4"/>
    </row>
    <row r="282" spans="5:26" x14ac:dyDescent="0.3">
      <c r="E282" s="4"/>
      <c r="F282" s="4"/>
      <c r="G282" s="4"/>
      <c r="K282" s="4"/>
      <c r="N282" s="4"/>
      <c r="Q282" s="4"/>
      <c r="R282" s="4"/>
      <c r="S282" s="4"/>
      <c r="U282" s="4"/>
      <c r="V282" s="4"/>
      <c r="X282" s="4"/>
      <c r="Z282" s="4"/>
    </row>
    <row r="283" spans="5:26" x14ac:dyDescent="0.3">
      <c r="E283" s="4"/>
      <c r="F283" s="4"/>
      <c r="G283" s="4"/>
      <c r="K283" s="4"/>
      <c r="N283" s="4"/>
      <c r="Q283" s="4"/>
      <c r="R283" s="4"/>
      <c r="S283" s="4"/>
      <c r="U283" s="4"/>
      <c r="V283" s="4"/>
      <c r="X283" s="4"/>
      <c r="Z283" s="4"/>
    </row>
    <row r="284" spans="5:26" x14ac:dyDescent="0.3">
      <c r="E284" s="4"/>
      <c r="F284" s="4"/>
      <c r="G284" s="4"/>
      <c r="K284" s="4"/>
      <c r="N284" s="4"/>
      <c r="Q284" s="4"/>
      <c r="R284" s="4"/>
      <c r="S284" s="4"/>
      <c r="U284" s="4"/>
      <c r="V284" s="4"/>
      <c r="X284" s="4"/>
      <c r="Z284" s="4"/>
    </row>
    <row r="285" spans="5:26" x14ac:dyDescent="0.3">
      <c r="E285" s="4"/>
      <c r="F285" s="4"/>
      <c r="G285" s="4"/>
      <c r="K285" s="4"/>
      <c r="N285" s="4"/>
      <c r="Q285" s="4"/>
      <c r="R285" s="4"/>
      <c r="S285" s="4"/>
      <c r="U285" s="4"/>
      <c r="V285" s="4"/>
      <c r="X285" s="4"/>
      <c r="Z285" s="4"/>
    </row>
    <row r="286" spans="5:26" x14ac:dyDescent="0.3">
      <c r="E286" s="4"/>
      <c r="F286" s="4"/>
      <c r="G286" s="4"/>
      <c r="K286" s="4"/>
      <c r="N286" s="4"/>
      <c r="Q286" s="4"/>
      <c r="R286" s="4"/>
      <c r="S286" s="4"/>
      <c r="U286" s="4"/>
      <c r="V286" s="4"/>
      <c r="X286" s="4"/>
      <c r="Z286" s="4"/>
    </row>
    <row r="287" spans="5:26" x14ac:dyDescent="0.3">
      <c r="E287" s="4"/>
      <c r="F287" s="4"/>
      <c r="G287" s="4"/>
      <c r="K287" s="4"/>
      <c r="N287" s="4"/>
      <c r="Q287" s="4"/>
      <c r="R287" s="4"/>
      <c r="S287" s="4"/>
      <c r="U287" s="4"/>
      <c r="V287" s="4"/>
      <c r="X287" s="4"/>
      <c r="Z287" s="4"/>
    </row>
    <row r="288" spans="5:26" x14ac:dyDescent="0.3">
      <c r="E288" s="4"/>
      <c r="F288" s="4"/>
      <c r="G288" s="4"/>
      <c r="K288" s="4"/>
      <c r="N288" s="4"/>
      <c r="Q288" s="4"/>
      <c r="R288" s="4"/>
      <c r="S288" s="4"/>
      <c r="U288" s="4"/>
      <c r="V288" s="4"/>
      <c r="X288" s="4"/>
      <c r="Z288" s="4"/>
    </row>
    <row r="289" spans="5:26" x14ac:dyDescent="0.3">
      <c r="E289" s="4"/>
      <c r="F289" s="4"/>
      <c r="G289" s="4"/>
      <c r="K289" s="4"/>
      <c r="N289" s="4"/>
      <c r="Q289" s="4"/>
      <c r="R289" s="4"/>
      <c r="S289" s="4"/>
      <c r="U289" s="4"/>
      <c r="V289" s="4"/>
      <c r="X289" s="4"/>
      <c r="Z289" s="4"/>
    </row>
    <row r="290" spans="5:26" x14ac:dyDescent="0.3">
      <c r="E290" s="4"/>
      <c r="F290" s="4"/>
      <c r="G290" s="4"/>
      <c r="K290" s="4"/>
      <c r="N290" s="4"/>
      <c r="Q290" s="4"/>
      <c r="R290" s="4"/>
      <c r="S290" s="4"/>
      <c r="U290" s="4"/>
      <c r="V290" s="4"/>
      <c r="X290" s="4"/>
      <c r="Z290" s="4"/>
    </row>
    <row r="291" spans="5:26" x14ac:dyDescent="0.3">
      <c r="E291" s="4"/>
      <c r="F291" s="4"/>
      <c r="G291" s="4"/>
      <c r="K291" s="4"/>
      <c r="N291" s="4"/>
      <c r="Q291" s="4"/>
      <c r="R291" s="4"/>
      <c r="S291" s="4"/>
      <c r="U291" s="4"/>
      <c r="V291" s="4"/>
      <c r="X291" s="4"/>
      <c r="Z291" s="4"/>
    </row>
    <row r="292" spans="5:26" x14ac:dyDescent="0.3">
      <c r="E292" s="4"/>
      <c r="F292" s="4"/>
      <c r="G292" s="4"/>
      <c r="K292" s="4"/>
      <c r="N292" s="4"/>
      <c r="Q292" s="4"/>
      <c r="R292" s="4"/>
      <c r="S292" s="4"/>
      <c r="U292" s="4"/>
      <c r="V292" s="4"/>
      <c r="X292" s="4"/>
      <c r="Z292" s="4"/>
    </row>
    <row r="293" spans="5:26" x14ac:dyDescent="0.3">
      <c r="E293" s="4"/>
      <c r="F293" s="4"/>
      <c r="G293" s="4"/>
      <c r="K293" s="4"/>
      <c r="N293" s="4"/>
      <c r="Q293" s="4"/>
      <c r="R293" s="4"/>
      <c r="S293" s="4"/>
      <c r="U293" s="4"/>
      <c r="V293" s="4"/>
      <c r="X293" s="4"/>
      <c r="Z293" s="4"/>
    </row>
    <row r="294" spans="5:26" x14ac:dyDescent="0.3">
      <c r="E294" s="4"/>
      <c r="F294" s="4"/>
      <c r="G294" s="4"/>
      <c r="K294" s="4"/>
      <c r="N294" s="4"/>
      <c r="Q294" s="4"/>
      <c r="R294" s="4"/>
      <c r="S294" s="4"/>
      <c r="U294" s="4"/>
      <c r="V294" s="4"/>
      <c r="X294" s="4"/>
      <c r="Z294" s="4"/>
    </row>
    <row r="295" spans="5:26" x14ac:dyDescent="0.3">
      <c r="E295" s="4"/>
      <c r="F295" s="4"/>
      <c r="G295" s="4"/>
      <c r="K295" s="4"/>
      <c r="N295" s="4"/>
      <c r="Q295" s="4"/>
      <c r="R295" s="4"/>
      <c r="S295" s="4"/>
      <c r="U295" s="4"/>
      <c r="V295" s="4"/>
      <c r="X295" s="4"/>
      <c r="Z295" s="4"/>
    </row>
    <row r="296" spans="5:26" x14ac:dyDescent="0.3">
      <c r="E296" s="4"/>
      <c r="F296" s="4"/>
      <c r="G296" s="4"/>
      <c r="K296" s="4"/>
      <c r="N296" s="4"/>
      <c r="Q296" s="4"/>
      <c r="R296" s="4"/>
      <c r="S296" s="4"/>
      <c r="U296" s="4"/>
      <c r="V296" s="4"/>
      <c r="X296" s="4"/>
      <c r="Z296" s="4"/>
    </row>
    <row r="297" spans="5:26" x14ac:dyDescent="0.3">
      <c r="E297" s="4"/>
      <c r="F297" s="4"/>
      <c r="G297" s="4"/>
      <c r="K297" s="4"/>
      <c r="N297" s="4"/>
      <c r="Q297" s="4"/>
      <c r="R297" s="4"/>
      <c r="S297" s="4"/>
      <c r="U297" s="4"/>
      <c r="V297" s="4"/>
      <c r="X297" s="4"/>
      <c r="Z297" s="4"/>
    </row>
    <row r="298" spans="5:26" x14ac:dyDescent="0.3">
      <c r="E298" s="4"/>
      <c r="F298" s="4"/>
      <c r="G298" s="4"/>
      <c r="K298" s="4"/>
      <c r="N298" s="4"/>
      <c r="Q298" s="4"/>
      <c r="R298" s="4"/>
      <c r="S298" s="4"/>
      <c r="U298" s="4"/>
      <c r="V298" s="4"/>
      <c r="X298" s="4"/>
      <c r="Z298" s="4"/>
    </row>
    <row r="299" spans="5:26" x14ac:dyDescent="0.3">
      <c r="E299" s="4"/>
      <c r="F299" s="4"/>
      <c r="G299" s="4"/>
      <c r="K299" s="4"/>
      <c r="N299" s="4"/>
      <c r="Q299" s="4"/>
      <c r="R299" s="4"/>
      <c r="S299" s="4"/>
      <c r="U299" s="4"/>
      <c r="V299" s="4"/>
      <c r="X299" s="4"/>
      <c r="Z299" s="4"/>
    </row>
    <row r="300" spans="5:26" x14ac:dyDescent="0.3">
      <c r="E300" s="4"/>
      <c r="F300" s="4"/>
      <c r="G300" s="4"/>
      <c r="K300" s="4"/>
      <c r="N300" s="4"/>
      <c r="Q300" s="4"/>
      <c r="R300" s="4"/>
      <c r="S300" s="4"/>
      <c r="U300" s="4"/>
      <c r="V300" s="4"/>
      <c r="X300" s="4"/>
      <c r="Z300" s="4"/>
    </row>
    <row r="301" spans="5:26" x14ac:dyDescent="0.3">
      <c r="E301" s="4"/>
      <c r="F301" s="4"/>
      <c r="G301" s="4"/>
      <c r="K301" s="4"/>
      <c r="N301" s="4"/>
      <c r="Q301" s="4"/>
      <c r="R301" s="4"/>
      <c r="S301" s="4"/>
      <c r="U301" s="4"/>
      <c r="V301" s="4"/>
      <c r="X301" s="4"/>
      <c r="Z301" s="4"/>
    </row>
    <row r="302" spans="5:26" x14ac:dyDescent="0.3">
      <c r="E302" s="4"/>
      <c r="F302" s="4"/>
      <c r="G302" s="4"/>
      <c r="K302" s="4"/>
      <c r="N302" s="4"/>
      <c r="Q302" s="4"/>
      <c r="R302" s="4"/>
      <c r="S302" s="4"/>
      <c r="U302" s="4"/>
      <c r="V302" s="4"/>
      <c r="X302" s="4"/>
      <c r="Z302" s="4"/>
    </row>
    <row r="303" spans="5:26" x14ac:dyDescent="0.3">
      <c r="E303" s="4"/>
      <c r="F303" s="4"/>
      <c r="G303" s="4"/>
      <c r="K303" s="4"/>
      <c r="N303" s="4"/>
      <c r="Q303" s="4"/>
      <c r="R303" s="4"/>
      <c r="S303" s="4"/>
      <c r="U303" s="4"/>
      <c r="V303" s="4"/>
      <c r="X303" s="4"/>
      <c r="Z303" s="4"/>
    </row>
    <row r="304" spans="5:26" x14ac:dyDescent="0.3">
      <c r="E304" s="4"/>
      <c r="F304" s="4"/>
      <c r="G304" s="4"/>
      <c r="K304" s="4"/>
      <c r="N304" s="4"/>
      <c r="Q304" s="4"/>
      <c r="R304" s="4"/>
      <c r="S304" s="4"/>
      <c r="U304" s="4"/>
      <c r="V304" s="4"/>
      <c r="X304" s="4"/>
      <c r="Z304" s="4"/>
    </row>
    <row r="305" spans="5:26" x14ac:dyDescent="0.3">
      <c r="E305" s="4"/>
      <c r="F305" s="4"/>
      <c r="G305" s="4"/>
      <c r="K305" s="4"/>
      <c r="N305" s="4"/>
      <c r="Q305" s="4"/>
      <c r="R305" s="4"/>
      <c r="S305" s="4"/>
      <c r="U305" s="4"/>
      <c r="V305" s="4"/>
      <c r="X305" s="4"/>
      <c r="Z305" s="4"/>
    </row>
    <row r="306" spans="5:26" x14ac:dyDescent="0.3">
      <c r="E306" s="4"/>
      <c r="F306" s="4"/>
      <c r="G306" s="4"/>
      <c r="K306" s="4"/>
      <c r="N306" s="4"/>
      <c r="Q306" s="4"/>
      <c r="R306" s="4"/>
      <c r="S306" s="4"/>
      <c r="U306" s="4"/>
      <c r="V306" s="4"/>
      <c r="X306" s="4"/>
      <c r="Z306" s="4"/>
    </row>
    <row r="307" spans="5:26" x14ac:dyDescent="0.3">
      <c r="E307" s="4"/>
      <c r="F307" s="4"/>
      <c r="G307" s="4"/>
      <c r="K307" s="4"/>
      <c r="N307" s="4"/>
      <c r="Q307" s="4"/>
      <c r="R307" s="4"/>
      <c r="S307" s="4"/>
      <c r="U307" s="4"/>
      <c r="V307" s="4"/>
      <c r="X307" s="4"/>
      <c r="Z307" s="4"/>
    </row>
    <row r="308" spans="5:26" x14ac:dyDescent="0.3">
      <c r="E308" s="4"/>
      <c r="F308" s="4"/>
      <c r="G308" s="4"/>
      <c r="K308" s="4"/>
      <c r="N308" s="4"/>
      <c r="Q308" s="4"/>
      <c r="R308" s="4"/>
      <c r="S308" s="4"/>
      <c r="U308" s="4"/>
      <c r="V308" s="4"/>
      <c r="X308" s="4"/>
      <c r="Z308" s="4"/>
    </row>
    <row r="309" spans="5:26" x14ac:dyDescent="0.3">
      <c r="E309" s="4"/>
      <c r="F309" s="4"/>
      <c r="G309" s="4"/>
      <c r="K309" s="4"/>
      <c r="N309" s="4"/>
      <c r="Q309" s="4"/>
      <c r="R309" s="4"/>
      <c r="S309" s="4"/>
      <c r="U309" s="4"/>
      <c r="V309" s="4"/>
      <c r="X309" s="4"/>
      <c r="Z309" s="4"/>
    </row>
    <row r="310" spans="5:26" x14ac:dyDescent="0.3">
      <c r="E310" s="4"/>
      <c r="F310" s="4"/>
      <c r="G310" s="4"/>
      <c r="K310" s="4"/>
      <c r="N310" s="4"/>
      <c r="Q310" s="4"/>
      <c r="R310" s="4"/>
      <c r="S310" s="4"/>
      <c r="U310" s="4"/>
      <c r="V310" s="4"/>
      <c r="X310" s="4"/>
      <c r="Z310" s="4"/>
    </row>
    <row r="311" spans="5:26" x14ac:dyDescent="0.3">
      <c r="E311" s="4"/>
      <c r="F311" s="4"/>
      <c r="G311" s="4"/>
      <c r="K311" s="4"/>
      <c r="N311" s="4"/>
      <c r="Q311" s="4"/>
      <c r="R311" s="4"/>
      <c r="S311" s="4"/>
      <c r="U311" s="4"/>
      <c r="V311" s="4"/>
      <c r="X311" s="4"/>
      <c r="Z311" s="4"/>
    </row>
    <row r="312" spans="5:26" x14ac:dyDescent="0.3">
      <c r="E312" s="4"/>
      <c r="F312" s="4"/>
      <c r="G312" s="4"/>
      <c r="K312" s="4"/>
      <c r="N312" s="4"/>
      <c r="Q312" s="4"/>
      <c r="R312" s="4"/>
      <c r="S312" s="4"/>
      <c r="U312" s="4"/>
      <c r="V312" s="4"/>
      <c r="X312" s="4"/>
      <c r="Z312" s="4"/>
    </row>
    <row r="313" spans="5:26" x14ac:dyDescent="0.3">
      <c r="E313" s="4"/>
      <c r="F313" s="4"/>
      <c r="G313" s="4"/>
      <c r="K313" s="4"/>
      <c r="N313" s="4"/>
      <c r="Q313" s="4"/>
      <c r="R313" s="4"/>
      <c r="S313" s="4"/>
      <c r="U313" s="4"/>
      <c r="V313" s="4"/>
      <c r="X313" s="4"/>
      <c r="Z313" s="4"/>
    </row>
    <row r="314" spans="5:26" x14ac:dyDescent="0.3">
      <c r="E314" s="4"/>
      <c r="F314" s="4"/>
      <c r="G314" s="4"/>
      <c r="K314" s="4"/>
      <c r="N314" s="4"/>
      <c r="Q314" s="4"/>
      <c r="R314" s="4"/>
      <c r="S314" s="4"/>
      <c r="U314" s="4"/>
      <c r="V314" s="4"/>
      <c r="X314" s="4"/>
      <c r="Z314" s="4"/>
    </row>
    <row r="315" spans="5:26" x14ac:dyDescent="0.3">
      <c r="E315" s="4"/>
      <c r="F315" s="4"/>
      <c r="G315" s="4"/>
      <c r="K315" s="4"/>
      <c r="N315" s="4"/>
      <c r="Q315" s="4"/>
      <c r="R315" s="4"/>
      <c r="S315" s="4"/>
      <c r="U315" s="4"/>
      <c r="V315" s="4"/>
      <c r="X315" s="4"/>
      <c r="Z315" s="4"/>
    </row>
    <row r="316" spans="5:26" x14ac:dyDescent="0.3">
      <c r="E316" s="4"/>
      <c r="F316" s="4"/>
      <c r="G316" s="4"/>
      <c r="K316" s="4"/>
      <c r="N316" s="4"/>
      <c r="Q316" s="4"/>
      <c r="R316" s="4"/>
      <c r="S316" s="4"/>
      <c r="U316" s="4"/>
      <c r="V316" s="4"/>
      <c r="X316" s="4"/>
      <c r="Z316" s="4"/>
    </row>
    <row r="317" spans="5:26" x14ac:dyDescent="0.3">
      <c r="E317" s="4"/>
      <c r="F317" s="4"/>
      <c r="G317" s="4"/>
      <c r="K317" s="4"/>
      <c r="N317" s="4"/>
      <c r="Q317" s="4"/>
      <c r="R317" s="4"/>
      <c r="S317" s="4"/>
      <c r="U317" s="4"/>
      <c r="V317" s="4"/>
      <c r="X317" s="4"/>
      <c r="Z317" s="4"/>
    </row>
    <row r="318" spans="5:26" x14ac:dyDescent="0.3">
      <c r="E318" s="4"/>
      <c r="F318" s="4"/>
      <c r="G318" s="4"/>
      <c r="K318" s="4"/>
      <c r="N318" s="4"/>
      <c r="Q318" s="4"/>
      <c r="R318" s="4"/>
      <c r="S318" s="4"/>
      <c r="U318" s="4"/>
      <c r="V318" s="4"/>
      <c r="X318" s="4"/>
      <c r="Z318" s="4"/>
    </row>
    <row r="319" spans="5:26" x14ac:dyDescent="0.3">
      <c r="E319" s="4"/>
      <c r="F319" s="4"/>
      <c r="G319" s="4"/>
      <c r="K319" s="4"/>
      <c r="N319" s="4"/>
      <c r="Q319" s="4"/>
      <c r="R319" s="4"/>
      <c r="S319" s="4"/>
      <c r="U319" s="4"/>
      <c r="V319" s="4"/>
      <c r="X319" s="4"/>
      <c r="Z319" s="4"/>
    </row>
    <row r="320" spans="5:26" x14ac:dyDescent="0.3">
      <c r="E320" s="4"/>
      <c r="F320" s="4"/>
      <c r="G320" s="4"/>
      <c r="K320" s="4"/>
      <c r="N320" s="4"/>
      <c r="Q320" s="4"/>
      <c r="R320" s="4"/>
      <c r="S320" s="4"/>
      <c r="U320" s="4"/>
      <c r="V320" s="4"/>
      <c r="X320" s="4"/>
      <c r="Z320" s="4"/>
    </row>
    <row r="321" spans="5:26" x14ac:dyDescent="0.3">
      <c r="E321" s="4"/>
      <c r="F321" s="4"/>
      <c r="G321" s="4"/>
      <c r="K321" s="4"/>
      <c r="N321" s="4"/>
      <c r="Q321" s="4"/>
      <c r="R321" s="4"/>
      <c r="S321" s="4"/>
      <c r="U321" s="4"/>
      <c r="V321" s="4"/>
      <c r="X321" s="4"/>
      <c r="Z321" s="4"/>
    </row>
    <row r="322" spans="5:26" x14ac:dyDescent="0.3">
      <c r="E322" s="4"/>
      <c r="F322" s="4"/>
      <c r="G322" s="4"/>
      <c r="K322" s="4"/>
      <c r="N322" s="4"/>
      <c r="Q322" s="4"/>
      <c r="R322" s="4"/>
      <c r="S322" s="4"/>
      <c r="U322" s="4"/>
      <c r="V322" s="4"/>
      <c r="X322" s="4"/>
      <c r="Z322" s="4"/>
    </row>
    <row r="323" spans="5:26" x14ac:dyDescent="0.3">
      <c r="E323" s="4"/>
      <c r="F323" s="4"/>
      <c r="G323" s="4"/>
      <c r="K323" s="4"/>
      <c r="N323" s="4"/>
      <c r="Q323" s="4"/>
      <c r="R323" s="4"/>
      <c r="S323" s="4"/>
      <c r="U323" s="4"/>
      <c r="V323" s="4"/>
      <c r="X323" s="4"/>
      <c r="Z323" s="4"/>
    </row>
    <row r="324" spans="5:26" x14ac:dyDescent="0.3">
      <c r="E324" s="4"/>
      <c r="F324" s="4"/>
      <c r="G324" s="4"/>
      <c r="K324" s="4"/>
      <c r="N324" s="4"/>
      <c r="Q324" s="4"/>
      <c r="R324" s="4"/>
      <c r="S324" s="4"/>
      <c r="U324" s="4"/>
      <c r="V324" s="4"/>
      <c r="X324" s="4"/>
      <c r="Z324" s="4"/>
    </row>
    <row r="325" spans="5:26" x14ac:dyDescent="0.3">
      <c r="E325" s="4"/>
      <c r="F325" s="4"/>
      <c r="G325" s="4"/>
      <c r="K325" s="4"/>
      <c r="N325" s="4"/>
      <c r="Q325" s="4"/>
      <c r="R325" s="4"/>
      <c r="S325" s="4"/>
      <c r="U325" s="4"/>
      <c r="V325" s="4"/>
      <c r="X325" s="4"/>
      <c r="Z325" s="4"/>
    </row>
    <row r="326" spans="5:26" x14ac:dyDescent="0.3">
      <c r="E326" s="4"/>
      <c r="F326" s="4"/>
      <c r="G326" s="4"/>
      <c r="K326" s="4"/>
      <c r="N326" s="4"/>
      <c r="Q326" s="4"/>
      <c r="R326" s="4"/>
      <c r="S326" s="4"/>
      <c r="U326" s="4"/>
      <c r="V326" s="4"/>
      <c r="X326" s="4"/>
      <c r="Z326" s="4"/>
    </row>
    <row r="327" spans="5:26" x14ac:dyDescent="0.3">
      <c r="E327" s="4"/>
      <c r="F327" s="4"/>
      <c r="G327" s="4"/>
      <c r="K327" s="4"/>
      <c r="N327" s="4"/>
      <c r="Q327" s="4"/>
      <c r="R327" s="4"/>
      <c r="S327" s="4"/>
      <c r="U327" s="4"/>
      <c r="V327" s="4"/>
      <c r="X327" s="4"/>
      <c r="Z327" s="4"/>
    </row>
    <row r="328" spans="5:26" x14ac:dyDescent="0.3">
      <c r="E328" s="4"/>
      <c r="F328" s="4"/>
      <c r="G328" s="4"/>
      <c r="K328" s="4"/>
      <c r="N328" s="4"/>
      <c r="Q328" s="4"/>
      <c r="R328" s="4"/>
      <c r="S328" s="4"/>
      <c r="U328" s="4"/>
      <c r="V328" s="4"/>
      <c r="X328" s="4"/>
      <c r="Z328" s="4"/>
    </row>
    <row r="329" spans="5:26" x14ac:dyDescent="0.3">
      <c r="E329" s="4"/>
      <c r="F329" s="4"/>
      <c r="G329" s="4"/>
      <c r="K329" s="4"/>
      <c r="N329" s="4"/>
      <c r="Q329" s="4"/>
      <c r="R329" s="4"/>
      <c r="S329" s="4"/>
      <c r="U329" s="4"/>
      <c r="V329" s="4"/>
      <c r="X329" s="4"/>
      <c r="Z329" s="4"/>
    </row>
    <row r="330" spans="5:26" x14ac:dyDescent="0.3">
      <c r="E330" s="4"/>
      <c r="F330" s="4"/>
      <c r="G330" s="4"/>
      <c r="K330" s="4"/>
      <c r="N330" s="4"/>
      <c r="Q330" s="4"/>
      <c r="R330" s="4"/>
      <c r="S330" s="4"/>
      <c r="U330" s="4"/>
      <c r="V330" s="4"/>
      <c r="X330" s="4"/>
      <c r="Z330" s="4"/>
    </row>
    <row r="331" spans="5:26" x14ac:dyDescent="0.3">
      <c r="E331" s="4"/>
      <c r="F331" s="4"/>
      <c r="G331" s="4"/>
      <c r="K331" s="4"/>
      <c r="N331" s="4"/>
      <c r="Q331" s="4"/>
      <c r="R331" s="4"/>
      <c r="S331" s="4"/>
      <c r="U331" s="4"/>
      <c r="V331" s="4"/>
      <c r="X331" s="4"/>
      <c r="Z331" s="4"/>
    </row>
    <row r="332" spans="5:26" x14ac:dyDescent="0.3">
      <c r="E332" s="4"/>
      <c r="F332" s="4"/>
      <c r="G332" s="4"/>
      <c r="K332" s="4"/>
      <c r="N332" s="4"/>
      <c r="Q332" s="4"/>
      <c r="R332" s="4"/>
      <c r="S332" s="4"/>
      <c r="U332" s="4"/>
      <c r="V332" s="4"/>
      <c r="X332" s="4"/>
      <c r="Z332" s="4"/>
    </row>
    <row r="333" spans="5:26" x14ac:dyDescent="0.3">
      <c r="E333" s="4"/>
      <c r="F333" s="4"/>
      <c r="G333" s="4"/>
      <c r="K333" s="4"/>
      <c r="N333" s="4"/>
      <c r="Q333" s="4"/>
      <c r="R333" s="4"/>
      <c r="S333" s="4"/>
      <c r="U333" s="4"/>
      <c r="V333" s="4"/>
      <c r="X333" s="4"/>
      <c r="Z333" s="4"/>
    </row>
    <row r="334" spans="5:26" x14ac:dyDescent="0.3">
      <c r="E334" s="4"/>
      <c r="F334" s="4"/>
      <c r="G334" s="4"/>
      <c r="K334" s="4"/>
      <c r="N334" s="4"/>
      <c r="Q334" s="4"/>
      <c r="R334" s="4"/>
      <c r="S334" s="4"/>
      <c r="U334" s="4"/>
      <c r="V334" s="4"/>
      <c r="X334" s="4"/>
      <c r="Z334" s="4"/>
    </row>
    <row r="335" spans="5:26" x14ac:dyDescent="0.3">
      <c r="E335" s="4"/>
      <c r="F335" s="4"/>
      <c r="G335" s="4"/>
      <c r="K335" s="4"/>
      <c r="N335" s="4"/>
      <c r="Q335" s="4"/>
      <c r="R335" s="4"/>
      <c r="S335" s="4"/>
      <c r="U335" s="4"/>
      <c r="V335" s="4"/>
      <c r="X335" s="4"/>
      <c r="Z335" s="4"/>
    </row>
    <row r="336" spans="5:26" x14ac:dyDescent="0.3">
      <c r="E336" s="4"/>
      <c r="F336" s="4"/>
      <c r="G336" s="4"/>
      <c r="K336" s="4"/>
      <c r="N336" s="4"/>
      <c r="Q336" s="4"/>
      <c r="R336" s="4"/>
      <c r="S336" s="4"/>
      <c r="U336" s="4"/>
      <c r="V336" s="4"/>
      <c r="X336" s="4"/>
      <c r="Z336" s="4"/>
    </row>
    <row r="337" spans="5:26" x14ac:dyDescent="0.3">
      <c r="E337" s="4"/>
      <c r="F337" s="4"/>
      <c r="G337" s="4"/>
      <c r="K337" s="4"/>
      <c r="N337" s="4"/>
      <c r="Q337" s="4"/>
      <c r="R337" s="4"/>
      <c r="S337" s="4"/>
      <c r="U337" s="4"/>
      <c r="V337" s="4"/>
      <c r="X337" s="4"/>
      <c r="Z337" s="4"/>
    </row>
    <row r="338" spans="5:26" x14ac:dyDescent="0.3">
      <c r="E338" s="4"/>
      <c r="F338" s="4"/>
      <c r="G338" s="4"/>
      <c r="K338" s="4"/>
      <c r="N338" s="4"/>
      <c r="Q338" s="4"/>
      <c r="R338" s="4"/>
      <c r="S338" s="4"/>
      <c r="U338" s="4"/>
      <c r="V338" s="4"/>
      <c r="X338" s="4"/>
      <c r="Z338" s="4"/>
    </row>
    <row r="339" spans="5:26" x14ac:dyDescent="0.3">
      <c r="E339" s="4"/>
      <c r="F339" s="4"/>
      <c r="G339" s="4"/>
      <c r="K339" s="4"/>
      <c r="N339" s="4"/>
      <c r="Q339" s="4"/>
      <c r="R339" s="4"/>
      <c r="S339" s="4"/>
      <c r="U339" s="4"/>
      <c r="V339" s="4"/>
      <c r="X339" s="4"/>
      <c r="Z339" s="4"/>
    </row>
    <row r="340" spans="5:26" x14ac:dyDescent="0.3">
      <c r="E340" s="4"/>
      <c r="F340" s="4"/>
      <c r="G340" s="4"/>
      <c r="K340" s="4"/>
      <c r="N340" s="4"/>
      <c r="Q340" s="4"/>
      <c r="R340" s="4"/>
      <c r="S340" s="4"/>
      <c r="U340" s="4"/>
      <c r="V340" s="4"/>
      <c r="X340" s="4"/>
      <c r="Z340" s="4"/>
    </row>
    <row r="341" spans="5:26" x14ac:dyDescent="0.3">
      <c r="E341" s="4"/>
      <c r="F341" s="4"/>
      <c r="G341" s="4"/>
      <c r="K341" s="4"/>
      <c r="N341" s="4"/>
      <c r="Q341" s="4"/>
      <c r="R341" s="4"/>
      <c r="S341" s="4"/>
      <c r="U341" s="4"/>
      <c r="V341" s="4"/>
      <c r="X341" s="4"/>
      <c r="Z341" s="4"/>
    </row>
    <row r="342" spans="5:26" x14ac:dyDescent="0.3">
      <c r="E342" s="4"/>
      <c r="F342" s="4"/>
      <c r="G342" s="4"/>
      <c r="K342" s="4"/>
      <c r="N342" s="4"/>
      <c r="Q342" s="4"/>
      <c r="R342" s="4"/>
      <c r="S342" s="4"/>
      <c r="U342" s="4"/>
      <c r="V342" s="4"/>
      <c r="X342" s="4"/>
      <c r="Z342" s="4"/>
    </row>
    <row r="343" spans="5:26" x14ac:dyDescent="0.3">
      <c r="E343" s="4"/>
      <c r="F343" s="4"/>
      <c r="G343" s="4"/>
      <c r="K343" s="4"/>
      <c r="N343" s="4"/>
      <c r="Q343" s="4"/>
      <c r="R343" s="4"/>
      <c r="S343" s="4"/>
      <c r="U343" s="4"/>
      <c r="V343" s="4"/>
      <c r="X343" s="4"/>
      <c r="Z343" s="4"/>
    </row>
    <row r="344" spans="5:26" x14ac:dyDescent="0.3">
      <c r="E344" s="4"/>
      <c r="F344" s="4"/>
      <c r="G344" s="4"/>
      <c r="K344" s="4"/>
      <c r="N344" s="4"/>
      <c r="Q344" s="4"/>
      <c r="R344" s="4"/>
      <c r="S344" s="4"/>
      <c r="U344" s="4"/>
      <c r="V344" s="4"/>
      <c r="X344" s="4"/>
      <c r="Z344" s="4"/>
    </row>
    <row r="345" spans="5:26" x14ac:dyDescent="0.3">
      <c r="E345" s="4"/>
      <c r="F345" s="4"/>
      <c r="G345" s="4"/>
      <c r="K345" s="4"/>
      <c r="N345" s="4"/>
      <c r="Q345" s="4"/>
      <c r="R345" s="4"/>
      <c r="S345" s="4"/>
      <c r="U345" s="4"/>
      <c r="V345" s="4"/>
      <c r="X345" s="4"/>
      <c r="Z345" s="4"/>
    </row>
    <row r="346" spans="5:26" x14ac:dyDescent="0.3">
      <c r="E346" s="4"/>
      <c r="F346" s="4"/>
      <c r="G346" s="4"/>
      <c r="K346" s="4"/>
      <c r="N346" s="4"/>
      <c r="Q346" s="4"/>
      <c r="R346" s="4"/>
      <c r="S346" s="4"/>
      <c r="U346" s="4"/>
      <c r="V346" s="4"/>
      <c r="X346" s="4"/>
      <c r="Z346" s="4"/>
    </row>
    <row r="347" spans="5:26" x14ac:dyDescent="0.3">
      <c r="E347" s="4"/>
      <c r="F347" s="4"/>
      <c r="G347" s="4"/>
      <c r="K347" s="4"/>
      <c r="N347" s="4"/>
      <c r="Q347" s="4"/>
      <c r="R347" s="4"/>
      <c r="S347" s="4"/>
      <c r="U347" s="4"/>
      <c r="V347" s="4"/>
      <c r="X347" s="4"/>
      <c r="Z347" s="4"/>
    </row>
    <row r="348" spans="5:26" x14ac:dyDescent="0.3">
      <c r="E348" s="4"/>
      <c r="F348" s="4"/>
      <c r="G348" s="4"/>
      <c r="K348" s="4"/>
      <c r="N348" s="4"/>
      <c r="Q348" s="4"/>
      <c r="R348" s="4"/>
      <c r="S348" s="4"/>
      <c r="U348" s="4"/>
      <c r="V348" s="4"/>
      <c r="X348" s="4"/>
      <c r="Z348" s="4"/>
    </row>
    <row r="349" spans="5:26" x14ac:dyDescent="0.3">
      <c r="E349" s="4"/>
      <c r="F349" s="4"/>
      <c r="G349" s="4"/>
      <c r="K349" s="4"/>
      <c r="N349" s="4"/>
      <c r="Q349" s="4"/>
      <c r="R349" s="4"/>
      <c r="S349" s="4"/>
      <c r="U349" s="4"/>
      <c r="V349" s="4"/>
      <c r="X349" s="4"/>
      <c r="Z349" s="4"/>
    </row>
    <row r="350" spans="5:26" x14ac:dyDescent="0.3">
      <c r="E350" s="4"/>
      <c r="F350" s="4"/>
      <c r="G350" s="4"/>
      <c r="K350" s="4"/>
      <c r="N350" s="4"/>
      <c r="Q350" s="4"/>
      <c r="R350" s="4"/>
      <c r="S350" s="4"/>
      <c r="U350" s="4"/>
      <c r="V350" s="4"/>
      <c r="X350" s="4"/>
      <c r="Z350" s="4"/>
    </row>
    <row r="351" spans="5:26" x14ac:dyDescent="0.3">
      <c r="E351" s="4"/>
      <c r="F351" s="4"/>
      <c r="G351" s="4"/>
      <c r="K351" s="4"/>
      <c r="N351" s="4"/>
      <c r="Q351" s="4"/>
      <c r="R351" s="4"/>
      <c r="S351" s="4"/>
      <c r="U351" s="4"/>
      <c r="V351" s="4"/>
      <c r="X351" s="4"/>
      <c r="Z351" s="4"/>
    </row>
    <row r="352" spans="5:26" x14ac:dyDescent="0.3">
      <c r="E352" s="4"/>
      <c r="F352" s="4"/>
      <c r="G352" s="4"/>
      <c r="K352" s="4"/>
      <c r="N352" s="4"/>
      <c r="Q352" s="4"/>
      <c r="R352" s="4"/>
      <c r="S352" s="4"/>
      <c r="U352" s="4"/>
      <c r="V352" s="4"/>
      <c r="X352" s="4"/>
      <c r="Z352" s="4"/>
    </row>
    <row r="353" spans="5:26" x14ac:dyDescent="0.3">
      <c r="E353" s="4"/>
      <c r="F353" s="4"/>
      <c r="G353" s="4"/>
      <c r="K353" s="4"/>
      <c r="N353" s="4"/>
      <c r="Q353" s="4"/>
      <c r="R353" s="4"/>
      <c r="S353" s="4"/>
      <c r="U353" s="4"/>
      <c r="V353" s="4"/>
      <c r="X353" s="4"/>
      <c r="Z353" s="4"/>
    </row>
    <row r="354" spans="5:26" x14ac:dyDescent="0.3">
      <c r="E354" s="4"/>
      <c r="F354" s="4"/>
      <c r="G354" s="4"/>
      <c r="K354" s="4"/>
      <c r="N354" s="4"/>
      <c r="Q354" s="4"/>
      <c r="R354" s="4"/>
      <c r="S354" s="4"/>
      <c r="U354" s="4"/>
      <c r="V354" s="4"/>
      <c r="X354" s="4"/>
      <c r="Z354" s="4"/>
    </row>
    <row r="355" spans="5:26" x14ac:dyDescent="0.3">
      <c r="E355" s="4"/>
      <c r="F355" s="4"/>
      <c r="G355" s="4"/>
      <c r="K355" s="4"/>
      <c r="N355" s="4"/>
      <c r="Q355" s="4"/>
      <c r="R355" s="4"/>
      <c r="S355" s="4"/>
      <c r="U355" s="4"/>
      <c r="V355" s="4"/>
      <c r="X355" s="4"/>
      <c r="Z355" s="4"/>
    </row>
    <row r="356" spans="5:26" x14ac:dyDescent="0.3">
      <c r="E356" s="4"/>
      <c r="F356" s="4"/>
      <c r="G356" s="4"/>
      <c r="K356" s="4"/>
      <c r="N356" s="4"/>
      <c r="Q356" s="4"/>
      <c r="R356" s="4"/>
      <c r="S356" s="4"/>
      <c r="U356" s="4"/>
      <c r="V356" s="4"/>
      <c r="X356" s="4"/>
      <c r="Z356" s="4"/>
    </row>
    <row r="357" spans="5:26" x14ac:dyDescent="0.3">
      <c r="E357" s="4"/>
      <c r="F357" s="4"/>
      <c r="G357" s="4"/>
      <c r="K357" s="4"/>
      <c r="N357" s="4"/>
      <c r="Q357" s="4"/>
      <c r="R357" s="4"/>
      <c r="S357" s="4"/>
      <c r="U357" s="4"/>
      <c r="V357" s="4"/>
      <c r="X357" s="4"/>
      <c r="Z357" s="4"/>
    </row>
    <row r="358" spans="5:26" x14ac:dyDescent="0.3">
      <c r="E358" s="4"/>
      <c r="F358" s="4"/>
      <c r="G358" s="4"/>
      <c r="K358" s="4"/>
      <c r="N358" s="4"/>
      <c r="Q358" s="4"/>
      <c r="R358" s="4"/>
      <c r="S358" s="4"/>
      <c r="U358" s="4"/>
      <c r="V358" s="4"/>
      <c r="X358" s="4"/>
      <c r="Z358" s="4"/>
    </row>
    <row r="359" spans="5:26" x14ac:dyDescent="0.3">
      <c r="E359" s="4"/>
      <c r="F359" s="4"/>
      <c r="G359" s="4"/>
      <c r="K359" s="4"/>
      <c r="N359" s="4"/>
      <c r="Q359" s="4"/>
      <c r="R359" s="4"/>
      <c r="S359" s="4"/>
      <c r="U359" s="4"/>
      <c r="V359" s="4"/>
      <c r="X359" s="4"/>
      <c r="Z359" s="4"/>
    </row>
    <row r="360" spans="5:26" x14ac:dyDescent="0.3">
      <c r="E360" s="4"/>
      <c r="F360" s="4"/>
      <c r="G360" s="4"/>
      <c r="K360" s="4"/>
      <c r="N360" s="4"/>
      <c r="Q360" s="4"/>
      <c r="R360" s="4"/>
      <c r="S360" s="4"/>
      <c r="U360" s="4"/>
      <c r="V360" s="4"/>
      <c r="X360" s="4"/>
      <c r="Z360" s="4"/>
    </row>
    <row r="361" spans="5:26" x14ac:dyDescent="0.3">
      <c r="E361" s="4"/>
      <c r="F361" s="4"/>
      <c r="G361" s="4"/>
      <c r="K361" s="4"/>
      <c r="N361" s="4"/>
      <c r="Q361" s="4"/>
      <c r="R361" s="4"/>
      <c r="S361" s="4"/>
      <c r="U361" s="4"/>
      <c r="V361" s="4"/>
      <c r="X361" s="4"/>
      <c r="Z361" s="4"/>
    </row>
    <row r="362" spans="5:26" x14ac:dyDescent="0.3">
      <c r="E362" s="4"/>
      <c r="F362" s="4"/>
      <c r="G362" s="4"/>
      <c r="K362" s="4"/>
      <c r="N362" s="4"/>
      <c r="Q362" s="4"/>
      <c r="R362" s="4"/>
      <c r="S362" s="4"/>
      <c r="U362" s="4"/>
      <c r="V362" s="4"/>
      <c r="X362" s="4"/>
      <c r="Z362" s="4"/>
    </row>
    <row r="363" spans="5:26" x14ac:dyDescent="0.3">
      <c r="E363" s="4"/>
      <c r="F363" s="4"/>
      <c r="G363" s="4"/>
      <c r="K363" s="4"/>
      <c r="N363" s="4"/>
      <c r="Q363" s="4"/>
      <c r="R363" s="4"/>
      <c r="S363" s="4"/>
      <c r="U363" s="4"/>
      <c r="V363" s="4"/>
      <c r="X363" s="4"/>
      <c r="Z363" s="4"/>
    </row>
    <row r="364" spans="5:26" x14ac:dyDescent="0.3">
      <c r="E364" s="4"/>
      <c r="F364" s="4"/>
      <c r="G364" s="4"/>
      <c r="K364" s="4"/>
      <c r="N364" s="4"/>
      <c r="Q364" s="4"/>
      <c r="R364" s="4"/>
      <c r="S364" s="4"/>
      <c r="U364" s="4"/>
      <c r="V364" s="4"/>
      <c r="X364" s="4"/>
      <c r="Z364" s="4"/>
    </row>
    <row r="365" spans="5:26" x14ac:dyDescent="0.3">
      <c r="E365" s="4"/>
      <c r="F365" s="4"/>
      <c r="G365" s="4"/>
      <c r="K365" s="4"/>
      <c r="N365" s="4"/>
      <c r="Q365" s="4"/>
      <c r="R365" s="4"/>
      <c r="S365" s="4"/>
      <c r="U365" s="4"/>
      <c r="V365" s="4"/>
      <c r="X365" s="4"/>
      <c r="Z365" s="4"/>
    </row>
    <row r="366" spans="5:26" x14ac:dyDescent="0.3">
      <c r="E366" s="4"/>
      <c r="F366" s="4"/>
      <c r="G366" s="4"/>
      <c r="K366" s="4"/>
      <c r="N366" s="4"/>
      <c r="Q366" s="4"/>
      <c r="R366" s="4"/>
      <c r="S366" s="4"/>
      <c r="U366" s="4"/>
      <c r="V366" s="4"/>
      <c r="X366" s="4"/>
      <c r="Z366" s="4"/>
    </row>
    <row r="367" spans="5:26" x14ac:dyDescent="0.3">
      <c r="E367" s="4"/>
      <c r="F367" s="4"/>
      <c r="G367" s="4"/>
      <c r="K367" s="4"/>
      <c r="N367" s="4"/>
      <c r="Q367" s="4"/>
      <c r="R367" s="4"/>
      <c r="S367" s="4"/>
      <c r="U367" s="4"/>
      <c r="V367" s="4"/>
      <c r="X367" s="4"/>
      <c r="Z367" s="4"/>
    </row>
    <row r="368" spans="5:26" x14ac:dyDescent="0.3">
      <c r="E368" s="4"/>
      <c r="F368" s="4"/>
      <c r="G368" s="4"/>
      <c r="K368" s="4"/>
      <c r="N368" s="4"/>
      <c r="Q368" s="4"/>
      <c r="R368" s="4"/>
      <c r="S368" s="4"/>
      <c r="U368" s="4"/>
      <c r="V368" s="4"/>
      <c r="X368" s="4"/>
      <c r="Z368" s="4"/>
    </row>
    <row r="369" spans="5:26" x14ac:dyDescent="0.3">
      <c r="E369" s="4"/>
      <c r="F369" s="4"/>
      <c r="G369" s="4"/>
      <c r="K369" s="4"/>
      <c r="N369" s="4"/>
      <c r="Q369" s="4"/>
      <c r="R369" s="4"/>
      <c r="S369" s="4"/>
      <c r="U369" s="4"/>
      <c r="V369" s="4"/>
      <c r="X369" s="4"/>
      <c r="Z369" s="4"/>
    </row>
    <row r="370" spans="5:26" x14ac:dyDescent="0.3">
      <c r="E370" s="4"/>
      <c r="F370" s="4"/>
      <c r="G370" s="4"/>
      <c r="K370" s="4"/>
      <c r="N370" s="4"/>
      <c r="Q370" s="4"/>
      <c r="R370" s="4"/>
      <c r="S370" s="4"/>
      <c r="U370" s="4"/>
      <c r="V370" s="4"/>
      <c r="X370" s="4"/>
      <c r="Z370" s="4"/>
    </row>
    <row r="371" spans="5:26" x14ac:dyDescent="0.3">
      <c r="E371" s="4"/>
      <c r="F371" s="4"/>
      <c r="G371" s="4"/>
      <c r="K371" s="4"/>
      <c r="N371" s="4"/>
      <c r="Q371" s="4"/>
      <c r="R371" s="4"/>
      <c r="S371" s="4"/>
      <c r="U371" s="4"/>
      <c r="V371" s="4"/>
      <c r="X371" s="4"/>
      <c r="Z371" s="4"/>
    </row>
    <row r="372" spans="5:26" x14ac:dyDescent="0.3">
      <c r="E372" s="4"/>
      <c r="F372" s="4"/>
      <c r="G372" s="4"/>
      <c r="K372" s="4"/>
      <c r="N372" s="4"/>
      <c r="Q372" s="4"/>
      <c r="R372" s="4"/>
      <c r="S372" s="4"/>
      <c r="U372" s="4"/>
      <c r="V372" s="4"/>
      <c r="X372" s="4"/>
      <c r="Z372" s="4"/>
    </row>
    <row r="373" spans="5:26" x14ac:dyDescent="0.3">
      <c r="E373" s="4"/>
      <c r="F373" s="4"/>
      <c r="G373" s="4"/>
      <c r="K373" s="4"/>
      <c r="N373" s="4"/>
      <c r="Q373" s="4"/>
      <c r="R373" s="4"/>
      <c r="S373" s="4"/>
      <c r="U373" s="4"/>
      <c r="V373" s="4"/>
      <c r="X373" s="4"/>
      <c r="Z373" s="4"/>
    </row>
    <row r="374" spans="5:26" x14ac:dyDescent="0.3">
      <c r="E374" s="4"/>
      <c r="F374" s="4"/>
      <c r="G374" s="4"/>
      <c r="K374" s="4"/>
      <c r="N374" s="4"/>
      <c r="Q374" s="4"/>
      <c r="R374" s="4"/>
      <c r="S374" s="4"/>
      <c r="U374" s="4"/>
      <c r="V374" s="4"/>
      <c r="X374" s="4"/>
      <c r="Z374" s="4"/>
    </row>
    <row r="375" spans="5:26" x14ac:dyDescent="0.3">
      <c r="E375" s="4"/>
      <c r="F375" s="4"/>
      <c r="G375" s="4"/>
      <c r="K375" s="4"/>
      <c r="N375" s="4"/>
      <c r="Q375" s="4"/>
      <c r="R375" s="4"/>
      <c r="S375" s="4"/>
      <c r="U375" s="4"/>
      <c r="V375" s="4"/>
      <c r="X375" s="4"/>
      <c r="Z375" s="4"/>
    </row>
    <row r="376" spans="5:26" x14ac:dyDescent="0.3">
      <c r="E376" s="4"/>
      <c r="F376" s="4"/>
      <c r="G376" s="4"/>
      <c r="K376" s="4"/>
      <c r="N376" s="4"/>
      <c r="Q376" s="4"/>
      <c r="R376" s="4"/>
      <c r="S376" s="4"/>
      <c r="U376" s="4"/>
      <c r="V376" s="4"/>
      <c r="X376" s="4"/>
      <c r="Z376" s="4"/>
    </row>
    <row r="377" spans="5:26" x14ac:dyDescent="0.3">
      <c r="E377" s="4"/>
      <c r="F377" s="4"/>
      <c r="G377" s="4"/>
      <c r="K377" s="4"/>
      <c r="N377" s="4"/>
      <c r="Q377" s="4"/>
      <c r="R377" s="4"/>
      <c r="S377" s="4"/>
      <c r="U377" s="4"/>
      <c r="V377" s="4"/>
      <c r="X377" s="4"/>
      <c r="Z377" s="4"/>
    </row>
    <row r="378" spans="5:26" x14ac:dyDescent="0.3">
      <c r="E378" s="4"/>
      <c r="F378" s="4"/>
      <c r="G378" s="4"/>
      <c r="K378" s="4"/>
      <c r="N378" s="4"/>
      <c r="Q378" s="4"/>
      <c r="R378" s="4"/>
      <c r="S378" s="4"/>
      <c r="U378" s="4"/>
      <c r="V378" s="4"/>
      <c r="X378" s="4"/>
      <c r="Z378" s="4"/>
    </row>
    <row r="379" spans="5:26" x14ac:dyDescent="0.3">
      <c r="E379" s="4"/>
      <c r="F379" s="4"/>
      <c r="G379" s="4"/>
      <c r="K379" s="4"/>
      <c r="N379" s="4"/>
      <c r="Q379" s="4"/>
      <c r="R379" s="4"/>
      <c r="S379" s="4"/>
      <c r="U379" s="4"/>
      <c r="V379" s="4"/>
      <c r="X379" s="4"/>
      <c r="Z379" s="4"/>
    </row>
    <row r="380" spans="5:26" x14ac:dyDescent="0.3">
      <c r="E380" s="4"/>
      <c r="F380" s="4"/>
      <c r="G380" s="4"/>
      <c r="K380" s="4"/>
      <c r="N380" s="4"/>
      <c r="Q380" s="4"/>
      <c r="R380" s="4"/>
      <c r="S380" s="4"/>
      <c r="U380" s="4"/>
      <c r="V380" s="4"/>
      <c r="X380" s="4"/>
      <c r="Z380" s="4"/>
    </row>
    <row r="381" spans="5:26" x14ac:dyDescent="0.3">
      <c r="E381" s="4"/>
      <c r="F381" s="4"/>
      <c r="G381" s="4"/>
      <c r="K381" s="4"/>
      <c r="N381" s="4"/>
      <c r="Q381" s="4"/>
      <c r="R381" s="4"/>
      <c r="S381" s="4"/>
      <c r="U381" s="4"/>
      <c r="V381" s="4"/>
      <c r="X381" s="4"/>
      <c r="Z381" s="4"/>
    </row>
    <row r="382" spans="5:26" x14ac:dyDescent="0.3">
      <c r="E382" s="4"/>
      <c r="F382" s="4"/>
      <c r="G382" s="4"/>
      <c r="K382" s="4"/>
      <c r="N382" s="4"/>
      <c r="Q382" s="4"/>
      <c r="R382" s="4"/>
      <c r="S382" s="4"/>
      <c r="U382" s="4"/>
      <c r="V382" s="4"/>
      <c r="X382" s="4"/>
      <c r="Z382" s="4"/>
    </row>
    <row r="383" spans="5:26" x14ac:dyDescent="0.3">
      <c r="E383" s="4"/>
      <c r="F383" s="4"/>
      <c r="G383" s="4"/>
      <c r="K383" s="4"/>
      <c r="N383" s="4"/>
      <c r="Q383" s="4"/>
      <c r="R383" s="4"/>
      <c r="S383" s="4"/>
      <c r="U383" s="4"/>
      <c r="V383" s="4"/>
      <c r="X383" s="4"/>
      <c r="Z383" s="4"/>
    </row>
    <row r="384" spans="5:26" x14ac:dyDescent="0.3">
      <c r="E384" s="4"/>
      <c r="F384" s="4"/>
      <c r="G384" s="4"/>
      <c r="K384" s="4"/>
      <c r="N384" s="4"/>
      <c r="Q384" s="4"/>
      <c r="R384" s="4"/>
      <c r="S384" s="4"/>
      <c r="U384" s="4"/>
      <c r="V384" s="4"/>
      <c r="X384" s="4"/>
      <c r="Z384" s="4"/>
    </row>
    <row r="385" spans="5:26" x14ac:dyDescent="0.3">
      <c r="E385" s="4"/>
      <c r="F385" s="4"/>
      <c r="G385" s="4"/>
      <c r="K385" s="4"/>
      <c r="N385" s="4"/>
      <c r="Q385" s="4"/>
      <c r="R385" s="4"/>
      <c r="S385" s="4"/>
      <c r="U385" s="4"/>
      <c r="V385" s="4"/>
      <c r="X385" s="4"/>
      <c r="Z385" s="4"/>
    </row>
    <row r="386" spans="5:26" x14ac:dyDescent="0.3">
      <c r="E386" s="4"/>
      <c r="F386" s="4"/>
      <c r="G386" s="4"/>
      <c r="K386" s="4"/>
      <c r="N386" s="4"/>
      <c r="Q386" s="4"/>
      <c r="R386" s="4"/>
      <c r="S386" s="4"/>
      <c r="U386" s="4"/>
      <c r="V386" s="4"/>
      <c r="X386" s="4"/>
      <c r="Z386" s="4"/>
    </row>
    <row r="387" spans="5:26" x14ac:dyDescent="0.3">
      <c r="E387" s="4"/>
      <c r="F387" s="4"/>
      <c r="G387" s="4"/>
      <c r="K387" s="4"/>
      <c r="N387" s="4"/>
      <c r="Q387" s="4"/>
      <c r="R387" s="4"/>
      <c r="S387" s="4"/>
      <c r="U387" s="4"/>
      <c r="V387" s="4"/>
      <c r="X387" s="4"/>
      <c r="Z387" s="4"/>
    </row>
    <row r="388" spans="5:26" x14ac:dyDescent="0.3">
      <c r="E388" s="4"/>
      <c r="F388" s="4"/>
      <c r="G388" s="4"/>
      <c r="K388" s="4"/>
      <c r="N388" s="4"/>
      <c r="Q388" s="4"/>
      <c r="R388" s="4"/>
      <c r="S388" s="4"/>
      <c r="U388" s="4"/>
      <c r="V388" s="4"/>
      <c r="X388" s="4"/>
      <c r="Z388" s="4"/>
    </row>
    <row r="389" spans="5:26" x14ac:dyDescent="0.3">
      <c r="E389" s="4"/>
      <c r="F389" s="4"/>
      <c r="G389" s="4"/>
      <c r="K389" s="4"/>
      <c r="N389" s="4"/>
      <c r="Q389" s="4"/>
      <c r="R389" s="4"/>
      <c r="S389" s="4"/>
      <c r="U389" s="4"/>
      <c r="V389" s="4"/>
      <c r="X389" s="4"/>
      <c r="Z389" s="4"/>
    </row>
    <row r="390" spans="5:26" x14ac:dyDescent="0.3">
      <c r="E390" s="4"/>
      <c r="F390" s="4"/>
      <c r="G390" s="4"/>
      <c r="K390" s="4"/>
      <c r="N390" s="4"/>
      <c r="Q390" s="4"/>
      <c r="R390" s="4"/>
      <c r="S390" s="4"/>
      <c r="U390" s="4"/>
      <c r="V390" s="4"/>
      <c r="X390" s="4"/>
      <c r="Z390" s="4"/>
    </row>
    <row r="391" spans="5:26" x14ac:dyDescent="0.3">
      <c r="E391" s="4"/>
      <c r="F391" s="4"/>
      <c r="G391" s="4"/>
      <c r="K391" s="4"/>
      <c r="N391" s="4"/>
      <c r="Q391" s="4"/>
      <c r="R391" s="4"/>
      <c r="S391" s="4"/>
      <c r="U391" s="4"/>
      <c r="V391" s="4"/>
      <c r="X391" s="4"/>
      <c r="Z391" s="4"/>
    </row>
    <row r="392" spans="5:26" x14ac:dyDescent="0.3">
      <c r="E392" s="4"/>
      <c r="F392" s="4"/>
      <c r="G392" s="4"/>
      <c r="K392" s="4"/>
      <c r="N392" s="4"/>
      <c r="Q392" s="4"/>
      <c r="R392" s="4"/>
      <c r="S392" s="4"/>
      <c r="U392" s="4"/>
      <c r="V392" s="4"/>
      <c r="X392" s="4"/>
      <c r="Z392" s="4"/>
    </row>
    <row r="393" spans="5:26" x14ac:dyDescent="0.3">
      <c r="E393" s="4"/>
      <c r="F393" s="4"/>
      <c r="G393" s="4"/>
      <c r="K393" s="4"/>
      <c r="N393" s="4"/>
      <c r="Q393" s="4"/>
      <c r="R393" s="4"/>
      <c r="S393" s="4"/>
      <c r="U393" s="4"/>
      <c r="V393" s="4"/>
      <c r="X393" s="4"/>
      <c r="Z393" s="4"/>
    </row>
    <row r="394" spans="5:26" x14ac:dyDescent="0.3">
      <c r="E394" s="4"/>
      <c r="F394" s="4"/>
      <c r="G394" s="4"/>
      <c r="K394" s="4"/>
      <c r="N394" s="4"/>
      <c r="Q394" s="4"/>
      <c r="R394" s="4"/>
      <c r="S394" s="4"/>
      <c r="U394" s="4"/>
      <c r="V394" s="4"/>
      <c r="X394" s="4"/>
      <c r="Z394" s="4"/>
    </row>
    <row r="395" spans="5:26" x14ac:dyDescent="0.3">
      <c r="E395" s="4"/>
      <c r="F395" s="4"/>
      <c r="G395" s="4"/>
      <c r="K395" s="4"/>
      <c r="N395" s="4"/>
      <c r="Q395" s="4"/>
      <c r="R395" s="4"/>
      <c r="S395" s="4"/>
      <c r="U395" s="4"/>
      <c r="V395" s="4"/>
      <c r="X395" s="4"/>
      <c r="Z395" s="4"/>
    </row>
    <row r="396" spans="5:26" x14ac:dyDescent="0.3">
      <c r="E396" s="4"/>
      <c r="F396" s="4"/>
      <c r="G396" s="4"/>
      <c r="K396" s="4"/>
      <c r="N396" s="4"/>
      <c r="Q396" s="4"/>
      <c r="R396" s="4"/>
      <c r="S396" s="4"/>
      <c r="U396" s="4"/>
      <c r="V396" s="4"/>
      <c r="X396" s="4"/>
      <c r="Z396" s="4"/>
    </row>
    <row r="397" spans="5:26" x14ac:dyDescent="0.3">
      <c r="E397" s="4"/>
      <c r="F397" s="4"/>
      <c r="G397" s="4"/>
      <c r="K397" s="4"/>
      <c r="N397" s="4"/>
      <c r="Q397" s="4"/>
      <c r="R397" s="4"/>
      <c r="S397" s="4"/>
      <c r="U397" s="4"/>
      <c r="V397" s="4"/>
      <c r="X397" s="4"/>
      <c r="Z397" s="4"/>
    </row>
    <row r="398" spans="5:26" x14ac:dyDescent="0.3">
      <c r="E398" s="4"/>
      <c r="F398" s="4"/>
      <c r="G398" s="4"/>
      <c r="K398" s="4"/>
      <c r="N398" s="4"/>
      <c r="Q398" s="4"/>
      <c r="R398" s="4"/>
      <c r="S398" s="4"/>
      <c r="U398" s="4"/>
      <c r="V398" s="4"/>
      <c r="X398" s="4"/>
      <c r="Z398" s="4"/>
    </row>
    <row r="399" spans="5:26" x14ac:dyDescent="0.3">
      <c r="E399" s="4"/>
      <c r="F399" s="4"/>
      <c r="G399" s="4"/>
      <c r="K399" s="4"/>
      <c r="N399" s="4"/>
      <c r="Q399" s="4"/>
      <c r="R399" s="4"/>
      <c r="S399" s="4"/>
      <c r="U399" s="4"/>
      <c r="V399" s="4"/>
      <c r="X399" s="4"/>
      <c r="Z399" s="4"/>
    </row>
    <row r="400" spans="5:26" x14ac:dyDescent="0.3">
      <c r="E400" s="4"/>
      <c r="F400" s="4"/>
      <c r="G400" s="4"/>
      <c r="K400" s="4"/>
      <c r="N400" s="4"/>
      <c r="Q400" s="4"/>
      <c r="R400" s="4"/>
      <c r="S400" s="4"/>
      <c r="U400" s="4"/>
      <c r="V400" s="4"/>
      <c r="X400" s="4"/>
      <c r="Z400" s="4"/>
    </row>
    <row r="401" spans="5:26" x14ac:dyDescent="0.3">
      <c r="E401" s="4"/>
      <c r="F401" s="4"/>
      <c r="G401" s="4"/>
      <c r="K401" s="4"/>
      <c r="N401" s="4"/>
      <c r="Q401" s="4"/>
      <c r="R401" s="4"/>
      <c r="S401" s="4"/>
      <c r="U401" s="4"/>
      <c r="V401" s="4"/>
      <c r="X401" s="4"/>
      <c r="Z401" s="4"/>
    </row>
    <row r="402" spans="5:26" x14ac:dyDescent="0.3">
      <c r="E402" s="4"/>
      <c r="F402" s="4"/>
      <c r="G402" s="4"/>
      <c r="K402" s="4"/>
      <c r="N402" s="4"/>
      <c r="Q402" s="4"/>
      <c r="R402" s="4"/>
      <c r="S402" s="4"/>
      <c r="U402" s="4"/>
      <c r="V402" s="4"/>
      <c r="X402" s="4"/>
      <c r="Z402" s="4"/>
    </row>
    <row r="403" spans="5:26" x14ac:dyDescent="0.3">
      <c r="E403" s="4"/>
      <c r="F403" s="4"/>
      <c r="G403" s="4"/>
      <c r="K403" s="4"/>
      <c r="N403" s="4"/>
      <c r="Q403" s="4"/>
      <c r="R403" s="4"/>
      <c r="S403" s="4"/>
      <c r="U403" s="4"/>
      <c r="V403" s="4"/>
      <c r="X403" s="4"/>
      <c r="Z403" s="4"/>
    </row>
    <row r="404" spans="5:26" x14ac:dyDescent="0.3">
      <c r="E404" s="4"/>
      <c r="F404" s="4"/>
      <c r="G404" s="4"/>
      <c r="K404" s="4"/>
      <c r="N404" s="4"/>
      <c r="Q404" s="4"/>
      <c r="R404" s="4"/>
      <c r="S404" s="4"/>
      <c r="U404" s="4"/>
      <c r="V404" s="4"/>
      <c r="X404" s="4"/>
      <c r="Z404" s="4"/>
    </row>
    <row r="405" spans="5:26" x14ac:dyDescent="0.3">
      <c r="E405" s="4"/>
      <c r="F405" s="4"/>
      <c r="G405" s="4"/>
      <c r="K405" s="4"/>
      <c r="N405" s="4"/>
      <c r="Q405" s="4"/>
      <c r="R405" s="4"/>
      <c r="S405" s="4"/>
      <c r="U405" s="4"/>
      <c r="V405" s="4"/>
      <c r="X405" s="4"/>
      <c r="Z405" s="4"/>
    </row>
    <row r="406" spans="5:26" x14ac:dyDescent="0.3">
      <c r="E406" s="4"/>
      <c r="F406" s="4"/>
      <c r="G406" s="4"/>
      <c r="K406" s="4"/>
      <c r="N406" s="4"/>
      <c r="Q406" s="4"/>
      <c r="R406" s="4"/>
      <c r="S406" s="4"/>
      <c r="U406" s="4"/>
      <c r="V406" s="4"/>
      <c r="X406" s="4"/>
      <c r="Z406" s="4"/>
    </row>
    <row r="407" spans="5:26" x14ac:dyDescent="0.3">
      <c r="E407" s="4"/>
      <c r="F407" s="4"/>
      <c r="G407" s="4"/>
      <c r="K407" s="4"/>
      <c r="N407" s="4"/>
      <c r="Q407" s="4"/>
      <c r="R407" s="4"/>
      <c r="S407" s="4"/>
      <c r="U407" s="4"/>
      <c r="V407" s="4"/>
      <c r="X407" s="4"/>
      <c r="Z407" s="4"/>
    </row>
    <row r="408" spans="5:26" x14ac:dyDescent="0.3">
      <c r="E408" s="4"/>
      <c r="F408" s="4"/>
      <c r="G408" s="4"/>
      <c r="K408" s="4"/>
      <c r="N408" s="4"/>
      <c r="Q408" s="4"/>
      <c r="R408" s="4"/>
      <c r="S408" s="4"/>
      <c r="U408" s="4"/>
      <c r="V408" s="4"/>
      <c r="X408" s="4"/>
      <c r="Z408" s="4"/>
    </row>
    <row r="409" spans="5:26" x14ac:dyDescent="0.3">
      <c r="E409" s="4"/>
      <c r="F409" s="4"/>
      <c r="G409" s="4"/>
      <c r="K409" s="4"/>
      <c r="N409" s="4"/>
      <c r="Q409" s="4"/>
      <c r="R409" s="4"/>
      <c r="S409" s="4"/>
      <c r="U409" s="4"/>
      <c r="V409" s="4"/>
      <c r="X409" s="4"/>
      <c r="Z409" s="4"/>
    </row>
    <row r="410" spans="5:26" x14ac:dyDescent="0.3">
      <c r="E410" s="4"/>
      <c r="F410" s="4"/>
      <c r="G410" s="4"/>
      <c r="K410" s="4"/>
      <c r="N410" s="4"/>
      <c r="Q410" s="4"/>
      <c r="R410" s="4"/>
      <c r="S410" s="4"/>
      <c r="U410" s="4"/>
      <c r="V410" s="4"/>
      <c r="X410" s="4"/>
      <c r="Z410" s="4"/>
    </row>
    <row r="411" spans="5:26" x14ac:dyDescent="0.3">
      <c r="E411" s="4"/>
      <c r="F411" s="4"/>
      <c r="G411" s="4"/>
      <c r="K411" s="4"/>
      <c r="N411" s="4"/>
      <c r="Q411" s="4"/>
      <c r="R411" s="4"/>
      <c r="S411" s="4"/>
      <c r="U411" s="4"/>
      <c r="V411" s="4"/>
      <c r="X411" s="4"/>
      <c r="Z411" s="4"/>
    </row>
    <row r="412" spans="5:26" x14ac:dyDescent="0.3">
      <c r="E412" s="4"/>
      <c r="F412" s="4"/>
      <c r="G412" s="4"/>
      <c r="K412" s="4"/>
      <c r="N412" s="4"/>
      <c r="Q412" s="4"/>
      <c r="R412" s="4"/>
      <c r="S412" s="4"/>
      <c r="U412" s="4"/>
      <c r="V412" s="4"/>
      <c r="X412" s="4"/>
      <c r="Z412" s="4"/>
    </row>
    <row r="413" spans="5:26" x14ac:dyDescent="0.3">
      <c r="E413" s="4"/>
      <c r="F413" s="4"/>
      <c r="G413" s="4"/>
      <c r="K413" s="4"/>
      <c r="N413" s="4"/>
      <c r="Q413" s="4"/>
      <c r="R413" s="4"/>
      <c r="S413" s="4"/>
      <c r="U413" s="4"/>
      <c r="V413" s="4"/>
      <c r="X413" s="4"/>
      <c r="Z413" s="4"/>
    </row>
    <row r="414" spans="5:26" x14ac:dyDescent="0.3">
      <c r="E414" s="4"/>
      <c r="F414" s="4"/>
      <c r="G414" s="4"/>
      <c r="K414" s="4"/>
      <c r="N414" s="4"/>
      <c r="Q414" s="4"/>
      <c r="R414" s="4"/>
      <c r="S414" s="4"/>
      <c r="U414" s="4"/>
      <c r="V414" s="4"/>
      <c r="X414" s="4"/>
      <c r="Z414" s="4"/>
    </row>
    <row r="415" spans="5:26" x14ac:dyDescent="0.3">
      <c r="E415" s="4"/>
      <c r="F415" s="4"/>
      <c r="G415" s="4"/>
      <c r="K415" s="4"/>
      <c r="N415" s="4"/>
      <c r="Q415" s="4"/>
      <c r="R415" s="4"/>
      <c r="S415" s="4"/>
      <c r="U415" s="4"/>
      <c r="V415" s="4"/>
      <c r="X415" s="4"/>
      <c r="Z415" s="4"/>
    </row>
    <row r="416" spans="5:26" x14ac:dyDescent="0.3">
      <c r="E416" s="4"/>
      <c r="F416" s="4"/>
      <c r="G416" s="4"/>
      <c r="K416" s="4"/>
      <c r="N416" s="4"/>
      <c r="Q416" s="4"/>
      <c r="R416" s="4"/>
      <c r="S416" s="4"/>
      <c r="U416" s="4"/>
      <c r="V416" s="4"/>
      <c r="X416" s="4"/>
      <c r="Z416" s="4"/>
    </row>
    <row r="417" spans="5:26" x14ac:dyDescent="0.3">
      <c r="E417" s="4"/>
      <c r="F417" s="4"/>
      <c r="G417" s="4"/>
      <c r="K417" s="4"/>
      <c r="N417" s="4"/>
      <c r="Q417" s="4"/>
      <c r="R417" s="4"/>
      <c r="S417" s="4"/>
      <c r="U417" s="4"/>
      <c r="V417" s="4"/>
      <c r="X417" s="4"/>
      <c r="Z417" s="4"/>
    </row>
    <row r="418" spans="5:26" x14ac:dyDescent="0.3">
      <c r="E418" s="4"/>
      <c r="F418" s="4"/>
      <c r="G418" s="4"/>
      <c r="K418" s="4"/>
      <c r="N418" s="4"/>
      <c r="Q418" s="4"/>
      <c r="R418" s="4"/>
      <c r="S418" s="4"/>
      <c r="U418" s="4"/>
      <c r="V418" s="4"/>
      <c r="X418" s="4"/>
      <c r="Z418" s="4"/>
    </row>
    <row r="419" spans="5:26" x14ac:dyDescent="0.3">
      <c r="E419" s="4"/>
      <c r="F419" s="4"/>
      <c r="G419" s="4"/>
      <c r="K419" s="4"/>
      <c r="N419" s="4"/>
      <c r="Q419" s="4"/>
      <c r="R419" s="4"/>
      <c r="S419" s="4"/>
      <c r="U419" s="4"/>
      <c r="V419" s="4"/>
      <c r="X419" s="4"/>
      <c r="Z419" s="4"/>
    </row>
    <row r="420" spans="5:26" x14ac:dyDescent="0.3">
      <c r="E420" s="4"/>
      <c r="F420" s="4"/>
      <c r="G420" s="4"/>
      <c r="K420" s="4"/>
      <c r="N420" s="4"/>
      <c r="Q420" s="4"/>
      <c r="R420" s="4"/>
      <c r="S420" s="4"/>
      <c r="U420" s="4"/>
      <c r="V420" s="4"/>
      <c r="X420" s="4"/>
      <c r="Z420" s="4"/>
    </row>
    <row r="421" spans="5:26" x14ac:dyDescent="0.3">
      <c r="E421" s="4"/>
      <c r="F421" s="4"/>
      <c r="G421" s="4"/>
      <c r="K421" s="4"/>
      <c r="N421" s="4"/>
      <c r="Q421" s="4"/>
      <c r="R421" s="4"/>
      <c r="S421" s="4"/>
      <c r="U421" s="4"/>
      <c r="V421" s="4"/>
      <c r="X421" s="4"/>
      <c r="Z421" s="4"/>
    </row>
    <row r="422" spans="5:26" x14ac:dyDescent="0.3">
      <c r="E422" s="4"/>
      <c r="F422" s="4"/>
      <c r="G422" s="4"/>
      <c r="K422" s="4"/>
      <c r="N422" s="4"/>
      <c r="Q422" s="4"/>
      <c r="R422" s="4"/>
      <c r="S422" s="4"/>
      <c r="U422" s="4"/>
      <c r="V422" s="4"/>
      <c r="X422" s="4"/>
      <c r="Z422" s="4"/>
    </row>
    <row r="423" spans="5:26" x14ac:dyDescent="0.3">
      <c r="E423" s="4"/>
      <c r="F423" s="4"/>
      <c r="G423" s="4"/>
      <c r="K423" s="4"/>
      <c r="N423" s="4"/>
      <c r="Q423" s="4"/>
      <c r="R423" s="4"/>
      <c r="S423" s="4"/>
      <c r="U423" s="4"/>
      <c r="V423" s="4"/>
      <c r="X423" s="4"/>
      <c r="Z423" s="4"/>
    </row>
    <row r="424" spans="5:26" x14ac:dyDescent="0.3">
      <c r="E424" s="4"/>
      <c r="F424" s="4"/>
      <c r="G424" s="4"/>
      <c r="K424" s="4"/>
      <c r="N424" s="4"/>
      <c r="Q424" s="4"/>
      <c r="R424" s="4"/>
      <c r="S424" s="4"/>
      <c r="U424" s="4"/>
      <c r="V424" s="4"/>
      <c r="X424" s="4"/>
      <c r="Z424" s="4"/>
    </row>
    <row r="425" spans="5:26" x14ac:dyDescent="0.3">
      <c r="E425" s="4"/>
      <c r="F425" s="4"/>
      <c r="G425" s="4"/>
      <c r="K425" s="4"/>
      <c r="N425" s="4"/>
      <c r="Q425" s="4"/>
      <c r="R425" s="4"/>
      <c r="S425" s="4"/>
      <c r="U425" s="4"/>
      <c r="V425" s="4"/>
      <c r="X425" s="4"/>
      <c r="Z425" s="4"/>
    </row>
    <row r="426" spans="5:26" x14ac:dyDescent="0.3">
      <c r="E426" s="4"/>
      <c r="F426" s="4"/>
      <c r="G426" s="4"/>
      <c r="K426" s="4"/>
      <c r="N426" s="4"/>
      <c r="Q426" s="4"/>
      <c r="R426" s="4"/>
      <c r="S426" s="4"/>
      <c r="U426" s="4"/>
      <c r="V426" s="4"/>
      <c r="X426" s="4"/>
      <c r="Z426" s="4"/>
    </row>
    <row r="427" spans="5:26" x14ac:dyDescent="0.3">
      <c r="E427" s="4"/>
      <c r="F427" s="4"/>
      <c r="G427" s="4"/>
      <c r="K427" s="4"/>
      <c r="N427" s="4"/>
      <c r="Q427" s="4"/>
      <c r="R427" s="4"/>
      <c r="S427" s="4"/>
      <c r="U427" s="4"/>
      <c r="V427" s="4"/>
      <c r="X427" s="4"/>
      <c r="Z427" s="4"/>
    </row>
    <row r="428" spans="5:26" x14ac:dyDescent="0.3">
      <c r="E428" s="4"/>
      <c r="F428" s="4"/>
      <c r="G428" s="4"/>
      <c r="K428" s="4"/>
      <c r="N428" s="4"/>
      <c r="Q428" s="4"/>
      <c r="R428" s="4"/>
      <c r="S428" s="4"/>
      <c r="U428" s="4"/>
      <c r="V428" s="4"/>
      <c r="X428" s="4"/>
      <c r="Z428" s="4"/>
    </row>
    <row r="429" spans="5:26" x14ac:dyDescent="0.3">
      <c r="E429" s="4"/>
      <c r="F429" s="4"/>
      <c r="G429" s="4"/>
      <c r="K429" s="4"/>
      <c r="N429" s="4"/>
      <c r="Q429" s="4"/>
      <c r="R429" s="4"/>
      <c r="S429" s="4"/>
      <c r="U429" s="4"/>
      <c r="V429" s="4"/>
      <c r="X429" s="4"/>
      <c r="Z429" s="4"/>
    </row>
    <row r="430" spans="5:26" x14ac:dyDescent="0.3">
      <c r="E430" s="4"/>
      <c r="F430" s="4"/>
      <c r="G430" s="4"/>
      <c r="K430" s="4"/>
      <c r="N430" s="4"/>
      <c r="Q430" s="4"/>
      <c r="R430" s="4"/>
      <c r="S430" s="4"/>
      <c r="U430" s="4"/>
      <c r="V430" s="4"/>
      <c r="X430" s="4"/>
      <c r="Z430" s="4"/>
    </row>
    <row r="431" spans="5:26" x14ac:dyDescent="0.3">
      <c r="E431" s="4"/>
      <c r="F431" s="4"/>
      <c r="G431" s="4"/>
      <c r="K431" s="4"/>
      <c r="N431" s="4"/>
      <c r="Q431" s="4"/>
      <c r="R431" s="4"/>
      <c r="S431" s="4"/>
      <c r="U431" s="4"/>
      <c r="V431" s="4"/>
      <c r="X431" s="4"/>
      <c r="Z431" s="4"/>
    </row>
    <row r="432" spans="5:26" x14ac:dyDescent="0.3">
      <c r="E432" s="4"/>
      <c r="F432" s="4"/>
      <c r="G432" s="4"/>
      <c r="K432" s="4"/>
      <c r="N432" s="4"/>
      <c r="Q432" s="4"/>
      <c r="R432" s="4"/>
      <c r="S432" s="4"/>
      <c r="U432" s="4"/>
      <c r="V432" s="4"/>
      <c r="X432" s="4"/>
      <c r="Z432" s="4"/>
    </row>
    <row r="433" spans="5:26" x14ac:dyDescent="0.3">
      <c r="E433" s="4"/>
      <c r="F433" s="4"/>
      <c r="G433" s="4"/>
      <c r="K433" s="4"/>
      <c r="N433" s="4"/>
      <c r="Q433" s="4"/>
      <c r="R433" s="4"/>
      <c r="S433" s="4"/>
      <c r="U433" s="4"/>
      <c r="V433" s="4"/>
      <c r="X433" s="4"/>
      <c r="Z433" s="4"/>
    </row>
    <row r="434" spans="5:26" x14ac:dyDescent="0.3">
      <c r="E434" s="4"/>
      <c r="F434" s="4"/>
      <c r="G434" s="4"/>
      <c r="K434" s="4"/>
      <c r="N434" s="4"/>
      <c r="Q434" s="4"/>
      <c r="R434" s="4"/>
      <c r="S434" s="4"/>
      <c r="U434" s="4"/>
      <c r="V434" s="4"/>
      <c r="X434" s="4"/>
      <c r="Z434" s="4"/>
    </row>
    <row r="435" spans="5:26" x14ac:dyDescent="0.3">
      <c r="E435" s="4"/>
      <c r="F435" s="4"/>
      <c r="G435" s="4"/>
      <c r="K435" s="4"/>
      <c r="N435" s="4"/>
      <c r="Q435" s="4"/>
      <c r="R435" s="4"/>
      <c r="S435" s="4"/>
      <c r="U435" s="4"/>
      <c r="V435" s="4"/>
      <c r="X435" s="4"/>
      <c r="Z435" s="4"/>
    </row>
    <row r="436" spans="5:26" x14ac:dyDescent="0.3">
      <c r="E436" s="4"/>
      <c r="F436" s="4"/>
      <c r="G436" s="4"/>
      <c r="K436" s="4"/>
      <c r="N436" s="4"/>
      <c r="Q436" s="4"/>
      <c r="R436" s="4"/>
      <c r="S436" s="4"/>
      <c r="U436" s="4"/>
      <c r="V436" s="4"/>
      <c r="X436" s="4"/>
      <c r="Z436" s="4"/>
    </row>
    <row r="437" spans="5:26" x14ac:dyDescent="0.3">
      <c r="E437" s="4"/>
      <c r="F437" s="4"/>
      <c r="G437" s="4"/>
      <c r="K437" s="4"/>
      <c r="N437" s="4"/>
      <c r="Q437" s="4"/>
      <c r="R437" s="4"/>
      <c r="S437" s="4"/>
      <c r="U437" s="4"/>
      <c r="V437" s="4"/>
      <c r="X437" s="4"/>
      <c r="Z437" s="4"/>
    </row>
    <row r="438" spans="5:26" x14ac:dyDescent="0.3">
      <c r="E438" s="4"/>
      <c r="F438" s="4"/>
      <c r="G438" s="4"/>
      <c r="K438" s="4"/>
      <c r="N438" s="4"/>
      <c r="Q438" s="4"/>
      <c r="R438" s="4"/>
      <c r="S438" s="4"/>
      <c r="U438" s="4"/>
      <c r="V438" s="4"/>
      <c r="X438" s="4"/>
      <c r="Z438" s="4"/>
    </row>
    <row r="439" spans="5:26" x14ac:dyDescent="0.3">
      <c r="E439" s="4"/>
      <c r="F439" s="4"/>
      <c r="G439" s="4"/>
      <c r="K439" s="4"/>
      <c r="N439" s="4"/>
      <c r="Q439" s="4"/>
      <c r="R439" s="4"/>
      <c r="S439" s="4"/>
      <c r="U439" s="4"/>
      <c r="V439" s="4"/>
      <c r="X439" s="4"/>
      <c r="Z439" s="4"/>
    </row>
    <row r="440" spans="5:26" x14ac:dyDescent="0.3">
      <c r="E440" s="4"/>
      <c r="F440" s="4"/>
      <c r="G440" s="4"/>
      <c r="K440" s="4"/>
      <c r="N440" s="4"/>
      <c r="Q440" s="4"/>
      <c r="R440" s="4"/>
      <c r="S440" s="4"/>
      <c r="U440" s="4"/>
      <c r="V440" s="4"/>
      <c r="X440" s="4"/>
      <c r="Z440" s="4"/>
    </row>
    <row r="441" spans="5:26" x14ac:dyDescent="0.3">
      <c r="E441" s="4"/>
      <c r="F441" s="4"/>
      <c r="G441" s="4"/>
      <c r="K441" s="4"/>
      <c r="N441" s="4"/>
      <c r="Q441" s="4"/>
      <c r="R441" s="4"/>
      <c r="S441" s="4"/>
      <c r="U441" s="4"/>
      <c r="V441" s="4"/>
      <c r="X441" s="4"/>
      <c r="Z441" s="4"/>
    </row>
    <row r="442" spans="5:26" x14ac:dyDescent="0.3">
      <c r="E442" s="4"/>
      <c r="F442" s="4"/>
      <c r="G442" s="4"/>
      <c r="K442" s="4"/>
      <c r="N442" s="4"/>
      <c r="Q442" s="4"/>
      <c r="R442" s="4"/>
      <c r="S442" s="4"/>
      <c r="U442" s="4"/>
      <c r="V442" s="4"/>
      <c r="X442" s="4"/>
      <c r="Z442" s="4"/>
    </row>
    <row r="443" spans="5:26" x14ac:dyDescent="0.3">
      <c r="E443" s="4"/>
      <c r="F443" s="4"/>
      <c r="G443" s="4"/>
      <c r="K443" s="4"/>
      <c r="N443" s="4"/>
      <c r="Q443" s="4"/>
      <c r="R443" s="4"/>
      <c r="S443" s="4"/>
      <c r="U443" s="4"/>
      <c r="V443" s="4"/>
      <c r="X443" s="4"/>
      <c r="Z443" s="4"/>
    </row>
    <row r="444" spans="5:26" x14ac:dyDescent="0.3">
      <c r="E444" s="4"/>
      <c r="F444" s="4"/>
      <c r="G444" s="4"/>
      <c r="K444" s="4"/>
      <c r="N444" s="4"/>
      <c r="Q444" s="4"/>
      <c r="R444" s="4"/>
      <c r="S444" s="4"/>
      <c r="U444" s="4"/>
      <c r="V444" s="4"/>
      <c r="X444" s="4"/>
      <c r="Z444" s="4"/>
    </row>
    <row r="445" spans="5:26" x14ac:dyDescent="0.3">
      <c r="E445" s="4"/>
      <c r="F445" s="4"/>
      <c r="G445" s="4"/>
      <c r="K445" s="4"/>
      <c r="N445" s="4"/>
      <c r="Q445" s="4"/>
      <c r="R445" s="4"/>
      <c r="S445" s="4"/>
      <c r="U445" s="4"/>
      <c r="V445" s="4"/>
      <c r="X445" s="4"/>
      <c r="Z445" s="4"/>
    </row>
    <row r="446" spans="5:26" x14ac:dyDescent="0.3">
      <c r="E446" s="4"/>
      <c r="F446" s="4"/>
      <c r="G446" s="4"/>
      <c r="K446" s="4"/>
      <c r="N446" s="4"/>
      <c r="Q446" s="4"/>
      <c r="R446" s="4"/>
      <c r="S446" s="4"/>
      <c r="U446" s="4"/>
      <c r="V446" s="4"/>
      <c r="X446" s="4"/>
      <c r="Z446" s="4"/>
    </row>
    <row r="447" spans="5:26" x14ac:dyDescent="0.3">
      <c r="E447" s="4"/>
      <c r="F447" s="4"/>
      <c r="G447" s="4"/>
      <c r="K447" s="4"/>
      <c r="N447" s="4"/>
      <c r="Q447" s="4"/>
      <c r="R447" s="4"/>
      <c r="S447" s="4"/>
      <c r="U447" s="4"/>
      <c r="V447" s="4"/>
      <c r="X447" s="4"/>
      <c r="Z447" s="4"/>
    </row>
    <row r="448" spans="5:26" x14ac:dyDescent="0.3">
      <c r="E448" s="4"/>
      <c r="F448" s="4"/>
      <c r="G448" s="4"/>
      <c r="K448" s="4"/>
      <c r="N448" s="4"/>
      <c r="Q448" s="4"/>
      <c r="R448" s="4"/>
      <c r="S448" s="4"/>
      <c r="U448" s="4"/>
      <c r="V448" s="4"/>
      <c r="X448" s="4"/>
      <c r="Z448" s="4"/>
    </row>
    <row r="449" spans="5:26" x14ac:dyDescent="0.3">
      <c r="E449" s="4"/>
      <c r="F449" s="4"/>
      <c r="G449" s="4"/>
      <c r="K449" s="4"/>
      <c r="N449" s="4"/>
      <c r="Q449" s="4"/>
      <c r="R449" s="4"/>
      <c r="S449" s="4"/>
      <c r="U449" s="4"/>
      <c r="V449" s="4"/>
      <c r="X449" s="4"/>
      <c r="Z449" s="4"/>
    </row>
    <row r="450" spans="5:26" x14ac:dyDescent="0.3">
      <c r="E450" s="4"/>
      <c r="F450" s="4"/>
      <c r="G450" s="4"/>
      <c r="K450" s="4"/>
      <c r="N450" s="4"/>
      <c r="Q450" s="4"/>
      <c r="R450" s="4"/>
      <c r="S450" s="4"/>
      <c r="U450" s="4"/>
      <c r="V450" s="4"/>
      <c r="X450" s="4"/>
      <c r="Z450" s="4"/>
    </row>
    <row r="451" spans="5:26" x14ac:dyDescent="0.3">
      <c r="E451" s="4"/>
      <c r="F451" s="4"/>
      <c r="G451" s="4"/>
      <c r="K451" s="4"/>
      <c r="N451" s="4"/>
      <c r="Q451" s="4"/>
      <c r="R451" s="4"/>
      <c r="S451" s="4"/>
      <c r="U451" s="4"/>
      <c r="V451" s="4"/>
      <c r="X451" s="4"/>
      <c r="Z451" s="4"/>
    </row>
    <row r="452" spans="5:26" x14ac:dyDescent="0.3">
      <c r="E452" s="4"/>
      <c r="F452" s="4"/>
      <c r="G452" s="4"/>
      <c r="K452" s="4"/>
      <c r="N452" s="4"/>
      <c r="Q452" s="4"/>
      <c r="R452" s="4"/>
      <c r="S452" s="4"/>
      <c r="U452" s="4"/>
      <c r="V452" s="4"/>
      <c r="X452" s="4"/>
      <c r="Z452" s="4"/>
    </row>
    <row r="453" spans="5:26" x14ac:dyDescent="0.3">
      <c r="E453" s="4"/>
      <c r="F453" s="4"/>
      <c r="G453" s="4"/>
      <c r="K453" s="4"/>
      <c r="N453" s="4"/>
      <c r="Q453" s="4"/>
      <c r="R453" s="4"/>
      <c r="S453" s="4"/>
      <c r="U453" s="4"/>
      <c r="V453" s="4"/>
      <c r="X453" s="4"/>
      <c r="Z453" s="4"/>
    </row>
    <row r="454" spans="5:26" x14ac:dyDescent="0.3">
      <c r="E454" s="4"/>
      <c r="F454" s="4"/>
      <c r="G454" s="4"/>
      <c r="K454" s="4"/>
      <c r="N454" s="4"/>
      <c r="Q454" s="4"/>
      <c r="R454" s="4"/>
      <c r="S454" s="4"/>
      <c r="U454" s="4"/>
      <c r="V454" s="4"/>
      <c r="X454" s="4"/>
      <c r="Z454" s="4"/>
    </row>
    <row r="455" spans="5:26" x14ac:dyDescent="0.3">
      <c r="E455" s="4"/>
      <c r="F455" s="4"/>
      <c r="G455" s="4"/>
      <c r="K455" s="4"/>
      <c r="N455" s="4"/>
      <c r="Q455" s="4"/>
      <c r="R455" s="4"/>
      <c r="S455" s="4"/>
      <c r="U455" s="4"/>
      <c r="V455" s="4"/>
      <c r="X455" s="4"/>
      <c r="Z455" s="4"/>
    </row>
    <row r="456" spans="5:26" x14ac:dyDescent="0.3">
      <c r="E456" s="4"/>
      <c r="F456" s="4"/>
      <c r="G456" s="4"/>
      <c r="K456" s="4"/>
      <c r="N456" s="4"/>
      <c r="Q456" s="4"/>
      <c r="R456" s="4"/>
      <c r="S456" s="4"/>
      <c r="U456" s="4"/>
      <c r="V456" s="4"/>
      <c r="X456" s="4"/>
      <c r="Z456" s="4"/>
    </row>
    <row r="457" spans="5:26" x14ac:dyDescent="0.3">
      <c r="E457" s="4"/>
      <c r="F457" s="4"/>
      <c r="G457" s="4"/>
      <c r="K457" s="4"/>
      <c r="N457" s="4"/>
      <c r="Q457" s="4"/>
      <c r="R457" s="4"/>
      <c r="S457" s="4"/>
      <c r="U457" s="4"/>
      <c r="V457" s="4"/>
      <c r="X457" s="4"/>
      <c r="Z457" s="4"/>
    </row>
    <row r="458" spans="5:26" x14ac:dyDescent="0.3">
      <c r="E458" s="4"/>
      <c r="F458" s="4"/>
      <c r="G458" s="4"/>
      <c r="K458" s="4"/>
      <c r="N458" s="4"/>
      <c r="Q458" s="4"/>
      <c r="R458" s="4"/>
      <c r="S458" s="4"/>
      <c r="U458" s="4"/>
      <c r="V458" s="4"/>
      <c r="X458" s="4"/>
      <c r="Z458" s="4"/>
    </row>
    <row r="459" spans="5:26" x14ac:dyDescent="0.3">
      <c r="E459" s="4"/>
      <c r="F459" s="4"/>
      <c r="G459" s="4"/>
      <c r="K459" s="4"/>
      <c r="N459" s="4"/>
      <c r="Q459" s="4"/>
      <c r="R459" s="4"/>
      <c r="S459" s="4"/>
      <c r="U459" s="4"/>
      <c r="V459" s="4"/>
      <c r="X459" s="4"/>
      <c r="Z459" s="4"/>
    </row>
    <row r="460" spans="5:26" x14ac:dyDescent="0.3">
      <c r="E460" s="4"/>
      <c r="F460" s="4"/>
      <c r="G460" s="4"/>
      <c r="K460" s="4"/>
      <c r="N460" s="4"/>
      <c r="Q460" s="4"/>
      <c r="R460" s="4"/>
      <c r="S460" s="4"/>
      <c r="U460" s="4"/>
      <c r="V460" s="4"/>
      <c r="X460" s="4"/>
      <c r="Z460" s="4"/>
    </row>
    <row r="461" spans="5:26" x14ac:dyDescent="0.3">
      <c r="E461" s="4"/>
      <c r="F461" s="4"/>
      <c r="G461" s="4"/>
      <c r="K461" s="4"/>
      <c r="N461" s="4"/>
      <c r="Q461" s="4"/>
      <c r="R461" s="4"/>
      <c r="S461" s="4"/>
      <c r="U461" s="4"/>
      <c r="V461" s="4"/>
      <c r="X461" s="4"/>
      <c r="Z461" s="4"/>
    </row>
    <row r="462" spans="5:26" x14ac:dyDescent="0.3">
      <c r="E462" s="4"/>
      <c r="F462" s="4"/>
      <c r="G462" s="4"/>
      <c r="K462" s="4"/>
      <c r="N462" s="4"/>
      <c r="Q462" s="4"/>
      <c r="R462" s="4"/>
      <c r="S462" s="4"/>
      <c r="U462" s="4"/>
      <c r="V462" s="4"/>
      <c r="X462" s="4"/>
      <c r="Z462" s="4"/>
    </row>
    <row r="463" spans="5:26" x14ac:dyDescent="0.3">
      <c r="E463" s="4"/>
      <c r="F463" s="4"/>
      <c r="G463" s="4"/>
      <c r="K463" s="4"/>
      <c r="N463" s="4"/>
      <c r="Q463" s="4"/>
      <c r="R463" s="4"/>
      <c r="S463" s="4"/>
      <c r="U463" s="4"/>
      <c r="V463" s="4"/>
      <c r="X463" s="4"/>
      <c r="Z463" s="4"/>
    </row>
    <row r="464" spans="5:26" x14ac:dyDescent="0.3">
      <c r="E464" s="4"/>
      <c r="F464" s="4"/>
      <c r="G464" s="4"/>
      <c r="K464" s="4"/>
      <c r="N464" s="4"/>
      <c r="Q464" s="4"/>
      <c r="R464" s="4"/>
      <c r="S464" s="4"/>
      <c r="U464" s="4"/>
      <c r="V464" s="4"/>
      <c r="X464" s="4"/>
      <c r="Z464" s="4"/>
    </row>
    <row r="465" spans="5:26" x14ac:dyDescent="0.3">
      <c r="E465" s="4"/>
      <c r="F465" s="4"/>
      <c r="G465" s="4"/>
      <c r="K465" s="4"/>
      <c r="N465" s="4"/>
      <c r="Q465" s="4"/>
      <c r="R465" s="4"/>
      <c r="S465" s="4"/>
      <c r="U465" s="4"/>
      <c r="V465" s="4"/>
      <c r="X465" s="4"/>
      <c r="Z465" s="4"/>
    </row>
    <row r="466" spans="5:26" x14ac:dyDescent="0.3">
      <c r="E466" s="4"/>
      <c r="F466" s="4"/>
      <c r="G466" s="4"/>
      <c r="K466" s="4"/>
      <c r="N466" s="4"/>
      <c r="Q466" s="4"/>
      <c r="R466" s="4"/>
      <c r="S466" s="4"/>
      <c r="U466" s="4"/>
      <c r="V466" s="4"/>
      <c r="X466" s="4"/>
      <c r="Z466" s="4"/>
    </row>
    <row r="467" spans="5:26" x14ac:dyDescent="0.3">
      <c r="E467" s="4"/>
      <c r="F467" s="4"/>
      <c r="G467" s="4"/>
      <c r="K467" s="4"/>
      <c r="N467" s="4"/>
      <c r="Q467" s="4"/>
      <c r="R467" s="4"/>
      <c r="S467" s="4"/>
      <c r="U467" s="4"/>
      <c r="V467" s="4"/>
      <c r="X467" s="4"/>
      <c r="Z467" s="4"/>
    </row>
    <row r="468" spans="5:26" x14ac:dyDescent="0.3">
      <c r="E468" s="4"/>
      <c r="F468" s="4"/>
      <c r="G468" s="4"/>
      <c r="K468" s="4"/>
      <c r="N468" s="4"/>
      <c r="Q468" s="4"/>
      <c r="R468" s="4"/>
      <c r="S468" s="4"/>
      <c r="U468" s="4"/>
      <c r="V468" s="4"/>
      <c r="X468" s="4"/>
      <c r="Z468" s="4"/>
    </row>
    <row r="469" spans="5:26" x14ac:dyDescent="0.3">
      <c r="E469" s="4"/>
      <c r="F469" s="4"/>
      <c r="G469" s="4"/>
      <c r="K469" s="4"/>
      <c r="N469" s="4"/>
      <c r="Q469" s="4"/>
      <c r="R469" s="4"/>
      <c r="S469" s="4"/>
      <c r="U469" s="4"/>
      <c r="V469" s="4"/>
      <c r="X469" s="4"/>
      <c r="Z469" s="4"/>
    </row>
    <row r="470" spans="5:26" x14ac:dyDescent="0.3">
      <c r="E470" s="4"/>
      <c r="F470" s="4"/>
      <c r="G470" s="4"/>
      <c r="K470" s="4"/>
      <c r="N470" s="4"/>
      <c r="Q470" s="4"/>
      <c r="R470" s="4"/>
      <c r="S470" s="4"/>
      <c r="U470" s="4"/>
      <c r="V470" s="4"/>
      <c r="X470" s="4"/>
      <c r="Z470" s="4"/>
    </row>
    <row r="471" spans="5:26" x14ac:dyDescent="0.3">
      <c r="E471" s="4"/>
      <c r="F471" s="4"/>
      <c r="G471" s="4"/>
      <c r="K471" s="4"/>
      <c r="N471" s="4"/>
      <c r="Q471" s="4"/>
      <c r="R471" s="4"/>
      <c r="S471" s="4"/>
      <c r="U471" s="4"/>
      <c r="V471" s="4"/>
      <c r="X471" s="4"/>
      <c r="Z471" s="4"/>
    </row>
    <row r="472" spans="5:26" x14ac:dyDescent="0.3">
      <c r="E472" s="4"/>
      <c r="F472" s="4"/>
      <c r="G472" s="4"/>
      <c r="K472" s="4"/>
      <c r="N472" s="4"/>
      <c r="Q472" s="4"/>
      <c r="R472" s="4"/>
      <c r="S472" s="4"/>
      <c r="U472" s="4"/>
      <c r="V472" s="4"/>
      <c r="X472" s="4"/>
      <c r="Z472" s="4"/>
    </row>
    <row r="473" spans="5:26" x14ac:dyDescent="0.3">
      <c r="E473" s="4"/>
      <c r="F473" s="4"/>
      <c r="G473" s="4"/>
      <c r="K473" s="4"/>
      <c r="N473" s="4"/>
      <c r="Q473" s="4"/>
      <c r="R473" s="4"/>
      <c r="S473" s="4"/>
      <c r="U473" s="4"/>
      <c r="V473" s="4"/>
      <c r="X473" s="4"/>
      <c r="Z473" s="4"/>
    </row>
    <row r="474" spans="5:26" x14ac:dyDescent="0.3">
      <c r="E474" s="4"/>
      <c r="F474" s="4"/>
      <c r="G474" s="4"/>
      <c r="K474" s="4"/>
      <c r="N474" s="4"/>
      <c r="Q474" s="4"/>
      <c r="R474" s="4"/>
      <c r="S474" s="4"/>
      <c r="U474" s="4"/>
      <c r="V474" s="4"/>
      <c r="X474" s="4"/>
      <c r="Z474" s="4"/>
    </row>
    <row r="475" spans="5:26" x14ac:dyDescent="0.3">
      <c r="E475" s="4"/>
      <c r="F475" s="4"/>
      <c r="G475" s="4"/>
      <c r="K475" s="4"/>
      <c r="N475" s="4"/>
      <c r="Q475" s="4"/>
      <c r="R475" s="4"/>
      <c r="S475" s="4"/>
      <c r="U475" s="4"/>
      <c r="V475" s="4"/>
      <c r="X475" s="4"/>
      <c r="Z475" s="4"/>
    </row>
    <row r="476" spans="5:26" x14ac:dyDescent="0.3">
      <c r="E476" s="4"/>
      <c r="F476" s="4"/>
      <c r="G476" s="4"/>
      <c r="K476" s="4"/>
      <c r="N476" s="4"/>
      <c r="Q476" s="4"/>
      <c r="R476" s="4"/>
      <c r="S476" s="4"/>
      <c r="U476" s="4"/>
      <c r="V476" s="4"/>
      <c r="X476" s="4"/>
      <c r="Z476" s="4"/>
    </row>
    <row r="477" spans="5:26" x14ac:dyDescent="0.3">
      <c r="E477" s="4"/>
      <c r="F477" s="4"/>
      <c r="G477" s="4"/>
      <c r="K477" s="4"/>
      <c r="N477" s="4"/>
      <c r="Q477" s="4"/>
      <c r="R477" s="4"/>
      <c r="S477" s="4"/>
      <c r="U477" s="4"/>
      <c r="V477" s="4"/>
      <c r="X477" s="4"/>
      <c r="Z477" s="4"/>
    </row>
    <row r="478" spans="5:26" x14ac:dyDescent="0.3">
      <c r="E478" s="4"/>
      <c r="F478" s="4"/>
      <c r="G478" s="4"/>
      <c r="K478" s="4"/>
      <c r="N478" s="4"/>
      <c r="Q478" s="4"/>
      <c r="R478" s="4"/>
      <c r="S478" s="4"/>
      <c r="U478" s="4"/>
      <c r="V478" s="4"/>
      <c r="X478" s="4"/>
      <c r="Z478" s="4"/>
    </row>
    <row r="479" spans="5:26" x14ac:dyDescent="0.3">
      <c r="E479" s="4"/>
      <c r="F479" s="4"/>
      <c r="G479" s="4"/>
      <c r="K479" s="4"/>
      <c r="N479" s="4"/>
      <c r="Q479" s="4"/>
      <c r="R479" s="4"/>
      <c r="S479" s="4"/>
      <c r="U479" s="4"/>
      <c r="V479" s="4"/>
      <c r="X479" s="4"/>
      <c r="Z479" s="4"/>
    </row>
    <row r="480" spans="5:26" x14ac:dyDescent="0.3">
      <c r="E480" s="4"/>
      <c r="F480" s="4"/>
      <c r="G480" s="4"/>
      <c r="K480" s="4"/>
      <c r="N480" s="4"/>
      <c r="Q480" s="4"/>
      <c r="R480" s="4"/>
      <c r="S480" s="4"/>
      <c r="U480" s="4"/>
      <c r="V480" s="4"/>
      <c r="X480" s="4"/>
      <c r="Z480" s="4"/>
    </row>
    <row r="481" spans="5:26" x14ac:dyDescent="0.3">
      <c r="E481" s="4"/>
      <c r="F481" s="4"/>
      <c r="G481" s="4"/>
      <c r="K481" s="4"/>
      <c r="N481" s="4"/>
      <c r="Q481" s="4"/>
      <c r="R481" s="4"/>
      <c r="S481" s="4"/>
      <c r="U481" s="4"/>
      <c r="V481" s="4"/>
      <c r="X481" s="4"/>
      <c r="Z481" s="4"/>
    </row>
    <row r="482" spans="5:26" x14ac:dyDescent="0.3">
      <c r="E482" s="4"/>
      <c r="F482" s="4"/>
      <c r="G482" s="4"/>
      <c r="K482" s="4"/>
      <c r="N482" s="4"/>
      <c r="Q482" s="4"/>
      <c r="R482" s="4"/>
      <c r="S482" s="4"/>
      <c r="U482" s="4"/>
      <c r="V482" s="4"/>
      <c r="X482" s="4"/>
      <c r="Z482" s="4"/>
    </row>
    <row r="483" spans="5:26" x14ac:dyDescent="0.3">
      <c r="E483" s="4"/>
      <c r="F483" s="4"/>
      <c r="G483" s="4"/>
      <c r="K483" s="4"/>
      <c r="N483" s="4"/>
      <c r="Q483" s="4"/>
      <c r="R483" s="4"/>
      <c r="S483" s="4"/>
      <c r="U483" s="4"/>
      <c r="V483" s="4"/>
      <c r="X483" s="4"/>
      <c r="Z483" s="4"/>
    </row>
    <row r="484" spans="5:26" x14ac:dyDescent="0.3">
      <c r="E484" s="4"/>
      <c r="F484" s="4"/>
      <c r="G484" s="4"/>
      <c r="K484" s="4"/>
      <c r="N484" s="4"/>
      <c r="Q484" s="4"/>
      <c r="R484" s="4"/>
      <c r="S484" s="4"/>
      <c r="U484" s="4"/>
      <c r="V484" s="4"/>
      <c r="X484" s="4"/>
      <c r="Z484" s="4"/>
    </row>
    <row r="485" spans="5:26" x14ac:dyDescent="0.3">
      <c r="E485" s="4"/>
      <c r="F485" s="4"/>
      <c r="G485" s="4"/>
      <c r="K485" s="4"/>
      <c r="N485" s="4"/>
      <c r="Q485" s="4"/>
      <c r="R485" s="4"/>
      <c r="S485" s="4"/>
      <c r="U485" s="4"/>
      <c r="V485" s="4"/>
      <c r="X485" s="4"/>
      <c r="Z485" s="4"/>
    </row>
    <row r="486" spans="5:26" x14ac:dyDescent="0.3">
      <c r="E486" s="4"/>
      <c r="F486" s="4"/>
      <c r="G486" s="4"/>
      <c r="K486" s="4"/>
      <c r="N486" s="4"/>
      <c r="Q486" s="4"/>
      <c r="R486" s="4"/>
      <c r="S486" s="4"/>
      <c r="U486" s="4"/>
      <c r="V486" s="4"/>
      <c r="X486" s="4"/>
      <c r="Z486" s="4"/>
    </row>
    <row r="487" spans="5:26" x14ac:dyDescent="0.3">
      <c r="E487" s="4"/>
      <c r="F487" s="4"/>
      <c r="G487" s="4"/>
      <c r="K487" s="4"/>
      <c r="N487" s="4"/>
      <c r="Q487" s="4"/>
      <c r="R487" s="4"/>
      <c r="S487" s="4"/>
      <c r="U487" s="4"/>
      <c r="V487" s="4"/>
      <c r="X487" s="4"/>
      <c r="Z487" s="4"/>
    </row>
    <row r="488" spans="5:26" x14ac:dyDescent="0.3">
      <c r="E488" s="4"/>
      <c r="F488" s="4"/>
      <c r="G488" s="4"/>
      <c r="K488" s="4"/>
      <c r="N488" s="4"/>
      <c r="Q488" s="4"/>
      <c r="R488" s="4"/>
      <c r="S488" s="4"/>
      <c r="U488" s="4"/>
      <c r="V488" s="4"/>
      <c r="X488" s="4"/>
      <c r="Z488" s="4"/>
    </row>
    <row r="489" spans="5:26" x14ac:dyDescent="0.3">
      <c r="E489" s="4"/>
      <c r="F489" s="4"/>
      <c r="G489" s="4"/>
      <c r="K489" s="4"/>
      <c r="N489" s="4"/>
      <c r="Q489" s="4"/>
      <c r="R489" s="4"/>
      <c r="S489" s="4"/>
      <c r="U489" s="4"/>
      <c r="V489" s="4"/>
      <c r="X489" s="4"/>
      <c r="Z489" s="4"/>
    </row>
    <row r="490" spans="5:26" x14ac:dyDescent="0.3">
      <c r="E490" s="4"/>
      <c r="F490" s="4"/>
      <c r="G490" s="4"/>
      <c r="K490" s="4"/>
      <c r="N490" s="4"/>
      <c r="Q490" s="4"/>
      <c r="R490" s="4"/>
      <c r="S490" s="4"/>
      <c r="U490" s="4"/>
      <c r="V490" s="4"/>
      <c r="X490" s="4"/>
      <c r="Z490" s="4"/>
    </row>
    <row r="491" spans="5:26" x14ac:dyDescent="0.3">
      <c r="E491" s="4"/>
      <c r="F491" s="4"/>
      <c r="G491" s="4"/>
      <c r="K491" s="4"/>
      <c r="N491" s="4"/>
      <c r="Q491" s="4"/>
      <c r="R491" s="4"/>
      <c r="S491" s="4"/>
      <c r="U491" s="4"/>
      <c r="V491" s="4"/>
      <c r="X491" s="4"/>
      <c r="Z491" s="4"/>
    </row>
    <row r="492" spans="5:26" x14ac:dyDescent="0.3">
      <c r="E492" s="4"/>
      <c r="F492" s="4"/>
      <c r="G492" s="4"/>
      <c r="K492" s="4"/>
      <c r="N492" s="4"/>
      <c r="Q492" s="4"/>
      <c r="R492" s="4"/>
      <c r="S492" s="4"/>
      <c r="U492" s="4"/>
      <c r="V492" s="4"/>
      <c r="X492" s="4"/>
      <c r="Z492" s="4"/>
    </row>
    <row r="493" spans="5:26" x14ac:dyDescent="0.3">
      <c r="E493" s="4"/>
      <c r="F493" s="4"/>
      <c r="G493" s="4"/>
      <c r="K493" s="4"/>
      <c r="N493" s="4"/>
      <c r="Q493" s="4"/>
      <c r="R493" s="4"/>
      <c r="S493" s="4"/>
      <c r="U493" s="4"/>
      <c r="V493" s="4"/>
      <c r="X493" s="4"/>
      <c r="Z493" s="4"/>
    </row>
    <row r="494" spans="5:26" x14ac:dyDescent="0.3">
      <c r="E494" s="4"/>
      <c r="F494" s="4"/>
      <c r="G494" s="4"/>
      <c r="K494" s="4"/>
      <c r="N494" s="4"/>
      <c r="Q494" s="4"/>
      <c r="R494" s="4"/>
      <c r="S494" s="4"/>
      <c r="U494" s="4"/>
      <c r="V494" s="4"/>
      <c r="X494" s="4"/>
      <c r="Z494" s="4"/>
    </row>
    <row r="495" spans="5:26" x14ac:dyDescent="0.3">
      <c r="E495" s="4"/>
      <c r="F495" s="4"/>
      <c r="G495" s="4"/>
      <c r="K495" s="4"/>
      <c r="N495" s="4"/>
      <c r="Q495" s="4"/>
      <c r="R495" s="4"/>
      <c r="S495" s="4"/>
      <c r="U495" s="4"/>
      <c r="V495" s="4"/>
      <c r="X495" s="4"/>
      <c r="Z495" s="4"/>
    </row>
    <row r="496" spans="5:26" x14ac:dyDescent="0.3">
      <c r="E496" s="4"/>
      <c r="F496" s="4"/>
      <c r="G496" s="4"/>
      <c r="K496" s="4"/>
      <c r="N496" s="4"/>
      <c r="Q496" s="4"/>
      <c r="R496" s="4"/>
      <c r="S496" s="4"/>
      <c r="U496" s="4"/>
      <c r="V496" s="4"/>
      <c r="X496" s="4"/>
      <c r="Z496" s="4"/>
    </row>
    <row r="497" spans="5:26" x14ac:dyDescent="0.3">
      <c r="E497" s="4"/>
      <c r="F497" s="4"/>
      <c r="G497" s="4"/>
      <c r="K497" s="4"/>
      <c r="N497" s="4"/>
      <c r="Q497" s="4"/>
      <c r="R497" s="4"/>
      <c r="S497" s="4"/>
      <c r="U497" s="4"/>
      <c r="V497" s="4"/>
      <c r="X497" s="4"/>
      <c r="Z497" s="4"/>
    </row>
    <row r="498" spans="5:26" x14ac:dyDescent="0.3">
      <c r="E498" s="4"/>
      <c r="F498" s="4"/>
      <c r="G498" s="4"/>
      <c r="K498" s="4"/>
      <c r="N498" s="4"/>
      <c r="Q498" s="4"/>
      <c r="R498" s="4"/>
      <c r="S498" s="4"/>
      <c r="U498" s="4"/>
      <c r="V498" s="4"/>
      <c r="X498" s="4"/>
      <c r="Z498" s="4"/>
    </row>
    <row r="499" spans="5:26" x14ac:dyDescent="0.3">
      <c r="E499" s="4"/>
      <c r="F499" s="4"/>
      <c r="G499" s="4"/>
      <c r="K499" s="4"/>
      <c r="N499" s="4"/>
      <c r="Q499" s="4"/>
      <c r="R499" s="4"/>
      <c r="S499" s="4"/>
      <c r="U499" s="4"/>
      <c r="V499" s="4"/>
      <c r="X499" s="4"/>
      <c r="Z499" s="4"/>
    </row>
    <row r="500" spans="5:26" x14ac:dyDescent="0.3">
      <c r="E500" s="4"/>
      <c r="F500" s="4"/>
      <c r="G500" s="4"/>
      <c r="K500" s="4"/>
      <c r="N500" s="4"/>
      <c r="Q500" s="4"/>
      <c r="R500" s="4"/>
      <c r="S500" s="4"/>
      <c r="U500" s="4"/>
      <c r="V500" s="4"/>
      <c r="X500" s="4"/>
      <c r="Z500" s="4"/>
    </row>
    <row r="501" spans="5:26" x14ac:dyDescent="0.3">
      <c r="E501" s="4"/>
      <c r="F501" s="4"/>
      <c r="G501" s="4"/>
      <c r="K501" s="4"/>
      <c r="N501" s="4"/>
      <c r="Q501" s="4"/>
      <c r="R501" s="4"/>
      <c r="S501" s="4"/>
      <c r="U501" s="4"/>
      <c r="V501" s="4"/>
      <c r="X501" s="4"/>
      <c r="Z501" s="4"/>
    </row>
    <row r="502" spans="5:26" x14ac:dyDescent="0.3">
      <c r="E502" s="4"/>
      <c r="F502" s="4"/>
      <c r="G502" s="4"/>
      <c r="K502" s="4"/>
      <c r="N502" s="4"/>
      <c r="Q502" s="4"/>
      <c r="R502" s="4"/>
      <c r="S502" s="4"/>
      <c r="U502" s="4"/>
      <c r="V502" s="4"/>
      <c r="X502" s="4"/>
      <c r="Z502" s="4"/>
    </row>
    <row r="503" spans="5:26" x14ac:dyDescent="0.3">
      <c r="E503" s="4"/>
      <c r="F503" s="4"/>
      <c r="G503" s="4"/>
      <c r="K503" s="4"/>
      <c r="N503" s="4"/>
      <c r="Q503" s="4"/>
      <c r="R503" s="4"/>
      <c r="S503" s="4"/>
      <c r="U503" s="4"/>
      <c r="V503" s="4"/>
      <c r="X503" s="4"/>
      <c r="Z503" s="4"/>
    </row>
    <row r="504" spans="5:26" x14ac:dyDescent="0.3">
      <c r="E504" s="4"/>
      <c r="F504" s="4"/>
      <c r="G504" s="4"/>
      <c r="K504" s="4"/>
      <c r="N504" s="4"/>
      <c r="Q504" s="4"/>
      <c r="R504" s="4"/>
      <c r="S504" s="4"/>
      <c r="U504" s="4"/>
      <c r="V504" s="4"/>
      <c r="X504" s="4"/>
      <c r="Z504" s="4"/>
    </row>
    <row r="505" spans="5:26" x14ac:dyDescent="0.3">
      <c r="E505" s="4"/>
      <c r="F505" s="4"/>
      <c r="G505" s="4"/>
      <c r="K505" s="4"/>
      <c r="N505" s="4"/>
      <c r="Q505" s="4"/>
      <c r="R505" s="4"/>
      <c r="S505" s="4"/>
      <c r="U505" s="4"/>
      <c r="V505" s="4"/>
      <c r="X505" s="4"/>
      <c r="Z505" s="4"/>
    </row>
    <row r="506" spans="5:26" x14ac:dyDescent="0.3">
      <c r="E506" s="4"/>
      <c r="F506" s="4"/>
      <c r="G506" s="4"/>
      <c r="K506" s="4"/>
      <c r="N506" s="4"/>
      <c r="Q506" s="4"/>
      <c r="R506" s="4"/>
      <c r="S506" s="4"/>
      <c r="U506" s="4"/>
      <c r="V506" s="4"/>
      <c r="X506" s="4"/>
      <c r="Z506" s="4"/>
    </row>
    <row r="507" spans="5:26" x14ac:dyDescent="0.3">
      <c r="E507" s="4"/>
      <c r="F507" s="4"/>
      <c r="G507" s="4"/>
      <c r="K507" s="4"/>
      <c r="N507" s="4"/>
      <c r="Q507" s="4"/>
      <c r="R507" s="4"/>
      <c r="S507" s="4"/>
      <c r="U507" s="4"/>
      <c r="V507" s="4"/>
      <c r="X507" s="4"/>
      <c r="Z507" s="4"/>
    </row>
    <row r="508" spans="5:26" x14ac:dyDescent="0.3">
      <c r="E508" s="4"/>
      <c r="F508" s="4"/>
      <c r="G508" s="4"/>
      <c r="K508" s="4"/>
      <c r="N508" s="4"/>
      <c r="Q508" s="4"/>
      <c r="R508" s="4"/>
      <c r="S508" s="4"/>
      <c r="U508" s="4"/>
      <c r="V508" s="4"/>
      <c r="X508" s="4"/>
      <c r="Z508" s="4"/>
    </row>
    <row r="509" spans="5:26" x14ac:dyDescent="0.3">
      <c r="E509" s="4"/>
      <c r="F509" s="4"/>
      <c r="G509" s="4"/>
      <c r="K509" s="4"/>
      <c r="N509" s="4"/>
      <c r="Q509" s="4"/>
      <c r="R509" s="4"/>
      <c r="S509" s="4"/>
      <c r="U509" s="4"/>
      <c r="V509" s="4"/>
      <c r="X509" s="4"/>
      <c r="Z509" s="4"/>
    </row>
    <row r="510" spans="5:26" x14ac:dyDescent="0.3">
      <c r="E510" s="4"/>
      <c r="F510" s="4"/>
      <c r="G510" s="4"/>
      <c r="K510" s="4"/>
      <c r="N510" s="4"/>
      <c r="Q510" s="4"/>
      <c r="R510" s="4"/>
      <c r="S510" s="4"/>
      <c r="U510" s="4"/>
      <c r="V510" s="4"/>
      <c r="X510" s="4"/>
      <c r="Z510" s="4"/>
    </row>
    <row r="511" spans="5:26" x14ac:dyDescent="0.3">
      <c r="E511" s="4"/>
      <c r="F511" s="4"/>
      <c r="G511" s="4"/>
      <c r="K511" s="4"/>
      <c r="N511" s="4"/>
      <c r="Q511" s="4"/>
      <c r="R511" s="4"/>
      <c r="S511" s="4"/>
      <c r="U511" s="4"/>
      <c r="V511" s="4"/>
      <c r="X511" s="4"/>
      <c r="Z511" s="4"/>
    </row>
    <row r="512" spans="5:26" x14ac:dyDescent="0.3">
      <c r="E512" s="4"/>
      <c r="F512" s="4"/>
      <c r="G512" s="4"/>
      <c r="K512" s="4"/>
      <c r="N512" s="4"/>
      <c r="Q512" s="4"/>
      <c r="R512" s="4"/>
      <c r="S512" s="4"/>
      <c r="U512" s="4"/>
      <c r="V512" s="4"/>
      <c r="X512" s="4"/>
      <c r="Z512" s="4"/>
    </row>
    <row r="513" spans="5:26" x14ac:dyDescent="0.3">
      <c r="E513" s="4"/>
      <c r="F513" s="4"/>
      <c r="G513" s="4"/>
      <c r="K513" s="4"/>
      <c r="N513" s="4"/>
      <c r="Q513" s="4"/>
      <c r="R513" s="4"/>
      <c r="S513" s="4"/>
      <c r="U513" s="4"/>
      <c r="V513" s="4"/>
      <c r="X513" s="4"/>
      <c r="Z513" s="4"/>
    </row>
    <row r="514" spans="5:26" x14ac:dyDescent="0.3">
      <c r="E514" s="4"/>
      <c r="F514" s="4"/>
      <c r="G514" s="4"/>
      <c r="K514" s="4"/>
      <c r="N514" s="4"/>
      <c r="Q514" s="4"/>
      <c r="R514" s="4"/>
      <c r="S514" s="4"/>
      <c r="U514" s="4"/>
      <c r="V514" s="4"/>
      <c r="X514" s="4"/>
      <c r="Z514" s="4"/>
    </row>
    <row r="515" spans="5:26" x14ac:dyDescent="0.3">
      <c r="E515" s="4"/>
      <c r="F515" s="4"/>
      <c r="G515" s="4"/>
      <c r="K515" s="4"/>
      <c r="N515" s="4"/>
      <c r="Q515" s="4"/>
      <c r="R515" s="4"/>
      <c r="S515" s="4"/>
      <c r="U515" s="4"/>
      <c r="V515" s="4"/>
      <c r="X515" s="4"/>
      <c r="Z515" s="4"/>
    </row>
    <row r="516" spans="5:26" x14ac:dyDescent="0.3">
      <c r="E516" s="4"/>
      <c r="F516" s="4"/>
      <c r="G516" s="4"/>
      <c r="K516" s="4"/>
      <c r="N516" s="4"/>
      <c r="Q516" s="4"/>
      <c r="R516" s="4"/>
      <c r="S516" s="4"/>
      <c r="U516" s="4"/>
      <c r="V516" s="4"/>
      <c r="X516" s="4"/>
      <c r="Z516" s="4"/>
    </row>
    <row r="517" spans="5:26" x14ac:dyDescent="0.3">
      <c r="E517" s="4"/>
      <c r="F517" s="4"/>
      <c r="G517" s="4"/>
      <c r="K517" s="4"/>
      <c r="N517" s="4"/>
      <c r="Q517" s="4"/>
      <c r="R517" s="4"/>
      <c r="S517" s="4"/>
      <c r="U517" s="4"/>
      <c r="V517" s="4"/>
      <c r="X517" s="4"/>
      <c r="Z517" s="4"/>
    </row>
    <row r="518" spans="5:26" x14ac:dyDescent="0.3">
      <c r="E518" s="4"/>
      <c r="F518" s="4"/>
      <c r="G518" s="4"/>
      <c r="K518" s="4"/>
      <c r="N518" s="4"/>
      <c r="Q518" s="4"/>
      <c r="R518" s="4"/>
      <c r="S518" s="4"/>
      <c r="U518" s="4"/>
      <c r="V518" s="4"/>
      <c r="X518" s="4"/>
      <c r="Z518" s="4"/>
    </row>
    <row r="519" spans="5:26" x14ac:dyDescent="0.3">
      <c r="E519" s="4"/>
      <c r="F519" s="4"/>
      <c r="G519" s="4"/>
      <c r="K519" s="4"/>
      <c r="N519" s="4"/>
      <c r="Q519" s="4"/>
      <c r="R519" s="4"/>
      <c r="S519" s="4"/>
      <c r="U519" s="4"/>
      <c r="V519" s="4"/>
      <c r="X519" s="4"/>
      <c r="Z519" s="4"/>
    </row>
    <row r="520" spans="5:26" x14ac:dyDescent="0.3">
      <c r="E520" s="4"/>
      <c r="F520" s="4"/>
      <c r="G520" s="4"/>
      <c r="K520" s="4"/>
      <c r="N520" s="4"/>
      <c r="Q520" s="4"/>
      <c r="R520" s="4"/>
      <c r="S520" s="4"/>
      <c r="U520" s="4"/>
      <c r="V520" s="4"/>
      <c r="X520" s="4"/>
      <c r="Z520" s="4"/>
    </row>
    <row r="521" spans="5:26" x14ac:dyDescent="0.3">
      <c r="E521" s="4"/>
      <c r="F521" s="4"/>
      <c r="G521" s="4"/>
      <c r="K521" s="4"/>
      <c r="N521" s="4"/>
      <c r="Q521" s="4"/>
      <c r="R521" s="4"/>
      <c r="S521" s="4"/>
      <c r="U521" s="4"/>
      <c r="V521" s="4"/>
      <c r="X521" s="4"/>
      <c r="Z521" s="4"/>
    </row>
    <row r="522" spans="5:26" x14ac:dyDescent="0.3">
      <c r="E522" s="4"/>
      <c r="F522" s="4"/>
      <c r="G522" s="4"/>
      <c r="K522" s="4"/>
      <c r="N522" s="4"/>
      <c r="Q522" s="4"/>
      <c r="R522" s="4"/>
      <c r="S522" s="4"/>
      <c r="U522" s="4"/>
      <c r="V522" s="4"/>
      <c r="X522" s="4"/>
      <c r="Z522" s="4"/>
    </row>
    <row r="523" spans="5:26" x14ac:dyDescent="0.3">
      <c r="E523" s="4"/>
      <c r="F523" s="4"/>
      <c r="G523" s="4"/>
      <c r="K523" s="4"/>
      <c r="N523" s="4"/>
      <c r="Q523" s="4"/>
      <c r="R523" s="4"/>
      <c r="S523" s="4"/>
      <c r="U523" s="4"/>
      <c r="V523" s="4"/>
      <c r="X523" s="4"/>
      <c r="Z523" s="4"/>
    </row>
    <row r="524" spans="5:26" x14ac:dyDescent="0.3">
      <c r="E524" s="4"/>
      <c r="F524" s="4"/>
      <c r="G524" s="4"/>
      <c r="K524" s="4"/>
      <c r="N524" s="4"/>
      <c r="Q524" s="4"/>
      <c r="R524" s="4"/>
      <c r="S524" s="4"/>
      <c r="U524" s="4"/>
      <c r="V524" s="4"/>
      <c r="X524" s="4"/>
      <c r="Z524" s="4"/>
    </row>
    <row r="525" spans="5:26" x14ac:dyDescent="0.3">
      <c r="E525" s="4"/>
      <c r="F525" s="4"/>
      <c r="G525" s="4"/>
      <c r="K525" s="4"/>
      <c r="N525" s="4"/>
      <c r="Q525" s="4"/>
      <c r="R525" s="4"/>
      <c r="S525" s="4"/>
      <c r="U525" s="4"/>
      <c r="V525" s="4"/>
      <c r="X525" s="4"/>
      <c r="Z525" s="4"/>
    </row>
    <row r="526" spans="5:26" x14ac:dyDescent="0.3">
      <c r="E526" s="4"/>
      <c r="F526" s="4"/>
      <c r="G526" s="4"/>
      <c r="K526" s="4"/>
      <c r="N526" s="4"/>
      <c r="Q526" s="4"/>
      <c r="R526" s="4"/>
      <c r="S526" s="4"/>
      <c r="U526" s="4"/>
      <c r="V526" s="4"/>
      <c r="X526" s="4"/>
      <c r="Z526" s="4"/>
    </row>
    <row r="527" spans="5:26" x14ac:dyDescent="0.3">
      <c r="E527" s="4"/>
      <c r="F527" s="4"/>
      <c r="G527" s="4"/>
      <c r="K527" s="4"/>
      <c r="N527" s="4"/>
      <c r="Q527" s="4"/>
      <c r="R527" s="4"/>
      <c r="S527" s="4"/>
      <c r="U527" s="4"/>
      <c r="V527" s="4"/>
      <c r="X527" s="4"/>
      <c r="Z527" s="4"/>
    </row>
    <row r="528" spans="5:26" x14ac:dyDescent="0.3">
      <c r="E528" s="4"/>
      <c r="F528" s="4"/>
      <c r="G528" s="4"/>
      <c r="K528" s="4"/>
      <c r="N528" s="4"/>
      <c r="Q528" s="4"/>
      <c r="R528" s="4"/>
      <c r="S528" s="4"/>
      <c r="U528" s="4"/>
      <c r="V528" s="4"/>
      <c r="X528" s="4"/>
      <c r="Z528" s="4"/>
    </row>
    <row r="529" spans="5:26" x14ac:dyDescent="0.3">
      <c r="E529" s="4"/>
      <c r="F529" s="4"/>
      <c r="G529" s="4"/>
      <c r="K529" s="4"/>
      <c r="N529" s="4"/>
      <c r="Q529" s="4"/>
      <c r="R529" s="4"/>
      <c r="S529" s="4"/>
      <c r="U529" s="4"/>
      <c r="V529" s="4"/>
      <c r="X529" s="4"/>
      <c r="Z529" s="4"/>
    </row>
    <row r="530" spans="5:26" x14ac:dyDescent="0.3">
      <c r="E530" s="4"/>
      <c r="F530" s="4"/>
      <c r="G530" s="4"/>
      <c r="K530" s="4"/>
      <c r="N530" s="4"/>
      <c r="Q530" s="4"/>
      <c r="R530" s="4"/>
      <c r="S530" s="4"/>
      <c r="U530" s="4"/>
      <c r="V530" s="4"/>
      <c r="X530" s="4"/>
      <c r="Z530" s="4"/>
    </row>
    <row r="531" spans="5:26" x14ac:dyDescent="0.3">
      <c r="E531" s="4"/>
      <c r="F531" s="4"/>
      <c r="G531" s="4"/>
      <c r="K531" s="4"/>
      <c r="N531" s="4"/>
      <c r="Q531" s="4"/>
      <c r="R531" s="4"/>
      <c r="S531" s="4"/>
      <c r="U531" s="4"/>
      <c r="V531" s="4"/>
      <c r="X531" s="4"/>
      <c r="Z531" s="4"/>
    </row>
    <row r="532" spans="5:26" x14ac:dyDescent="0.3">
      <c r="E532" s="4"/>
      <c r="F532" s="4"/>
      <c r="G532" s="4"/>
      <c r="K532" s="4"/>
      <c r="N532" s="4"/>
      <c r="Q532" s="4"/>
      <c r="R532" s="4"/>
      <c r="S532" s="4"/>
      <c r="U532" s="4"/>
      <c r="V532" s="4"/>
      <c r="X532" s="4"/>
      <c r="Z532" s="4"/>
    </row>
    <row r="533" spans="5:26" x14ac:dyDescent="0.3">
      <c r="E533" s="4"/>
      <c r="F533" s="4"/>
      <c r="G533" s="4"/>
      <c r="K533" s="4"/>
      <c r="N533" s="4"/>
      <c r="Q533" s="4"/>
      <c r="R533" s="4"/>
      <c r="S533" s="4"/>
      <c r="U533" s="4"/>
      <c r="V533" s="4"/>
      <c r="X533" s="4"/>
      <c r="Z533" s="4"/>
    </row>
    <row r="534" spans="5:26" x14ac:dyDescent="0.3">
      <c r="E534" s="4"/>
      <c r="F534" s="4"/>
      <c r="G534" s="4"/>
      <c r="K534" s="4"/>
      <c r="N534" s="4"/>
      <c r="Q534" s="4"/>
      <c r="R534" s="4"/>
      <c r="S534" s="4"/>
      <c r="U534" s="4"/>
      <c r="V534" s="4"/>
      <c r="X534" s="4"/>
      <c r="Z534" s="4"/>
    </row>
    <row r="535" spans="5:26" x14ac:dyDescent="0.3">
      <c r="E535" s="4"/>
      <c r="F535" s="4"/>
      <c r="G535" s="4"/>
      <c r="K535" s="4"/>
      <c r="N535" s="4"/>
      <c r="Q535" s="4"/>
      <c r="R535" s="4"/>
      <c r="S535" s="4"/>
      <c r="U535" s="4"/>
      <c r="V535" s="4"/>
      <c r="X535" s="4"/>
      <c r="Z535" s="4"/>
    </row>
    <row r="536" spans="5:26" x14ac:dyDescent="0.3">
      <c r="E536" s="4"/>
      <c r="F536" s="4"/>
      <c r="G536" s="4"/>
      <c r="K536" s="4"/>
      <c r="N536" s="4"/>
      <c r="Q536" s="4"/>
      <c r="R536" s="4"/>
      <c r="S536" s="4"/>
      <c r="U536" s="4"/>
      <c r="V536" s="4"/>
      <c r="X536" s="4"/>
      <c r="Z536" s="4"/>
    </row>
    <row r="537" spans="5:26" x14ac:dyDescent="0.3">
      <c r="E537" s="4"/>
      <c r="F537" s="4"/>
      <c r="G537" s="4"/>
      <c r="K537" s="4"/>
      <c r="N537" s="4"/>
      <c r="Q537" s="4"/>
      <c r="R537" s="4"/>
      <c r="S537" s="4"/>
      <c r="U537" s="4"/>
      <c r="V537" s="4"/>
      <c r="X537" s="4"/>
      <c r="Z537" s="4"/>
    </row>
    <row r="538" spans="5:26" x14ac:dyDescent="0.3">
      <c r="E538" s="4"/>
      <c r="F538" s="4"/>
      <c r="G538" s="4"/>
      <c r="K538" s="4"/>
      <c r="N538" s="4"/>
      <c r="Q538" s="4"/>
      <c r="R538" s="4"/>
      <c r="S538" s="4"/>
      <c r="U538" s="4"/>
      <c r="V538" s="4"/>
      <c r="X538" s="4"/>
      <c r="Z538" s="4"/>
    </row>
    <row r="539" spans="5:26" x14ac:dyDescent="0.3">
      <c r="E539" s="4"/>
      <c r="F539" s="4"/>
      <c r="G539" s="4"/>
      <c r="K539" s="4"/>
      <c r="N539" s="4"/>
      <c r="Q539" s="4"/>
      <c r="R539" s="4"/>
      <c r="S539" s="4"/>
      <c r="U539" s="4"/>
      <c r="V539" s="4"/>
      <c r="X539" s="4"/>
      <c r="Z539" s="4"/>
    </row>
    <row r="540" spans="5:26" x14ac:dyDescent="0.3">
      <c r="E540" s="4"/>
      <c r="F540" s="4"/>
      <c r="G540" s="4"/>
      <c r="K540" s="4"/>
      <c r="N540" s="4"/>
      <c r="Q540" s="4"/>
      <c r="R540" s="4"/>
      <c r="S540" s="4"/>
      <c r="U540" s="4"/>
      <c r="V540" s="4"/>
      <c r="X540" s="4"/>
      <c r="Z540" s="4"/>
    </row>
    <row r="541" spans="5:26" x14ac:dyDescent="0.3">
      <c r="E541" s="4"/>
      <c r="F541" s="4"/>
      <c r="G541" s="4"/>
      <c r="K541" s="4"/>
      <c r="N541" s="4"/>
      <c r="Q541" s="4"/>
      <c r="R541" s="4"/>
      <c r="S541" s="4"/>
      <c r="U541" s="4"/>
      <c r="V541" s="4"/>
      <c r="X541" s="4"/>
      <c r="Z541" s="4"/>
    </row>
    <row r="542" spans="5:26" x14ac:dyDescent="0.3">
      <c r="E542" s="4"/>
      <c r="F542" s="4"/>
      <c r="G542" s="4"/>
      <c r="K542" s="4"/>
      <c r="N542" s="4"/>
      <c r="Q542" s="4"/>
      <c r="R542" s="4"/>
      <c r="S542" s="4"/>
      <c r="U542" s="4"/>
      <c r="V542" s="4"/>
      <c r="X542" s="4"/>
      <c r="Z542" s="4"/>
    </row>
    <row r="543" spans="5:26" x14ac:dyDescent="0.3">
      <c r="E543" s="4"/>
      <c r="F543" s="4"/>
      <c r="G543" s="4"/>
      <c r="K543" s="4"/>
      <c r="N543" s="4"/>
      <c r="Q543" s="4"/>
      <c r="R543" s="4"/>
      <c r="S543" s="4"/>
      <c r="U543" s="4"/>
      <c r="V543" s="4"/>
      <c r="X543" s="4"/>
      <c r="Z543" s="4"/>
    </row>
    <row r="544" spans="5:26" x14ac:dyDescent="0.3">
      <c r="E544" s="4"/>
      <c r="F544" s="4"/>
      <c r="G544" s="4"/>
      <c r="K544" s="4"/>
      <c r="N544" s="4"/>
      <c r="Q544" s="4"/>
      <c r="R544" s="4"/>
      <c r="S544" s="4"/>
      <c r="U544" s="4"/>
      <c r="V544" s="4"/>
      <c r="X544" s="4"/>
      <c r="Z544" s="4"/>
    </row>
    <row r="545" spans="5:26" x14ac:dyDescent="0.3">
      <c r="E545" s="4"/>
      <c r="F545" s="4"/>
      <c r="G545" s="4"/>
      <c r="K545" s="4"/>
      <c r="N545" s="4"/>
      <c r="Q545" s="4"/>
      <c r="R545" s="4"/>
      <c r="S545" s="4"/>
      <c r="U545" s="4"/>
      <c r="V545" s="4"/>
      <c r="X545" s="4"/>
      <c r="Z545" s="4"/>
    </row>
    <row r="546" spans="5:26" x14ac:dyDescent="0.3">
      <c r="E546" s="4"/>
      <c r="F546" s="4"/>
      <c r="G546" s="4"/>
      <c r="K546" s="4"/>
      <c r="N546" s="4"/>
      <c r="Q546" s="4"/>
      <c r="R546" s="4"/>
      <c r="S546" s="4"/>
      <c r="U546" s="4"/>
      <c r="V546" s="4"/>
      <c r="X546" s="4"/>
      <c r="Z546" s="4"/>
    </row>
    <row r="547" spans="5:26" x14ac:dyDescent="0.3">
      <c r="E547" s="4"/>
      <c r="F547" s="4"/>
      <c r="G547" s="4"/>
      <c r="K547" s="4"/>
      <c r="N547" s="4"/>
      <c r="Q547" s="4"/>
      <c r="R547" s="4"/>
      <c r="S547" s="4"/>
      <c r="U547" s="4"/>
      <c r="V547" s="4"/>
      <c r="X547" s="4"/>
      <c r="Z547" s="4"/>
    </row>
    <row r="548" spans="5:26" x14ac:dyDescent="0.3">
      <c r="E548" s="4"/>
      <c r="F548" s="4"/>
      <c r="G548" s="4"/>
      <c r="K548" s="4"/>
      <c r="N548" s="4"/>
      <c r="Q548" s="4"/>
      <c r="R548" s="4"/>
      <c r="S548" s="4"/>
      <c r="U548" s="4"/>
      <c r="V548" s="4"/>
      <c r="X548" s="4"/>
      <c r="Z548" s="4"/>
    </row>
    <row r="549" spans="5:26" x14ac:dyDescent="0.3">
      <c r="E549" s="4"/>
      <c r="F549" s="4"/>
      <c r="G549" s="4"/>
      <c r="K549" s="4"/>
      <c r="N549" s="4"/>
      <c r="Q549" s="4"/>
      <c r="R549" s="4"/>
      <c r="S549" s="4"/>
      <c r="U549" s="4"/>
      <c r="V549" s="4"/>
      <c r="X549" s="4"/>
      <c r="Z549" s="4"/>
    </row>
    <row r="550" spans="5:26" x14ac:dyDescent="0.3">
      <c r="E550" s="4"/>
      <c r="F550" s="4"/>
      <c r="G550" s="4"/>
      <c r="K550" s="4"/>
      <c r="N550" s="4"/>
      <c r="Q550" s="4"/>
      <c r="R550" s="4"/>
      <c r="S550" s="4"/>
      <c r="U550" s="4"/>
      <c r="V550" s="4"/>
      <c r="X550" s="4"/>
      <c r="Z550" s="4"/>
    </row>
    <row r="551" spans="5:26" x14ac:dyDescent="0.3">
      <c r="E551" s="4"/>
      <c r="F551" s="4"/>
      <c r="G551" s="4"/>
      <c r="K551" s="4"/>
      <c r="N551" s="4"/>
      <c r="Q551" s="4"/>
      <c r="R551" s="4"/>
      <c r="S551" s="4"/>
      <c r="U551" s="4"/>
      <c r="V551" s="4"/>
      <c r="X551" s="4"/>
      <c r="Z551" s="4"/>
    </row>
    <row r="552" spans="5:26" x14ac:dyDescent="0.3">
      <c r="E552" s="4"/>
      <c r="F552" s="4"/>
      <c r="G552" s="4"/>
      <c r="K552" s="4"/>
      <c r="N552" s="4"/>
      <c r="Q552" s="4"/>
      <c r="R552" s="4"/>
      <c r="S552" s="4"/>
      <c r="U552" s="4"/>
      <c r="V552" s="4"/>
      <c r="X552" s="4"/>
      <c r="Z552" s="4"/>
    </row>
    <row r="553" spans="5:26" x14ac:dyDescent="0.3">
      <c r="E553" s="4"/>
      <c r="F553" s="4"/>
      <c r="G553" s="4"/>
      <c r="K553" s="4"/>
      <c r="N553" s="4"/>
      <c r="Q553" s="4"/>
      <c r="R553" s="4"/>
      <c r="S553" s="4"/>
      <c r="U553" s="4"/>
      <c r="V553" s="4"/>
      <c r="X553" s="4"/>
      <c r="Z553" s="4"/>
    </row>
    <row r="554" spans="5:26" x14ac:dyDescent="0.3">
      <c r="E554" s="4"/>
      <c r="F554" s="4"/>
      <c r="G554" s="4"/>
      <c r="K554" s="4"/>
      <c r="N554" s="4"/>
      <c r="Q554" s="4"/>
      <c r="R554" s="4"/>
      <c r="S554" s="4"/>
      <c r="U554" s="4"/>
      <c r="V554" s="4"/>
      <c r="X554" s="4"/>
      <c r="Z554" s="4"/>
    </row>
    <row r="555" spans="5:26" x14ac:dyDescent="0.3">
      <c r="E555" s="4"/>
      <c r="F555" s="4"/>
      <c r="G555" s="4"/>
      <c r="K555" s="4"/>
      <c r="N555" s="4"/>
      <c r="Q555" s="4"/>
      <c r="R555" s="4"/>
      <c r="S555" s="4"/>
      <c r="U555" s="4"/>
      <c r="V555" s="4"/>
      <c r="X555" s="4"/>
      <c r="Z555" s="4"/>
    </row>
    <row r="556" spans="5:26" x14ac:dyDescent="0.3">
      <c r="E556" s="4"/>
      <c r="F556" s="4"/>
      <c r="G556" s="4"/>
      <c r="K556" s="4"/>
      <c r="N556" s="4"/>
      <c r="Q556" s="4"/>
      <c r="R556" s="4"/>
      <c r="S556" s="4"/>
      <c r="U556" s="4"/>
      <c r="V556" s="4"/>
      <c r="X556" s="4"/>
      <c r="Z556" s="4"/>
    </row>
    <row r="557" spans="5:26" x14ac:dyDescent="0.3">
      <c r="E557" s="4"/>
      <c r="F557" s="4"/>
      <c r="G557" s="4"/>
      <c r="K557" s="4"/>
      <c r="N557" s="4"/>
      <c r="Q557" s="4"/>
      <c r="R557" s="4"/>
      <c r="S557" s="4"/>
      <c r="U557" s="4"/>
      <c r="V557" s="4"/>
      <c r="X557" s="4"/>
      <c r="Z557" s="4"/>
    </row>
    <row r="558" spans="5:26" x14ac:dyDescent="0.3">
      <c r="E558" s="4"/>
      <c r="F558" s="4"/>
      <c r="G558" s="4"/>
      <c r="K558" s="4"/>
      <c r="N558" s="4"/>
      <c r="Q558" s="4"/>
      <c r="R558" s="4"/>
      <c r="S558" s="4"/>
      <c r="U558" s="4"/>
      <c r="V558" s="4"/>
      <c r="X558" s="4"/>
      <c r="Z558" s="4"/>
    </row>
    <row r="559" spans="5:26" x14ac:dyDescent="0.3">
      <c r="E559" s="4"/>
      <c r="F559" s="4"/>
      <c r="G559" s="4"/>
      <c r="K559" s="4"/>
      <c r="N559" s="4"/>
      <c r="Q559" s="4"/>
      <c r="R559" s="4"/>
      <c r="S559" s="4"/>
      <c r="U559" s="4"/>
      <c r="V559" s="4"/>
      <c r="X559" s="4"/>
      <c r="Z559" s="4"/>
    </row>
    <row r="560" spans="5:26" x14ac:dyDescent="0.3">
      <c r="E560" s="4"/>
      <c r="F560" s="4"/>
      <c r="G560" s="4"/>
      <c r="K560" s="4"/>
      <c r="N560" s="4"/>
      <c r="Q560" s="4"/>
      <c r="R560" s="4"/>
      <c r="S560" s="4"/>
      <c r="U560" s="4"/>
      <c r="V560" s="4"/>
      <c r="X560" s="4"/>
      <c r="Z560" s="4"/>
    </row>
    <row r="561" spans="5:26" x14ac:dyDescent="0.3">
      <c r="E561" s="4"/>
      <c r="F561" s="4"/>
      <c r="G561" s="4"/>
      <c r="K561" s="4"/>
      <c r="N561" s="4"/>
      <c r="Q561" s="4"/>
      <c r="R561" s="4"/>
      <c r="S561" s="4"/>
      <c r="U561" s="4"/>
      <c r="V561" s="4"/>
      <c r="X561" s="4"/>
      <c r="Z561" s="4"/>
    </row>
    <row r="562" spans="5:26" x14ac:dyDescent="0.3">
      <c r="E562" s="4"/>
      <c r="F562" s="4"/>
      <c r="G562" s="4"/>
      <c r="K562" s="4"/>
      <c r="N562" s="4"/>
      <c r="Q562" s="4"/>
      <c r="R562" s="4"/>
      <c r="S562" s="4"/>
      <c r="U562" s="4"/>
      <c r="V562" s="4"/>
      <c r="X562" s="4"/>
      <c r="Z562" s="4"/>
    </row>
    <row r="563" spans="5:26" x14ac:dyDescent="0.3">
      <c r="E563" s="4"/>
      <c r="F563" s="4"/>
      <c r="G563" s="4"/>
      <c r="K563" s="4"/>
      <c r="N563" s="4"/>
      <c r="Q563" s="4"/>
      <c r="R563" s="4"/>
      <c r="S563" s="4"/>
      <c r="U563" s="4"/>
      <c r="V563" s="4"/>
      <c r="X563" s="4"/>
      <c r="Z563" s="4"/>
    </row>
    <row r="564" spans="5:26" x14ac:dyDescent="0.3">
      <c r="E564" s="4"/>
      <c r="F564" s="4"/>
      <c r="G564" s="4"/>
      <c r="K564" s="4"/>
      <c r="N564" s="4"/>
      <c r="Q564" s="4"/>
      <c r="R564" s="4"/>
      <c r="S564" s="4"/>
      <c r="U564" s="4"/>
      <c r="V564" s="4"/>
      <c r="X564" s="4"/>
      <c r="Z564" s="4"/>
    </row>
    <row r="565" spans="5:26" x14ac:dyDescent="0.3">
      <c r="E565" s="4"/>
      <c r="F565" s="4"/>
      <c r="G565" s="4"/>
      <c r="K565" s="4"/>
      <c r="N565" s="4"/>
      <c r="Q565" s="4"/>
      <c r="R565" s="4"/>
      <c r="S565" s="4"/>
      <c r="U565" s="4"/>
      <c r="V565" s="4"/>
      <c r="X565" s="4"/>
      <c r="Z565" s="4"/>
    </row>
    <row r="566" spans="5:26" x14ac:dyDescent="0.3">
      <c r="E566" s="4"/>
      <c r="F566" s="4"/>
      <c r="G566" s="4"/>
      <c r="K566" s="4"/>
      <c r="N566" s="4"/>
      <c r="Q566" s="4"/>
      <c r="R566" s="4"/>
      <c r="S566" s="4"/>
      <c r="U566" s="4"/>
      <c r="V566" s="4"/>
      <c r="X566" s="4"/>
      <c r="Z566" s="4"/>
    </row>
    <row r="567" spans="5:26" x14ac:dyDescent="0.3">
      <c r="E567" s="4"/>
      <c r="F567" s="4"/>
      <c r="G567" s="4"/>
      <c r="K567" s="4"/>
      <c r="N567" s="4"/>
      <c r="Q567" s="4"/>
      <c r="R567" s="4"/>
      <c r="S567" s="4"/>
      <c r="U567" s="4"/>
      <c r="V567" s="4"/>
      <c r="X567" s="4"/>
      <c r="Z567" s="4"/>
    </row>
    <row r="568" spans="5:26" x14ac:dyDescent="0.3">
      <c r="E568" s="4"/>
      <c r="F568" s="4"/>
      <c r="G568" s="4"/>
      <c r="K568" s="4"/>
      <c r="N568" s="4"/>
      <c r="Q568" s="4"/>
      <c r="R568" s="4"/>
      <c r="S568" s="4"/>
      <c r="U568" s="4"/>
      <c r="V568" s="4"/>
      <c r="X568" s="4"/>
      <c r="Z568" s="4"/>
    </row>
    <row r="569" spans="5:26" x14ac:dyDescent="0.3">
      <c r="E569" s="4"/>
      <c r="F569" s="4"/>
      <c r="G569" s="4"/>
      <c r="K569" s="4"/>
      <c r="N569" s="4"/>
      <c r="Q569" s="4"/>
      <c r="R569" s="4"/>
      <c r="S569" s="4"/>
      <c r="U569" s="4"/>
      <c r="V569" s="4"/>
      <c r="X569" s="4"/>
      <c r="Z569" s="4"/>
    </row>
    <row r="570" spans="5:26" x14ac:dyDescent="0.3">
      <c r="E570" s="4"/>
      <c r="F570" s="4"/>
      <c r="G570" s="4"/>
      <c r="K570" s="4"/>
      <c r="N570" s="4"/>
      <c r="Q570" s="4"/>
      <c r="R570" s="4"/>
      <c r="S570" s="4"/>
      <c r="U570" s="4"/>
      <c r="V570" s="4"/>
      <c r="X570" s="4"/>
      <c r="Z570" s="4"/>
    </row>
    <row r="571" spans="5:26" x14ac:dyDescent="0.3">
      <c r="E571" s="4"/>
      <c r="F571" s="4"/>
      <c r="G571" s="4"/>
      <c r="K571" s="4"/>
      <c r="N571" s="4"/>
      <c r="Q571" s="4"/>
      <c r="R571" s="4"/>
      <c r="S571" s="4"/>
      <c r="U571" s="4"/>
      <c r="V571" s="4"/>
      <c r="X571" s="4"/>
      <c r="Z571" s="4"/>
    </row>
    <row r="572" spans="5:26" x14ac:dyDescent="0.3">
      <c r="E572" s="4"/>
      <c r="F572" s="4"/>
      <c r="G572" s="4"/>
      <c r="K572" s="4"/>
      <c r="N572" s="4"/>
      <c r="Q572" s="4"/>
      <c r="R572" s="4"/>
      <c r="S572" s="4"/>
      <c r="U572" s="4"/>
      <c r="V572" s="4"/>
      <c r="X572" s="4"/>
      <c r="Z572" s="4"/>
    </row>
    <row r="573" spans="5:26" x14ac:dyDescent="0.3">
      <c r="E573" s="4"/>
      <c r="F573" s="4"/>
      <c r="G573" s="4"/>
      <c r="K573" s="4"/>
      <c r="N573" s="4"/>
      <c r="Q573" s="4"/>
      <c r="R573" s="4"/>
      <c r="S573" s="4"/>
      <c r="U573" s="4"/>
      <c r="V573" s="4"/>
      <c r="X573" s="4"/>
      <c r="Z573" s="4"/>
    </row>
    <row r="574" spans="5:26" x14ac:dyDescent="0.3">
      <c r="E574" s="4"/>
      <c r="F574" s="4"/>
      <c r="G574" s="4"/>
      <c r="K574" s="4"/>
      <c r="N574" s="4"/>
      <c r="Q574" s="4"/>
      <c r="R574" s="4"/>
      <c r="S574" s="4"/>
      <c r="U574" s="4"/>
      <c r="V574" s="4"/>
      <c r="X574" s="4"/>
      <c r="Z574" s="4"/>
    </row>
    <row r="575" spans="5:26" x14ac:dyDescent="0.3">
      <c r="E575" s="4"/>
      <c r="F575" s="4"/>
      <c r="G575" s="4"/>
      <c r="K575" s="4"/>
      <c r="N575" s="4"/>
      <c r="Q575" s="4"/>
      <c r="R575" s="4"/>
      <c r="S575" s="4"/>
      <c r="U575" s="4"/>
      <c r="V575" s="4"/>
      <c r="X575" s="4"/>
      <c r="Z575" s="4"/>
    </row>
    <row r="576" spans="5:26" x14ac:dyDescent="0.3">
      <c r="E576" s="4"/>
      <c r="F576" s="4"/>
      <c r="G576" s="4"/>
      <c r="K576" s="4"/>
      <c r="N576" s="4"/>
      <c r="Q576" s="4"/>
      <c r="R576" s="4"/>
      <c r="S576" s="4"/>
      <c r="U576" s="4"/>
      <c r="V576" s="4"/>
      <c r="X576" s="4"/>
      <c r="Z576" s="4"/>
    </row>
    <row r="577" spans="5:26" x14ac:dyDescent="0.3">
      <c r="E577" s="4"/>
      <c r="F577" s="4"/>
      <c r="G577" s="4"/>
      <c r="K577" s="4"/>
      <c r="N577" s="4"/>
      <c r="Q577" s="4"/>
      <c r="R577" s="4"/>
      <c r="S577" s="4"/>
      <c r="U577" s="4"/>
      <c r="V577" s="4"/>
      <c r="X577" s="4"/>
      <c r="Z577" s="4"/>
    </row>
    <row r="578" spans="5:26" x14ac:dyDescent="0.3">
      <c r="E578" s="4"/>
      <c r="F578" s="4"/>
      <c r="G578" s="4"/>
      <c r="K578" s="4"/>
      <c r="N578" s="4"/>
      <c r="Q578" s="4"/>
      <c r="R578" s="4"/>
      <c r="S578" s="4"/>
      <c r="U578" s="4"/>
      <c r="V578" s="4"/>
      <c r="X578" s="4"/>
      <c r="Z578" s="4"/>
    </row>
    <row r="579" spans="5:26" x14ac:dyDescent="0.3">
      <c r="E579" s="4"/>
      <c r="F579" s="4"/>
      <c r="G579" s="4"/>
      <c r="K579" s="4"/>
      <c r="N579" s="4"/>
      <c r="Q579" s="4"/>
      <c r="R579" s="4"/>
      <c r="S579" s="4"/>
      <c r="U579" s="4"/>
      <c r="V579" s="4"/>
      <c r="X579" s="4"/>
      <c r="Z579" s="4"/>
    </row>
    <row r="580" spans="5:26" x14ac:dyDescent="0.3">
      <c r="E580" s="4"/>
      <c r="F580" s="4"/>
      <c r="G580" s="4"/>
      <c r="K580" s="4"/>
      <c r="N580" s="4"/>
      <c r="Q580" s="4"/>
      <c r="R580" s="4"/>
      <c r="S580" s="4"/>
      <c r="U580" s="4"/>
      <c r="V580" s="4"/>
      <c r="X580" s="4"/>
      <c r="Z580" s="4"/>
    </row>
    <row r="581" spans="5:26" x14ac:dyDescent="0.3">
      <c r="E581" s="4"/>
      <c r="F581" s="4"/>
      <c r="G581" s="4"/>
      <c r="K581" s="4"/>
      <c r="N581" s="4"/>
      <c r="Q581" s="4"/>
      <c r="R581" s="4"/>
      <c r="S581" s="4"/>
      <c r="U581" s="4"/>
      <c r="V581" s="4"/>
      <c r="X581" s="4"/>
      <c r="Z581" s="4"/>
    </row>
    <row r="582" spans="5:26" x14ac:dyDescent="0.3">
      <c r="E582" s="4"/>
      <c r="F582" s="4"/>
      <c r="G582" s="4"/>
      <c r="K582" s="4"/>
      <c r="N582" s="4"/>
      <c r="Q582" s="4"/>
      <c r="R582" s="4"/>
      <c r="S582" s="4"/>
      <c r="U582" s="4"/>
      <c r="V582" s="4"/>
      <c r="X582" s="4"/>
      <c r="Z582" s="4"/>
    </row>
    <row r="583" spans="5:26" x14ac:dyDescent="0.3">
      <c r="E583" s="4"/>
      <c r="F583" s="4"/>
      <c r="G583" s="4"/>
      <c r="K583" s="4"/>
      <c r="N583" s="4"/>
      <c r="Q583" s="4"/>
      <c r="R583" s="4"/>
      <c r="S583" s="4"/>
      <c r="U583" s="4"/>
      <c r="V583" s="4"/>
      <c r="X583" s="4"/>
      <c r="Z583" s="4"/>
    </row>
    <row r="584" spans="5:26" x14ac:dyDescent="0.3">
      <c r="E584" s="4"/>
      <c r="F584" s="4"/>
      <c r="G584" s="4"/>
      <c r="K584" s="4"/>
      <c r="N584" s="4"/>
      <c r="Q584" s="4"/>
      <c r="R584" s="4"/>
      <c r="S584" s="4"/>
      <c r="U584" s="4"/>
      <c r="V584" s="4"/>
      <c r="X584" s="4"/>
      <c r="Z584" s="4"/>
    </row>
    <row r="585" spans="5:26" x14ac:dyDescent="0.3">
      <c r="E585" s="4"/>
      <c r="F585" s="4"/>
      <c r="G585" s="4"/>
      <c r="K585" s="4"/>
      <c r="N585" s="4"/>
      <c r="Q585" s="4"/>
      <c r="R585" s="4"/>
      <c r="S585" s="4"/>
      <c r="U585" s="4"/>
      <c r="V585" s="4"/>
      <c r="X585" s="4"/>
      <c r="Z585" s="4"/>
    </row>
    <row r="586" spans="5:26" x14ac:dyDescent="0.3">
      <c r="E586" s="4"/>
      <c r="F586" s="4"/>
      <c r="G586" s="4"/>
      <c r="K586" s="4"/>
      <c r="N586" s="4"/>
      <c r="Q586" s="4"/>
      <c r="R586" s="4"/>
      <c r="S586" s="4"/>
      <c r="U586" s="4"/>
      <c r="V586" s="4"/>
      <c r="X586" s="4"/>
      <c r="Z586" s="4"/>
    </row>
    <row r="587" spans="5:26" x14ac:dyDescent="0.3">
      <c r="E587" s="4"/>
      <c r="F587" s="4"/>
      <c r="G587" s="4"/>
      <c r="K587" s="4"/>
      <c r="N587" s="4"/>
      <c r="Q587" s="4"/>
      <c r="R587" s="4"/>
      <c r="S587" s="4"/>
      <c r="U587" s="4"/>
      <c r="V587" s="4"/>
      <c r="X587" s="4"/>
      <c r="Z587" s="4"/>
    </row>
    <row r="588" spans="5:26" x14ac:dyDescent="0.3">
      <c r="E588" s="4"/>
      <c r="F588" s="4"/>
      <c r="G588" s="4"/>
      <c r="K588" s="4"/>
      <c r="N588" s="4"/>
      <c r="Q588" s="4"/>
      <c r="R588" s="4"/>
      <c r="S588" s="4"/>
      <c r="U588" s="4"/>
      <c r="V588" s="4"/>
      <c r="X588" s="4"/>
      <c r="Z588" s="4"/>
    </row>
    <row r="589" spans="5:26" x14ac:dyDescent="0.3">
      <c r="E589" s="4"/>
      <c r="F589" s="4"/>
      <c r="G589" s="4"/>
      <c r="K589" s="4"/>
      <c r="N589" s="4"/>
      <c r="Q589" s="4"/>
      <c r="R589" s="4"/>
      <c r="S589" s="4"/>
      <c r="U589" s="4"/>
      <c r="V589" s="4"/>
      <c r="X589" s="4"/>
      <c r="Z589" s="4"/>
    </row>
    <row r="590" spans="5:26" x14ac:dyDescent="0.3">
      <c r="E590" s="4"/>
      <c r="F590" s="4"/>
      <c r="G590" s="4"/>
      <c r="K590" s="4"/>
      <c r="N590" s="4"/>
      <c r="Q590" s="4"/>
      <c r="R590" s="4"/>
      <c r="S590" s="4"/>
      <c r="U590" s="4"/>
      <c r="V590" s="4"/>
      <c r="X590" s="4"/>
      <c r="Z590" s="4"/>
    </row>
    <row r="591" spans="5:26" x14ac:dyDescent="0.3">
      <c r="E591" s="4"/>
      <c r="F591" s="4"/>
      <c r="G591" s="4"/>
      <c r="K591" s="4"/>
      <c r="N591" s="4"/>
      <c r="Q591" s="4"/>
      <c r="R591" s="4"/>
      <c r="S591" s="4"/>
      <c r="U591" s="4"/>
      <c r="V591" s="4"/>
      <c r="X591" s="4"/>
      <c r="Z591" s="4"/>
    </row>
    <row r="592" spans="5:26" x14ac:dyDescent="0.3">
      <c r="E592" s="4"/>
      <c r="F592" s="4"/>
      <c r="G592" s="4"/>
      <c r="K592" s="4"/>
      <c r="N592" s="4"/>
      <c r="Q592" s="4"/>
      <c r="R592" s="4"/>
      <c r="S592" s="4"/>
      <c r="U592" s="4"/>
      <c r="V592" s="4"/>
      <c r="X592" s="4"/>
      <c r="Z592" s="4"/>
    </row>
    <row r="593" spans="5:26" x14ac:dyDescent="0.3">
      <c r="E593" s="4"/>
      <c r="F593" s="4"/>
      <c r="G593" s="4"/>
      <c r="K593" s="4"/>
      <c r="N593" s="4"/>
      <c r="Q593" s="4"/>
      <c r="R593" s="4"/>
      <c r="S593" s="4"/>
      <c r="U593" s="4"/>
      <c r="V593" s="4"/>
      <c r="X593" s="4"/>
      <c r="Z593" s="4"/>
    </row>
    <row r="594" spans="5:26" x14ac:dyDescent="0.3">
      <c r="E594" s="4"/>
      <c r="F594" s="4"/>
      <c r="G594" s="4"/>
      <c r="K594" s="4"/>
      <c r="N594" s="4"/>
      <c r="Q594" s="4"/>
      <c r="R594" s="4"/>
      <c r="S594" s="4"/>
      <c r="U594" s="4"/>
      <c r="V594" s="4"/>
      <c r="X594" s="4"/>
      <c r="Z594" s="4"/>
    </row>
    <row r="595" spans="5:26" x14ac:dyDescent="0.3">
      <c r="E595" s="4"/>
      <c r="F595" s="4"/>
      <c r="G595" s="4"/>
      <c r="K595" s="4"/>
      <c r="N595" s="4"/>
      <c r="Q595" s="4"/>
      <c r="R595" s="4"/>
      <c r="S595" s="4"/>
      <c r="U595" s="4"/>
      <c r="V595" s="4"/>
      <c r="X595" s="4"/>
      <c r="Z595" s="4"/>
    </row>
    <row r="596" spans="5:26" x14ac:dyDescent="0.3">
      <c r="E596" s="4"/>
      <c r="F596" s="4"/>
      <c r="G596" s="4"/>
      <c r="K596" s="4"/>
      <c r="N596" s="4"/>
      <c r="Q596" s="4"/>
      <c r="R596" s="4"/>
      <c r="S596" s="4"/>
      <c r="U596" s="4"/>
      <c r="V596" s="4"/>
      <c r="X596" s="4"/>
      <c r="Z596" s="4"/>
    </row>
    <row r="597" spans="5:26" x14ac:dyDescent="0.3">
      <c r="E597" s="4"/>
      <c r="F597" s="4"/>
      <c r="G597" s="4"/>
      <c r="K597" s="4"/>
      <c r="N597" s="4"/>
      <c r="Q597" s="4"/>
      <c r="R597" s="4"/>
      <c r="S597" s="4"/>
      <c r="U597" s="4"/>
      <c r="V597" s="4"/>
      <c r="X597" s="4"/>
      <c r="Z597" s="4"/>
    </row>
    <row r="598" spans="5:26" x14ac:dyDescent="0.3">
      <c r="E598" s="4"/>
      <c r="F598" s="4"/>
      <c r="G598" s="4"/>
      <c r="K598" s="4"/>
      <c r="N598" s="4"/>
      <c r="Q598" s="4"/>
      <c r="R598" s="4"/>
      <c r="S598" s="4"/>
      <c r="U598" s="4"/>
      <c r="V598" s="4"/>
      <c r="X598" s="4"/>
      <c r="Z598" s="4"/>
    </row>
    <row r="599" spans="5:26" x14ac:dyDescent="0.3">
      <c r="E599" s="4"/>
      <c r="F599" s="4"/>
      <c r="G599" s="4"/>
      <c r="K599" s="4"/>
      <c r="N599" s="4"/>
      <c r="Q599" s="4"/>
      <c r="R599" s="4"/>
      <c r="S599" s="4"/>
      <c r="U599" s="4"/>
      <c r="V599" s="4"/>
      <c r="X599" s="4"/>
      <c r="Z599" s="4"/>
    </row>
    <row r="600" spans="5:26" x14ac:dyDescent="0.3">
      <c r="E600" s="4"/>
      <c r="F600" s="4"/>
      <c r="G600" s="4"/>
      <c r="K600" s="4"/>
      <c r="N600" s="4"/>
      <c r="Q600" s="4"/>
      <c r="R600" s="4"/>
      <c r="S600" s="4"/>
      <c r="U600" s="4"/>
      <c r="V600" s="4"/>
      <c r="X600" s="4"/>
      <c r="Z600" s="4"/>
    </row>
    <row r="601" spans="5:26" x14ac:dyDescent="0.3">
      <c r="E601" s="4"/>
      <c r="F601" s="4"/>
      <c r="G601" s="4"/>
      <c r="K601" s="4"/>
      <c r="N601" s="4"/>
      <c r="Q601" s="4"/>
      <c r="R601" s="4"/>
      <c r="S601" s="4"/>
      <c r="U601" s="4"/>
      <c r="V601" s="4"/>
      <c r="X601" s="4"/>
      <c r="Z601" s="4"/>
    </row>
    <row r="602" spans="5:26" x14ac:dyDescent="0.3">
      <c r="E602" s="4"/>
      <c r="F602" s="4"/>
      <c r="G602" s="4"/>
      <c r="K602" s="4"/>
      <c r="N602" s="4"/>
      <c r="Q602" s="4"/>
      <c r="R602" s="4"/>
      <c r="S602" s="4"/>
      <c r="U602" s="4"/>
      <c r="V602" s="4"/>
      <c r="X602" s="4"/>
      <c r="Z602" s="4"/>
    </row>
    <row r="603" spans="5:26" x14ac:dyDescent="0.3">
      <c r="E603" s="4"/>
      <c r="F603" s="4"/>
      <c r="G603" s="4"/>
      <c r="K603" s="4"/>
      <c r="N603" s="4"/>
      <c r="Q603" s="4"/>
      <c r="R603" s="4"/>
      <c r="S603" s="4"/>
      <c r="U603" s="4"/>
      <c r="V603" s="4"/>
      <c r="X603" s="4"/>
      <c r="Z603" s="4"/>
    </row>
    <row r="604" spans="5:26" x14ac:dyDescent="0.3">
      <c r="E604" s="4"/>
      <c r="F604" s="4"/>
      <c r="G604" s="4"/>
      <c r="K604" s="4"/>
      <c r="N604" s="4"/>
      <c r="Q604" s="4"/>
      <c r="R604" s="4"/>
      <c r="S604" s="4"/>
      <c r="U604" s="4"/>
      <c r="V604" s="4"/>
      <c r="X604" s="4"/>
      <c r="Z604" s="4"/>
    </row>
    <row r="605" spans="5:26" x14ac:dyDescent="0.3">
      <c r="E605" s="4"/>
      <c r="F605" s="4"/>
      <c r="G605" s="4"/>
      <c r="K605" s="4"/>
      <c r="N605" s="4"/>
      <c r="Q605" s="4"/>
      <c r="R605" s="4"/>
      <c r="S605" s="4"/>
      <c r="U605" s="4"/>
      <c r="V605" s="4"/>
      <c r="X605" s="4"/>
      <c r="Z605" s="4"/>
    </row>
    <row r="606" spans="5:26" x14ac:dyDescent="0.3">
      <c r="E606" s="4"/>
      <c r="F606" s="4"/>
      <c r="G606" s="4"/>
      <c r="K606" s="4"/>
      <c r="N606" s="4"/>
      <c r="Q606" s="4"/>
      <c r="R606" s="4"/>
      <c r="S606" s="4"/>
      <c r="U606" s="4"/>
      <c r="V606" s="4"/>
      <c r="X606" s="4"/>
      <c r="Z606" s="4"/>
    </row>
    <row r="607" spans="5:26" x14ac:dyDescent="0.3">
      <c r="E607" s="4"/>
      <c r="F607" s="4"/>
      <c r="G607" s="4"/>
      <c r="K607" s="4"/>
      <c r="N607" s="4"/>
      <c r="Q607" s="4"/>
      <c r="R607" s="4"/>
      <c r="S607" s="4"/>
      <c r="U607" s="4"/>
      <c r="V607" s="4"/>
      <c r="X607" s="4"/>
      <c r="Z607" s="4"/>
    </row>
    <row r="608" spans="5:26" x14ac:dyDescent="0.3">
      <c r="E608" s="4"/>
      <c r="F608" s="4"/>
      <c r="G608" s="4"/>
      <c r="K608" s="4"/>
      <c r="N608" s="4"/>
      <c r="Q608" s="4"/>
      <c r="R608" s="4"/>
      <c r="S608" s="4"/>
      <c r="U608" s="4"/>
      <c r="V608" s="4"/>
      <c r="X608" s="4"/>
      <c r="Z608" s="4"/>
    </row>
    <row r="609" spans="5:26" x14ac:dyDescent="0.3">
      <c r="E609" s="4"/>
      <c r="F609" s="4"/>
      <c r="G609" s="4"/>
      <c r="K609" s="4"/>
      <c r="N609" s="4"/>
      <c r="Q609" s="4"/>
      <c r="R609" s="4"/>
      <c r="S609" s="4"/>
      <c r="U609" s="4"/>
      <c r="V609" s="4"/>
      <c r="X609" s="4"/>
      <c r="Z609" s="4"/>
    </row>
    <row r="610" spans="5:26" x14ac:dyDescent="0.3">
      <c r="E610" s="4"/>
      <c r="F610" s="4"/>
      <c r="G610" s="4"/>
      <c r="K610" s="4"/>
      <c r="N610" s="4"/>
      <c r="Q610" s="4"/>
      <c r="R610" s="4"/>
      <c r="S610" s="4"/>
      <c r="U610" s="4"/>
      <c r="V610" s="4"/>
      <c r="X610" s="4"/>
      <c r="Z610" s="4"/>
    </row>
    <row r="611" spans="5:26" x14ac:dyDescent="0.3">
      <c r="E611" s="4"/>
      <c r="F611" s="4"/>
      <c r="G611" s="4"/>
      <c r="K611" s="4"/>
      <c r="N611" s="4"/>
      <c r="Q611" s="4"/>
      <c r="R611" s="4"/>
      <c r="S611" s="4"/>
      <c r="U611" s="4"/>
      <c r="V611" s="4"/>
      <c r="X611" s="4"/>
      <c r="Z611" s="4"/>
    </row>
    <row r="612" spans="5:26" x14ac:dyDescent="0.3">
      <c r="E612" s="4"/>
      <c r="F612" s="4"/>
      <c r="G612" s="4"/>
      <c r="K612" s="4"/>
      <c r="N612" s="4"/>
      <c r="Q612" s="4"/>
      <c r="R612" s="4"/>
      <c r="S612" s="4"/>
      <c r="U612" s="4"/>
      <c r="V612" s="4"/>
      <c r="X612" s="4"/>
      <c r="Z612" s="4"/>
    </row>
    <row r="613" spans="5:26" x14ac:dyDescent="0.3">
      <c r="E613" s="4"/>
      <c r="F613" s="4"/>
      <c r="G613" s="4"/>
      <c r="K613" s="4"/>
      <c r="N613" s="4"/>
      <c r="Q613" s="4"/>
      <c r="R613" s="4"/>
      <c r="S613" s="4"/>
      <c r="U613" s="4"/>
      <c r="V613" s="4"/>
      <c r="X613" s="4"/>
      <c r="Z613" s="4"/>
    </row>
    <row r="614" spans="5:26" x14ac:dyDescent="0.3">
      <c r="E614" s="4"/>
      <c r="F614" s="4"/>
      <c r="G614" s="4"/>
      <c r="K614" s="4"/>
      <c r="N614" s="4"/>
      <c r="Q614" s="4"/>
      <c r="R614" s="4"/>
      <c r="S614" s="4"/>
      <c r="U614" s="4"/>
      <c r="V614" s="4"/>
      <c r="X614" s="4"/>
      <c r="Z614" s="4"/>
    </row>
    <row r="615" spans="5:26" x14ac:dyDescent="0.3">
      <c r="E615" s="4"/>
      <c r="F615" s="4"/>
      <c r="G615" s="4"/>
      <c r="K615" s="4"/>
      <c r="N615" s="4"/>
      <c r="Q615" s="4"/>
      <c r="R615" s="4"/>
      <c r="S615" s="4"/>
      <c r="U615" s="4"/>
      <c r="V615" s="4"/>
      <c r="X615" s="4"/>
      <c r="Z615" s="4"/>
    </row>
    <row r="616" spans="5:26" x14ac:dyDescent="0.3">
      <c r="E616" s="4"/>
      <c r="F616" s="4"/>
      <c r="G616" s="4"/>
      <c r="K616" s="4"/>
      <c r="N616" s="4"/>
      <c r="Q616" s="4"/>
      <c r="R616" s="4"/>
      <c r="S616" s="4"/>
      <c r="U616" s="4"/>
      <c r="V616" s="4"/>
      <c r="X616" s="4"/>
      <c r="Z616" s="4"/>
    </row>
    <row r="617" spans="5:26" x14ac:dyDescent="0.3">
      <c r="E617" s="4"/>
      <c r="F617" s="4"/>
      <c r="G617" s="4"/>
      <c r="K617" s="4"/>
      <c r="N617" s="4"/>
      <c r="Q617" s="4"/>
      <c r="R617" s="4"/>
      <c r="S617" s="4"/>
      <c r="U617" s="4"/>
      <c r="V617" s="4"/>
      <c r="X617" s="4"/>
      <c r="Z617" s="4"/>
    </row>
    <row r="618" spans="5:26" x14ac:dyDescent="0.3">
      <c r="E618" s="4"/>
      <c r="F618" s="4"/>
      <c r="G618" s="4"/>
      <c r="K618" s="4"/>
      <c r="N618" s="4"/>
      <c r="Q618" s="4"/>
      <c r="R618" s="4"/>
      <c r="S618" s="4"/>
      <c r="U618" s="4"/>
      <c r="V618" s="4"/>
      <c r="X618" s="4"/>
      <c r="Z618" s="4"/>
    </row>
    <row r="619" spans="5:26" x14ac:dyDescent="0.3">
      <c r="E619" s="4"/>
      <c r="F619" s="4"/>
      <c r="G619" s="4"/>
      <c r="K619" s="4"/>
      <c r="N619" s="4"/>
      <c r="Q619" s="4"/>
      <c r="R619" s="4"/>
      <c r="S619" s="4"/>
      <c r="U619" s="4"/>
      <c r="V619" s="4"/>
      <c r="X619" s="4"/>
      <c r="Z619" s="4"/>
    </row>
    <row r="620" spans="5:26" x14ac:dyDescent="0.3">
      <c r="E620" s="4"/>
      <c r="F620" s="4"/>
      <c r="G620" s="4"/>
      <c r="K620" s="4"/>
      <c r="N620" s="4"/>
      <c r="Q620" s="4"/>
      <c r="R620" s="4"/>
      <c r="S620" s="4"/>
      <c r="U620" s="4"/>
      <c r="V620" s="4"/>
      <c r="X620" s="4"/>
      <c r="Z620" s="4"/>
    </row>
    <row r="621" spans="5:26" x14ac:dyDescent="0.3">
      <c r="E621" s="4"/>
      <c r="F621" s="4"/>
      <c r="G621" s="4"/>
      <c r="K621" s="4"/>
      <c r="N621" s="4"/>
      <c r="Q621" s="4"/>
      <c r="R621" s="4"/>
      <c r="S621" s="4"/>
      <c r="U621" s="4"/>
      <c r="V621" s="4"/>
      <c r="X621" s="4"/>
      <c r="Z621" s="4"/>
    </row>
    <row r="622" spans="5:26" x14ac:dyDescent="0.3">
      <c r="E622" s="4"/>
      <c r="F622" s="4"/>
      <c r="G622" s="4"/>
      <c r="K622" s="4"/>
      <c r="N622" s="4"/>
      <c r="Q622" s="4"/>
      <c r="R622" s="4"/>
      <c r="S622" s="4"/>
      <c r="U622" s="4"/>
      <c r="V622" s="4"/>
      <c r="X622" s="4"/>
      <c r="Z622" s="4"/>
    </row>
    <row r="623" spans="5:26" x14ac:dyDescent="0.3">
      <c r="E623" s="4"/>
      <c r="F623" s="4"/>
      <c r="G623" s="4"/>
      <c r="K623" s="4"/>
      <c r="N623" s="4"/>
      <c r="Q623" s="4"/>
      <c r="R623" s="4"/>
      <c r="S623" s="4"/>
      <c r="U623" s="4"/>
      <c r="V623" s="4"/>
      <c r="X623" s="4"/>
      <c r="Z623" s="4"/>
    </row>
    <row r="624" spans="5:26" x14ac:dyDescent="0.3">
      <c r="E624" s="4"/>
      <c r="F624" s="4"/>
      <c r="G624" s="4"/>
      <c r="K624" s="4"/>
      <c r="N624" s="4"/>
      <c r="Q624" s="4"/>
      <c r="R624" s="4"/>
      <c r="S624" s="4"/>
      <c r="U624" s="4"/>
      <c r="V624" s="4"/>
      <c r="X624" s="4"/>
      <c r="Z624" s="4"/>
    </row>
    <row r="625" spans="5:26" x14ac:dyDescent="0.3">
      <c r="E625" s="4"/>
      <c r="F625" s="4"/>
      <c r="G625" s="4"/>
      <c r="K625" s="4"/>
      <c r="N625" s="4"/>
      <c r="Q625" s="4"/>
      <c r="R625" s="4"/>
      <c r="S625" s="4"/>
      <c r="U625" s="4"/>
      <c r="V625" s="4"/>
      <c r="X625" s="4"/>
      <c r="Z625" s="4"/>
    </row>
    <row r="626" spans="5:26" x14ac:dyDescent="0.3">
      <c r="E626" s="4"/>
      <c r="F626" s="4"/>
      <c r="G626" s="4"/>
      <c r="K626" s="4"/>
      <c r="N626" s="4"/>
      <c r="Q626" s="4"/>
      <c r="R626" s="4"/>
      <c r="S626" s="4"/>
      <c r="U626" s="4"/>
      <c r="V626" s="4"/>
      <c r="X626" s="4"/>
      <c r="Z626" s="4"/>
    </row>
    <row r="627" spans="5:26" x14ac:dyDescent="0.3">
      <c r="E627" s="4"/>
      <c r="F627" s="4"/>
      <c r="G627" s="4"/>
      <c r="K627" s="4"/>
      <c r="N627" s="4"/>
      <c r="Q627" s="4"/>
      <c r="R627" s="4"/>
      <c r="S627" s="4"/>
      <c r="U627" s="4"/>
      <c r="V627" s="4"/>
      <c r="X627" s="4"/>
      <c r="Z627" s="4"/>
    </row>
    <row r="628" spans="5:26" x14ac:dyDescent="0.3">
      <c r="E628" s="4"/>
      <c r="F628" s="4"/>
      <c r="G628" s="4"/>
      <c r="K628" s="4"/>
      <c r="N628" s="4"/>
      <c r="Q628" s="4"/>
      <c r="R628" s="4"/>
      <c r="S628" s="4"/>
      <c r="U628" s="4"/>
      <c r="V628" s="4"/>
      <c r="X628" s="4"/>
      <c r="Z628" s="4"/>
    </row>
    <row r="629" spans="5:26" x14ac:dyDescent="0.3">
      <c r="E629" s="4"/>
      <c r="F629" s="4"/>
      <c r="G629" s="4"/>
      <c r="K629" s="4"/>
      <c r="N629" s="4"/>
      <c r="Q629" s="4"/>
      <c r="R629" s="4"/>
      <c r="S629" s="4"/>
      <c r="U629" s="4"/>
      <c r="V629" s="4"/>
      <c r="X629" s="4"/>
      <c r="Z629" s="4"/>
    </row>
    <row r="630" spans="5:26" x14ac:dyDescent="0.3">
      <c r="E630" s="4"/>
      <c r="F630" s="4"/>
      <c r="G630" s="4"/>
      <c r="K630" s="4"/>
      <c r="N630" s="4"/>
      <c r="Q630" s="4"/>
      <c r="R630" s="4"/>
      <c r="S630" s="4"/>
      <c r="U630" s="4"/>
      <c r="V630" s="4"/>
      <c r="X630" s="4"/>
      <c r="Z630" s="4"/>
    </row>
    <row r="631" spans="5:26" x14ac:dyDescent="0.3">
      <c r="E631" s="4"/>
      <c r="F631" s="4"/>
      <c r="G631" s="4"/>
      <c r="K631" s="4"/>
      <c r="N631" s="4"/>
      <c r="Q631" s="4"/>
      <c r="R631" s="4"/>
      <c r="S631" s="4"/>
      <c r="U631" s="4"/>
      <c r="V631" s="4"/>
      <c r="X631" s="4"/>
      <c r="Z631" s="4"/>
    </row>
    <row r="632" spans="5:26" x14ac:dyDescent="0.3">
      <c r="E632" s="4"/>
      <c r="F632" s="4"/>
      <c r="G632" s="4"/>
      <c r="K632" s="4"/>
      <c r="N632" s="4"/>
      <c r="Q632" s="4"/>
      <c r="R632" s="4"/>
      <c r="S632" s="4"/>
      <c r="U632" s="4"/>
      <c r="V632" s="4"/>
      <c r="X632" s="4"/>
      <c r="Z632" s="4"/>
    </row>
    <row r="633" spans="5:26" x14ac:dyDescent="0.3">
      <c r="E633" s="4"/>
      <c r="F633" s="4"/>
      <c r="G633" s="4"/>
      <c r="K633" s="4"/>
      <c r="N633" s="4"/>
      <c r="Q633" s="4"/>
      <c r="R633" s="4"/>
      <c r="S633" s="4"/>
      <c r="U633" s="4"/>
      <c r="V633" s="4"/>
      <c r="X633" s="4"/>
      <c r="Z633" s="4"/>
    </row>
    <row r="634" spans="5:26" x14ac:dyDescent="0.3">
      <c r="E634" s="4"/>
      <c r="F634" s="4"/>
      <c r="G634" s="4"/>
      <c r="K634" s="4"/>
      <c r="N634" s="4"/>
      <c r="Q634" s="4"/>
      <c r="R634" s="4"/>
      <c r="S634" s="4"/>
      <c r="U634" s="4"/>
      <c r="V634" s="4"/>
      <c r="X634" s="4"/>
      <c r="Z634" s="4"/>
    </row>
    <row r="635" spans="5:26" x14ac:dyDescent="0.3">
      <c r="E635" s="4"/>
      <c r="F635" s="4"/>
      <c r="G635" s="4"/>
      <c r="K635" s="4"/>
      <c r="N635" s="4"/>
      <c r="Q635" s="4"/>
      <c r="R635" s="4"/>
      <c r="S635" s="4"/>
      <c r="U635" s="4"/>
      <c r="V635" s="4"/>
      <c r="X635" s="4"/>
      <c r="Z635" s="4"/>
    </row>
    <row r="636" spans="5:26" x14ac:dyDescent="0.3">
      <c r="E636" s="4"/>
      <c r="F636" s="4"/>
      <c r="G636" s="4"/>
      <c r="K636" s="4"/>
      <c r="N636" s="4"/>
      <c r="Q636" s="4"/>
      <c r="R636" s="4"/>
      <c r="S636" s="4"/>
      <c r="U636" s="4"/>
      <c r="V636" s="4"/>
      <c r="X636" s="4"/>
      <c r="Z636" s="4"/>
    </row>
    <row r="637" spans="5:26" x14ac:dyDescent="0.3">
      <c r="E637" s="4"/>
      <c r="F637" s="4"/>
      <c r="G637" s="4"/>
      <c r="K637" s="4"/>
      <c r="N637" s="4"/>
      <c r="Q637" s="4"/>
      <c r="R637" s="4"/>
      <c r="S637" s="4"/>
      <c r="U637" s="4"/>
      <c r="V637" s="4"/>
      <c r="X637" s="4"/>
      <c r="Z637" s="4"/>
    </row>
    <row r="638" spans="5:26" x14ac:dyDescent="0.3">
      <c r="E638" s="4"/>
      <c r="F638" s="4"/>
      <c r="G638" s="4"/>
      <c r="K638" s="4"/>
      <c r="N638" s="4"/>
      <c r="Q638" s="4"/>
      <c r="R638" s="4"/>
      <c r="S638" s="4"/>
      <c r="U638" s="4"/>
      <c r="V638" s="4"/>
      <c r="X638" s="4"/>
      <c r="Z638" s="4"/>
    </row>
    <row r="639" spans="5:26" x14ac:dyDescent="0.3">
      <c r="E639" s="4"/>
      <c r="F639" s="4"/>
      <c r="G639" s="4"/>
      <c r="K639" s="4"/>
      <c r="N639" s="4"/>
      <c r="Q639" s="4"/>
      <c r="R639" s="4"/>
      <c r="S639" s="4"/>
      <c r="U639" s="4"/>
      <c r="V639" s="4"/>
      <c r="X639" s="4"/>
      <c r="Z639" s="4"/>
    </row>
    <row r="640" spans="5:26" x14ac:dyDescent="0.3">
      <c r="E640" s="4"/>
      <c r="F640" s="4"/>
      <c r="G640" s="4"/>
      <c r="K640" s="4"/>
      <c r="N640" s="4"/>
      <c r="Q640" s="4"/>
      <c r="R640" s="4"/>
      <c r="S640" s="4"/>
      <c r="U640" s="4"/>
      <c r="V640" s="4"/>
      <c r="X640" s="4"/>
      <c r="Z640" s="4"/>
    </row>
    <row r="641" spans="5:26" x14ac:dyDescent="0.3">
      <c r="E641" s="4"/>
      <c r="F641" s="4"/>
      <c r="G641" s="4"/>
      <c r="K641" s="4"/>
      <c r="N641" s="4"/>
      <c r="Q641" s="4"/>
      <c r="R641" s="4"/>
      <c r="S641" s="4"/>
      <c r="U641" s="4"/>
      <c r="V641" s="4"/>
      <c r="X641" s="4"/>
      <c r="Z641" s="4"/>
    </row>
    <row r="642" spans="5:26" x14ac:dyDescent="0.3">
      <c r="E642" s="4"/>
      <c r="F642" s="4"/>
      <c r="G642" s="4"/>
      <c r="K642" s="4"/>
      <c r="N642" s="4"/>
      <c r="Q642" s="4"/>
      <c r="R642" s="4"/>
      <c r="S642" s="4"/>
      <c r="U642" s="4"/>
      <c r="V642" s="4"/>
      <c r="X642" s="4"/>
      <c r="Z642" s="4"/>
    </row>
    <row r="643" spans="5:26" x14ac:dyDescent="0.3">
      <c r="E643" s="4"/>
      <c r="F643" s="4"/>
      <c r="G643" s="4"/>
      <c r="K643" s="4"/>
      <c r="N643" s="4"/>
      <c r="Q643" s="4"/>
      <c r="R643" s="4"/>
      <c r="S643" s="4"/>
      <c r="U643" s="4"/>
      <c r="V643" s="4"/>
      <c r="X643" s="4"/>
      <c r="Z643" s="4"/>
    </row>
    <row r="644" spans="5:26" x14ac:dyDescent="0.3">
      <c r="E644" s="4"/>
      <c r="F644" s="4"/>
      <c r="G644" s="4"/>
      <c r="K644" s="4"/>
      <c r="N644" s="4"/>
      <c r="Q644" s="4"/>
      <c r="R644" s="4"/>
      <c r="S644" s="4"/>
      <c r="U644" s="4"/>
      <c r="V644" s="4"/>
      <c r="X644" s="4"/>
      <c r="Z644" s="4"/>
    </row>
    <row r="645" spans="5:26" x14ac:dyDescent="0.3">
      <c r="E645" s="4"/>
      <c r="F645" s="4"/>
      <c r="G645" s="4"/>
      <c r="K645" s="4"/>
      <c r="N645" s="4"/>
      <c r="Q645" s="4"/>
      <c r="R645" s="4"/>
      <c r="S645" s="4"/>
      <c r="U645" s="4"/>
      <c r="V645" s="4"/>
      <c r="X645" s="4"/>
      <c r="Z645" s="4"/>
    </row>
    <row r="646" spans="5:26" x14ac:dyDescent="0.3">
      <c r="E646" s="4"/>
      <c r="F646" s="4"/>
      <c r="G646" s="4"/>
      <c r="K646" s="4"/>
      <c r="N646" s="4"/>
      <c r="Q646" s="4"/>
      <c r="R646" s="4"/>
      <c r="S646" s="4"/>
      <c r="U646" s="4"/>
      <c r="V646" s="4"/>
      <c r="X646" s="4"/>
      <c r="Z646" s="4"/>
    </row>
    <row r="647" spans="5:26" x14ac:dyDescent="0.3">
      <c r="E647" s="4"/>
      <c r="F647" s="4"/>
      <c r="G647" s="4"/>
      <c r="K647" s="4"/>
      <c r="N647" s="4"/>
      <c r="Q647" s="4"/>
      <c r="R647" s="4"/>
      <c r="S647" s="4"/>
      <c r="U647" s="4"/>
      <c r="V647" s="4"/>
      <c r="X647" s="4"/>
      <c r="Z647" s="4"/>
    </row>
    <row r="648" spans="5:26" x14ac:dyDescent="0.3">
      <c r="E648" s="4"/>
      <c r="F648" s="4"/>
      <c r="G648" s="4"/>
      <c r="K648" s="4"/>
      <c r="N648" s="4"/>
      <c r="Q648" s="4"/>
      <c r="R648" s="4"/>
      <c r="S648" s="4"/>
      <c r="U648" s="4"/>
      <c r="V648" s="4"/>
      <c r="X648" s="4"/>
      <c r="Z648" s="4"/>
    </row>
    <row r="649" spans="5:26" x14ac:dyDescent="0.3">
      <c r="E649" s="4"/>
      <c r="F649" s="4"/>
      <c r="G649" s="4"/>
      <c r="K649" s="4"/>
      <c r="N649" s="4"/>
      <c r="Q649" s="4"/>
      <c r="R649" s="4"/>
      <c r="S649" s="4"/>
      <c r="U649" s="4"/>
      <c r="V649" s="4"/>
      <c r="X649" s="4"/>
      <c r="Z649" s="4"/>
    </row>
    <row r="650" spans="5:26" x14ac:dyDescent="0.3">
      <c r="E650" s="4"/>
      <c r="F650" s="4"/>
      <c r="G650" s="4"/>
      <c r="K650" s="4"/>
      <c r="N650" s="4"/>
      <c r="Q650" s="4"/>
      <c r="R650" s="4"/>
      <c r="S650" s="4"/>
      <c r="U650" s="4"/>
      <c r="V650" s="4"/>
      <c r="X650" s="4"/>
      <c r="Z650" s="4"/>
    </row>
    <row r="651" spans="5:26" x14ac:dyDescent="0.3">
      <c r="E651" s="4"/>
      <c r="F651" s="4"/>
      <c r="G651" s="4"/>
      <c r="K651" s="4"/>
      <c r="N651" s="4"/>
      <c r="Q651" s="4"/>
      <c r="R651" s="4"/>
      <c r="S651" s="4"/>
      <c r="U651" s="4"/>
      <c r="V651" s="4"/>
      <c r="X651" s="4"/>
      <c r="Z651" s="4"/>
    </row>
    <row r="652" spans="5:26" x14ac:dyDescent="0.3">
      <c r="E652" s="4"/>
      <c r="F652" s="4"/>
      <c r="G652" s="4"/>
      <c r="K652" s="4"/>
      <c r="N652" s="4"/>
      <c r="Q652" s="4"/>
      <c r="R652" s="4"/>
      <c r="S652" s="4"/>
      <c r="U652" s="4"/>
      <c r="V652" s="4"/>
      <c r="X652" s="4"/>
      <c r="Z652" s="4"/>
    </row>
    <row r="653" spans="5:26" x14ac:dyDescent="0.3">
      <c r="E653" s="4"/>
      <c r="F653" s="4"/>
      <c r="G653" s="4"/>
      <c r="K653" s="4"/>
      <c r="N653" s="4"/>
      <c r="Q653" s="4"/>
      <c r="R653" s="4"/>
      <c r="S653" s="4"/>
      <c r="U653" s="4"/>
      <c r="V653" s="4"/>
      <c r="X653" s="4"/>
      <c r="Z653" s="4"/>
    </row>
    <row r="654" spans="5:26" x14ac:dyDescent="0.3">
      <c r="E654" s="4"/>
      <c r="F654" s="4"/>
      <c r="G654" s="4"/>
      <c r="K654" s="4"/>
      <c r="N654" s="4"/>
      <c r="Q654" s="4"/>
      <c r="R654" s="4"/>
      <c r="S654" s="4"/>
      <c r="U654" s="4"/>
      <c r="V654" s="4"/>
      <c r="X654" s="4"/>
      <c r="Z654" s="4"/>
    </row>
    <row r="655" spans="5:26" x14ac:dyDescent="0.3">
      <c r="E655" s="4"/>
      <c r="F655" s="4"/>
      <c r="G655" s="4"/>
      <c r="K655" s="4"/>
      <c r="N655" s="4"/>
      <c r="Q655" s="4"/>
      <c r="R655" s="4"/>
      <c r="S655" s="4"/>
      <c r="U655" s="4"/>
      <c r="V655" s="4"/>
      <c r="X655" s="4"/>
      <c r="Z655" s="4"/>
    </row>
    <row r="656" spans="5:26" x14ac:dyDescent="0.3">
      <c r="E656" s="4"/>
      <c r="F656" s="4"/>
      <c r="G656" s="4"/>
      <c r="K656" s="4"/>
      <c r="N656" s="4"/>
      <c r="Q656" s="4"/>
      <c r="R656" s="4"/>
      <c r="S656" s="4"/>
      <c r="U656" s="4"/>
      <c r="V656" s="4"/>
      <c r="X656" s="4"/>
      <c r="Z656" s="4"/>
    </row>
    <row r="657" spans="5:26" x14ac:dyDescent="0.3">
      <c r="E657" s="4"/>
      <c r="F657" s="4"/>
      <c r="G657" s="4"/>
      <c r="K657" s="4"/>
      <c r="N657" s="4"/>
      <c r="Q657" s="4"/>
      <c r="R657" s="4"/>
      <c r="S657" s="4"/>
      <c r="U657" s="4"/>
      <c r="V657" s="4"/>
      <c r="X657" s="4"/>
      <c r="Z657" s="4"/>
    </row>
    <row r="658" spans="5:26" x14ac:dyDescent="0.3">
      <c r="E658" s="4"/>
      <c r="F658" s="4"/>
      <c r="G658" s="4"/>
      <c r="K658" s="4"/>
      <c r="N658" s="4"/>
      <c r="Q658" s="4"/>
      <c r="R658" s="4"/>
      <c r="S658" s="4"/>
      <c r="U658" s="4"/>
      <c r="V658" s="4"/>
      <c r="X658" s="4"/>
      <c r="Z658" s="4"/>
    </row>
    <row r="659" spans="5:26" x14ac:dyDescent="0.3">
      <c r="E659" s="4"/>
      <c r="F659" s="4"/>
      <c r="G659" s="4"/>
      <c r="K659" s="4"/>
      <c r="N659" s="4"/>
      <c r="Q659" s="4"/>
      <c r="R659" s="4"/>
      <c r="S659" s="4"/>
      <c r="U659" s="4"/>
      <c r="V659" s="4"/>
      <c r="X659" s="4"/>
      <c r="Z659" s="4"/>
    </row>
    <row r="660" spans="5:26" x14ac:dyDescent="0.3">
      <c r="E660" s="4"/>
      <c r="F660" s="4"/>
      <c r="G660" s="4"/>
      <c r="K660" s="4"/>
      <c r="N660" s="4"/>
      <c r="Q660" s="4"/>
      <c r="R660" s="4"/>
      <c r="S660" s="4"/>
      <c r="U660" s="4"/>
      <c r="V660" s="4"/>
      <c r="X660" s="4"/>
      <c r="Z660" s="4"/>
    </row>
    <row r="661" spans="5:26" x14ac:dyDescent="0.3">
      <c r="E661" s="4"/>
      <c r="F661" s="4"/>
      <c r="G661" s="4"/>
      <c r="K661" s="4"/>
      <c r="N661" s="4"/>
      <c r="Q661" s="4"/>
      <c r="R661" s="4"/>
      <c r="S661" s="4"/>
      <c r="U661" s="4"/>
      <c r="V661" s="4"/>
      <c r="X661" s="4"/>
      <c r="Z661" s="4"/>
    </row>
    <row r="662" spans="5:26" x14ac:dyDescent="0.3">
      <c r="E662" s="4"/>
      <c r="F662" s="4"/>
      <c r="G662" s="4"/>
      <c r="K662" s="4"/>
      <c r="N662" s="4"/>
      <c r="Q662" s="4"/>
      <c r="R662" s="4"/>
      <c r="S662" s="4"/>
      <c r="U662" s="4"/>
      <c r="V662" s="4"/>
      <c r="X662" s="4"/>
      <c r="Z662" s="4"/>
    </row>
    <row r="663" spans="5:26" x14ac:dyDescent="0.3">
      <c r="E663" s="4"/>
      <c r="F663" s="4"/>
      <c r="G663" s="4"/>
      <c r="K663" s="4"/>
      <c r="N663" s="4"/>
      <c r="Q663" s="4"/>
      <c r="R663" s="4"/>
      <c r="S663" s="4"/>
      <c r="U663" s="4"/>
      <c r="V663" s="4"/>
      <c r="X663" s="4"/>
      <c r="Z663" s="4"/>
    </row>
    <row r="664" spans="5:26" x14ac:dyDescent="0.3">
      <c r="E664" s="4"/>
      <c r="F664" s="4"/>
      <c r="G664" s="4"/>
      <c r="K664" s="4"/>
      <c r="N664" s="4"/>
      <c r="Q664" s="4"/>
      <c r="R664" s="4"/>
      <c r="S664" s="4"/>
      <c r="U664" s="4"/>
      <c r="V664" s="4"/>
      <c r="X664" s="4"/>
      <c r="Z664" s="4"/>
    </row>
    <row r="665" spans="5:26" x14ac:dyDescent="0.3">
      <c r="E665" s="4"/>
      <c r="F665" s="4"/>
      <c r="G665" s="4"/>
      <c r="K665" s="4"/>
      <c r="N665" s="4"/>
      <c r="Q665" s="4"/>
      <c r="R665" s="4"/>
      <c r="S665" s="4"/>
      <c r="U665" s="4"/>
      <c r="V665" s="4"/>
      <c r="X665" s="4"/>
      <c r="Z665" s="4"/>
    </row>
    <row r="666" spans="5:26" x14ac:dyDescent="0.3">
      <c r="E666" s="4"/>
      <c r="F666" s="4"/>
      <c r="G666" s="4"/>
      <c r="K666" s="4"/>
      <c r="N666" s="4"/>
      <c r="Q666" s="4"/>
      <c r="R666" s="4"/>
      <c r="S666" s="4"/>
      <c r="U666" s="4"/>
      <c r="V666" s="4"/>
      <c r="X666" s="4"/>
      <c r="Z666" s="4"/>
    </row>
    <row r="667" spans="5:26" x14ac:dyDescent="0.3">
      <c r="E667" s="4"/>
      <c r="F667" s="4"/>
      <c r="G667" s="4"/>
      <c r="K667" s="4"/>
      <c r="N667" s="4"/>
      <c r="Q667" s="4"/>
      <c r="R667" s="4"/>
      <c r="S667" s="4"/>
      <c r="U667" s="4"/>
      <c r="V667" s="4"/>
      <c r="X667" s="4"/>
      <c r="Z667" s="4"/>
    </row>
    <row r="668" spans="5:26" x14ac:dyDescent="0.3">
      <c r="E668" s="4"/>
      <c r="F668" s="4"/>
      <c r="G668" s="4"/>
      <c r="K668" s="4"/>
      <c r="N668" s="4"/>
      <c r="Q668" s="4"/>
      <c r="R668" s="4"/>
      <c r="S668" s="4"/>
      <c r="U668" s="4"/>
      <c r="V668" s="4"/>
      <c r="X668" s="4"/>
      <c r="Z668" s="4"/>
    </row>
    <row r="669" spans="5:26" x14ac:dyDescent="0.3">
      <c r="E669" s="4"/>
      <c r="F669" s="4"/>
      <c r="G669" s="4"/>
      <c r="K669" s="4"/>
      <c r="N669" s="4"/>
      <c r="Q669" s="4"/>
      <c r="R669" s="4"/>
      <c r="S669" s="4"/>
      <c r="U669" s="4"/>
      <c r="V669" s="4"/>
      <c r="X669" s="4"/>
      <c r="Z669" s="4"/>
    </row>
    <row r="670" spans="5:26" x14ac:dyDescent="0.3">
      <c r="E670" s="4"/>
      <c r="F670" s="4"/>
      <c r="G670" s="4"/>
      <c r="K670" s="4"/>
      <c r="N670" s="4"/>
      <c r="Q670" s="4"/>
      <c r="R670" s="4"/>
      <c r="S670" s="4"/>
      <c r="U670" s="4"/>
      <c r="V670" s="4"/>
      <c r="X670" s="4"/>
      <c r="Z670" s="4"/>
    </row>
    <row r="671" spans="5:26" x14ac:dyDescent="0.3">
      <c r="E671" s="4"/>
      <c r="F671" s="4"/>
      <c r="G671" s="4"/>
      <c r="K671" s="4"/>
      <c r="N671" s="4"/>
      <c r="Q671" s="4"/>
      <c r="R671" s="4"/>
      <c r="S671" s="4"/>
      <c r="U671" s="4"/>
      <c r="V671" s="4"/>
      <c r="X671" s="4"/>
      <c r="Z671" s="4"/>
    </row>
    <row r="672" spans="5:26" x14ac:dyDescent="0.3">
      <c r="E672" s="4"/>
      <c r="F672" s="4"/>
      <c r="G672" s="4"/>
      <c r="K672" s="4"/>
      <c r="N672" s="4"/>
      <c r="Q672" s="4"/>
      <c r="R672" s="4"/>
      <c r="S672" s="4"/>
      <c r="U672" s="4"/>
      <c r="V672" s="4"/>
      <c r="X672" s="4"/>
      <c r="Z672" s="4"/>
    </row>
    <row r="673" spans="5:26" x14ac:dyDescent="0.3">
      <c r="E673" s="4"/>
      <c r="F673" s="4"/>
      <c r="G673" s="4"/>
      <c r="K673" s="4"/>
      <c r="N673" s="4"/>
      <c r="Q673" s="4"/>
      <c r="R673" s="4"/>
      <c r="S673" s="4"/>
      <c r="U673" s="4"/>
      <c r="V673" s="4"/>
      <c r="X673" s="4"/>
      <c r="Z673" s="4"/>
    </row>
    <row r="674" spans="5:26" x14ac:dyDescent="0.3">
      <c r="E674" s="4"/>
      <c r="F674" s="4"/>
      <c r="G674" s="4"/>
      <c r="K674" s="4"/>
      <c r="N674" s="4"/>
      <c r="Q674" s="4"/>
      <c r="R674" s="4"/>
      <c r="S674" s="4"/>
      <c r="U674" s="4"/>
      <c r="V674" s="4"/>
      <c r="X674" s="4"/>
      <c r="Z674" s="4"/>
    </row>
    <row r="675" spans="5:26" x14ac:dyDescent="0.3">
      <c r="E675" s="4"/>
      <c r="F675" s="4"/>
      <c r="G675" s="4"/>
      <c r="K675" s="4"/>
      <c r="N675" s="4"/>
      <c r="Q675" s="4"/>
      <c r="R675" s="4"/>
      <c r="S675" s="4"/>
      <c r="U675" s="4"/>
      <c r="V675" s="4"/>
      <c r="X675" s="4"/>
      <c r="Z675" s="4"/>
    </row>
    <row r="676" spans="5:26" x14ac:dyDescent="0.3">
      <c r="E676" s="4"/>
      <c r="F676" s="4"/>
      <c r="G676" s="4"/>
      <c r="K676" s="4"/>
      <c r="N676" s="4"/>
      <c r="Q676" s="4"/>
      <c r="R676" s="4"/>
      <c r="S676" s="4"/>
      <c r="U676" s="4"/>
      <c r="V676" s="4"/>
      <c r="X676" s="4"/>
      <c r="Z676" s="4"/>
    </row>
    <row r="677" spans="5:26" x14ac:dyDescent="0.3">
      <c r="E677" s="4"/>
      <c r="F677" s="4"/>
      <c r="G677" s="4"/>
      <c r="K677" s="4"/>
      <c r="N677" s="4"/>
      <c r="Q677" s="4"/>
      <c r="R677" s="4"/>
      <c r="S677" s="4"/>
      <c r="U677" s="4"/>
      <c r="V677" s="4"/>
      <c r="X677" s="4"/>
      <c r="Z677" s="4"/>
    </row>
    <row r="678" spans="5:26" x14ac:dyDescent="0.3">
      <c r="E678" s="4"/>
      <c r="F678" s="4"/>
      <c r="G678" s="4"/>
      <c r="K678" s="4"/>
      <c r="N678" s="4"/>
      <c r="Q678" s="4"/>
      <c r="R678" s="4"/>
      <c r="S678" s="4"/>
      <c r="U678" s="4"/>
      <c r="V678" s="4"/>
      <c r="X678" s="4"/>
      <c r="Z678" s="4"/>
    </row>
    <row r="679" spans="5:26" x14ac:dyDescent="0.3">
      <c r="E679" s="4"/>
      <c r="F679" s="4"/>
      <c r="G679" s="4"/>
      <c r="K679" s="4"/>
      <c r="N679" s="4"/>
      <c r="Q679" s="4"/>
      <c r="R679" s="4"/>
      <c r="S679" s="4"/>
      <c r="U679" s="4"/>
      <c r="V679" s="4"/>
      <c r="X679" s="4"/>
      <c r="Z679" s="4"/>
    </row>
    <row r="680" spans="5:26" x14ac:dyDescent="0.3">
      <c r="E680" s="4"/>
      <c r="F680" s="4"/>
      <c r="G680" s="4"/>
      <c r="K680" s="4"/>
      <c r="N680" s="4"/>
      <c r="Q680" s="4"/>
      <c r="R680" s="4"/>
      <c r="S680" s="4"/>
      <c r="U680" s="4"/>
      <c r="V680" s="4"/>
      <c r="X680" s="4"/>
      <c r="Z680" s="4"/>
    </row>
    <row r="681" spans="5:26" x14ac:dyDescent="0.3">
      <c r="E681" s="4"/>
      <c r="F681" s="4"/>
      <c r="G681" s="4"/>
      <c r="K681" s="4"/>
      <c r="N681" s="4"/>
      <c r="Q681" s="4"/>
      <c r="R681" s="4"/>
      <c r="S681" s="4"/>
      <c r="U681" s="4"/>
      <c r="V681" s="4"/>
      <c r="X681" s="4"/>
      <c r="Z681" s="4"/>
    </row>
    <row r="682" spans="5:26" x14ac:dyDescent="0.3">
      <c r="E682" s="4"/>
      <c r="F682" s="4"/>
      <c r="G682" s="4"/>
      <c r="K682" s="4"/>
      <c r="N682" s="4"/>
      <c r="Q682" s="4"/>
      <c r="R682" s="4"/>
      <c r="S682" s="4"/>
      <c r="U682" s="4"/>
      <c r="V682" s="4"/>
      <c r="X682" s="4"/>
      <c r="Z682" s="4"/>
    </row>
    <row r="683" spans="5:26" x14ac:dyDescent="0.3">
      <c r="E683" s="4"/>
      <c r="F683" s="4"/>
      <c r="G683" s="4"/>
      <c r="K683" s="4"/>
      <c r="N683" s="4"/>
      <c r="Q683" s="4"/>
      <c r="R683" s="4"/>
      <c r="S683" s="4"/>
      <c r="U683" s="4"/>
      <c r="V683" s="4"/>
      <c r="X683" s="4"/>
      <c r="Z683" s="4"/>
    </row>
    <row r="684" spans="5:26" x14ac:dyDescent="0.3">
      <c r="E684" s="4"/>
      <c r="F684" s="4"/>
      <c r="G684" s="4"/>
      <c r="K684" s="4"/>
      <c r="N684" s="4"/>
      <c r="Q684" s="4"/>
      <c r="R684" s="4"/>
      <c r="S684" s="4"/>
      <c r="U684" s="4"/>
      <c r="V684" s="4"/>
      <c r="X684" s="4"/>
      <c r="Z684" s="4"/>
    </row>
    <row r="685" spans="5:26" x14ac:dyDescent="0.3">
      <c r="E685" s="4"/>
      <c r="F685" s="4"/>
      <c r="G685" s="4"/>
      <c r="K685" s="4"/>
      <c r="N685" s="4"/>
      <c r="Q685" s="4"/>
      <c r="R685" s="4"/>
      <c r="S685" s="4"/>
      <c r="U685" s="4"/>
      <c r="V685" s="4"/>
      <c r="X685" s="4"/>
      <c r="Z685" s="4"/>
    </row>
    <row r="686" spans="5:26" x14ac:dyDescent="0.3">
      <c r="E686" s="4"/>
      <c r="F686" s="4"/>
      <c r="G686" s="4"/>
      <c r="K686" s="4"/>
      <c r="N686" s="4"/>
      <c r="Q686" s="4"/>
      <c r="R686" s="4"/>
      <c r="S686" s="4"/>
      <c r="U686" s="4"/>
      <c r="V686" s="4"/>
      <c r="X686" s="4"/>
      <c r="Z686" s="4"/>
    </row>
    <row r="687" spans="5:26" x14ac:dyDescent="0.3">
      <c r="E687" s="4"/>
      <c r="F687" s="4"/>
      <c r="G687" s="4"/>
      <c r="K687" s="4"/>
      <c r="N687" s="4"/>
      <c r="Q687" s="4"/>
      <c r="R687" s="4"/>
      <c r="S687" s="4"/>
      <c r="U687" s="4"/>
      <c r="V687" s="4"/>
      <c r="X687" s="4"/>
      <c r="Z687" s="4"/>
    </row>
    <row r="688" spans="5:26" x14ac:dyDescent="0.3">
      <c r="E688" s="4"/>
      <c r="F688" s="4"/>
      <c r="G688" s="4"/>
      <c r="K688" s="4"/>
      <c r="N688" s="4"/>
      <c r="Q688" s="4"/>
      <c r="R688" s="4"/>
      <c r="S688" s="4"/>
      <c r="U688" s="4"/>
      <c r="V688" s="4"/>
      <c r="X688" s="4"/>
      <c r="Z688" s="4"/>
    </row>
    <row r="689" spans="5:26" x14ac:dyDescent="0.3">
      <c r="E689" s="4"/>
      <c r="F689" s="4"/>
      <c r="G689" s="4"/>
      <c r="K689" s="4"/>
      <c r="N689" s="4"/>
      <c r="Q689" s="4"/>
      <c r="R689" s="4"/>
      <c r="S689" s="4"/>
      <c r="U689" s="4"/>
      <c r="V689" s="4"/>
      <c r="X689" s="4"/>
      <c r="Z689" s="4"/>
    </row>
    <row r="690" spans="5:26" x14ac:dyDescent="0.3">
      <c r="E690" s="4"/>
      <c r="F690" s="4"/>
      <c r="G690" s="4"/>
      <c r="K690" s="4"/>
      <c r="N690" s="4"/>
      <c r="Q690" s="4"/>
      <c r="R690" s="4"/>
      <c r="S690" s="4"/>
      <c r="U690" s="4"/>
      <c r="V690" s="4"/>
      <c r="X690" s="4"/>
      <c r="Z690" s="4"/>
    </row>
    <row r="691" spans="5:26" x14ac:dyDescent="0.3">
      <c r="E691" s="4"/>
      <c r="F691" s="4"/>
      <c r="G691" s="4"/>
      <c r="K691" s="4"/>
      <c r="N691" s="4"/>
      <c r="Q691" s="4"/>
      <c r="R691" s="4"/>
      <c r="S691" s="4"/>
      <c r="U691" s="4"/>
      <c r="V691" s="4"/>
      <c r="X691" s="4"/>
      <c r="Z691" s="4"/>
    </row>
    <row r="692" spans="5:26" x14ac:dyDescent="0.3">
      <c r="E692" s="4"/>
      <c r="F692" s="4"/>
      <c r="G692" s="4"/>
      <c r="K692" s="4"/>
      <c r="N692" s="4"/>
      <c r="Q692" s="4"/>
      <c r="R692" s="4"/>
      <c r="S692" s="4"/>
      <c r="U692" s="4"/>
      <c r="V692" s="4"/>
      <c r="X692" s="4"/>
      <c r="Z692" s="4"/>
    </row>
    <row r="693" spans="5:26" x14ac:dyDescent="0.3">
      <c r="E693" s="4"/>
      <c r="F693" s="4"/>
      <c r="G693" s="4"/>
      <c r="K693" s="4"/>
      <c r="N693" s="4"/>
      <c r="Q693" s="4"/>
      <c r="R693" s="4"/>
      <c r="S693" s="4"/>
      <c r="U693" s="4"/>
      <c r="V693" s="4"/>
      <c r="X693" s="4"/>
      <c r="Z693" s="4"/>
    </row>
    <row r="694" spans="5:26" x14ac:dyDescent="0.3">
      <c r="E694" s="4"/>
      <c r="F694" s="4"/>
      <c r="G694" s="4"/>
      <c r="K694" s="4"/>
      <c r="N694" s="4"/>
      <c r="Q694" s="4"/>
      <c r="R694" s="4"/>
      <c r="S694" s="4"/>
      <c r="U694" s="4"/>
      <c r="V694" s="4"/>
      <c r="X694" s="4"/>
      <c r="Z694" s="4"/>
    </row>
    <row r="695" spans="5:26" x14ac:dyDescent="0.3">
      <c r="E695" s="4"/>
      <c r="F695" s="4"/>
      <c r="G695" s="4"/>
      <c r="K695" s="4"/>
      <c r="N695" s="4"/>
      <c r="Q695" s="4"/>
      <c r="R695" s="4"/>
      <c r="S695" s="4"/>
      <c r="U695" s="4"/>
      <c r="V695" s="4"/>
      <c r="X695" s="4"/>
      <c r="Z695" s="4"/>
    </row>
    <row r="696" spans="5:26" x14ac:dyDescent="0.3">
      <c r="E696" s="4"/>
      <c r="F696" s="4"/>
      <c r="G696" s="4"/>
      <c r="K696" s="4"/>
      <c r="N696" s="4"/>
      <c r="Q696" s="4"/>
      <c r="R696" s="4"/>
      <c r="S696" s="4"/>
      <c r="U696" s="4"/>
      <c r="V696" s="4"/>
      <c r="X696" s="4"/>
      <c r="Z696" s="4"/>
    </row>
    <row r="697" spans="5:26" x14ac:dyDescent="0.3">
      <c r="E697" s="4"/>
      <c r="F697" s="4"/>
      <c r="G697" s="4"/>
      <c r="K697" s="4"/>
      <c r="N697" s="4"/>
      <c r="Q697" s="4"/>
      <c r="R697" s="4"/>
      <c r="S697" s="4"/>
      <c r="U697" s="4"/>
      <c r="V697" s="4"/>
      <c r="X697" s="4"/>
      <c r="Z697" s="4"/>
    </row>
    <row r="698" spans="5:26" x14ac:dyDescent="0.3">
      <c r="E698" s="4"/>
      <c r="F698" s="4"/>
      <c r="G698" s="4"/>
      <c r="K698" s="4"/>
      <c r="N698" s="4"/>
      <c r="Q698" s="4"/>
      <c r="R698" s="4"/>
      <c r="S698" s="4"/>
      <c r="U698" s="4"/>
      <c r="V698" s="4"/>
      <c r="X698" s="4"/>
      <c r="Z698" s="4"/>
    </row>
    <row r="699" spans="5:26" x14ac:dyDescent="0.3">
      <c r="E699" s="4"/>
      <c r="F699" s="4"/>
      <c r="G699" s="4"/>
      <c r="K699" s="4"/>
      <c r="N699" s="4"/>
      <c r="Q699" s="4"/>
      <c r="R699" s="4"/>
      <c r="S699" s="4"/>
      <c r="U699" s="4"/>
      <c r="V699" s="4"/>
      <c r="X699" s="4"/>
      <c r="Z699" s="4"/>
    </row>
    <row r="700" spans="5:26" x14ac:dyDescent="0.3">
      <c r="E700" s="4"/>
      <c r="F700" s="4"/>
      <c r="G700" s="4"/>
      <c r="K700" s="4"/>
      <c r="N700" s="4"/>
      <c r="Q700" s="4"/>
      <c r="R700" s="4"/>
      <c r="S700" s="4"/>
      <c r="U700" s="4"/>
      <c r="V700" s="4"/>
      <c r="X700" s="4"/>
      <c r="Z700" s="4"/>
    </row>
    <row r="701" spans="5:26" x14ac:dyDescent="0.3">
      <c r="E701" s="4"/>
      <c r="F701" s="4"/>
      <c r="G701" s="4"/>
      <c r="K701" s="4"/>
      <c r="N701" s="4"/>
      <c r="Q701" s="4"/>
      <c r="R701" s="4"/>
      <c r="S701" s="4"/>
      <c r="U701" s="4"/>
      <c r="V701" s="4"/>
      <c r="X701" s="4"/>
      <c r="Z701" s="4"/>
    </row>
    <row r="702" spans="5:26" x14ac:dyDescent="0.3">
      <c r="E702" s="4"/>
      <c r="F702" s="4"/>
      <c r="G702" s="4"/>
      <c r="K702" s="4"/>
      <c r="N702" s="4"/>
      <c r="Q702" s="4"/>
      <c r="R702" s="4"/>
      <c r="S702" s="4"/>
      <c r="U702" s="4"/>
      <c r="V702" s="4"/>
      <c r="X702" s="4"/>
      <c r="Z702" s="4"/>
    </row>
    <row r="703" spans="5:26" x14ac:dyDescent="0.3">
      <c r="E703" s="4"/>
      <c r="F703" s="4"/>
      <c r="G703" s="4"/>
      <c r="K703" s="4"/>
      <c r="N703" s="4"/>
      <c r="Q703" s="4"/>
      <c r="R703" s="4"/>
      <c r="S703" s="4"/>
      <c r="U703" s="4"/>
      <c r="V703" s="4"/>
      <c r="X703" s="4"/>
      <c r="Z703" s="4"/>
    </row>
    <row r="704" spans="5:26" x14ac:dyDescent="0.3">
      <c r="E704" s="4"/>
      <c r="F704" s="4"/>
      <c r="G704" s="4"/>
      <c r="K704" s="4"/>
      <c r="N704" s="4"/>
      <c r="Q704" s="4"/>
      <c r="R704" s="4"/>
      <c r="S704" s="4"/>
      <c r="U704" s="4"/>
      <c r="V704" s="4"/>
      <c r="X704" s="4"/>
      <c r="Z704" s="4"/>
    </row>
    <row r="705" spans="5:26" x14ac:dyDescent="0.3">
      <c r="E705" s="4"/>
      <c r="F705" s="4"/>
      <c r="G705" s="4"/>
      <c r="K705" s="4"/>
      <c r="N705" s="4"/>
      <c r="Q705" s="4"/>
      <c r="R705" s="4"/>
      <c r="S705" s="4"/>
      <c r="U705" s="4"/>
      <c r="V705" s="4"/>
      <c r="X705" s="4"/>
      <c r="Z705" s="4"/>
    </row>
    <row r="706" spans="5:26" x14ac:dyDescent="0.3">
      <c r="E706" s="4"/>
      <c r="F706" s="4"/>
      <c r="G706" s="4"/>
      <c r="K706" s="4"/>
      <c r="N706" s="4"/>
      <c r="Q706" s="4"/>
      <c r="R706" s="4"/>
      <c r="S706" s="4"/>
      <c r="U706" s="4"/>
      <c r="V706" s="4"/>
      <c r="X706" s="4"/>
      <c r="Z706" s="4"/>
    </row>
    <row r="707" spans="5:26" x14ac:dyDescent="0.3">
      <c r="E707" s="4"/>
      <c r="F707" s="4"/>
      <c r="G707" s="4"/>
      <c r="K707" s="4"/>
      <c r="N707" s="4"/>
      <c r="Q707" s="4"/>
      <c r="R707" s="4"/>
      <c r="S707" s="4"/>
      <c r="U707" s="4"/>
      <c r="V707" s="4"/>
      <c r="X707" s="4"/>
      <c r="Z707" s="4"/>
    </row>
    <row r="708" spans="5:26" x14ac:dyDescent="0.3">
      <c r="E708" s="4"/>
      <c r="F708" s="4"/>
      <c r="G708" s="4"/>
      <c r="K708" s="4"/>
      <c r="N708" s="4"/>
      <c r="Q708" s="4"/>
      <c r="R708" s="4"/>
      <c r="S708" s="4"/>
      <c r="U708" s="4"/>
      <c r="V708" s="4"/>
      <c r="X708" s="4"/>
      <c r="Z708" s="4"/>
    </row>
    <row r="709" spans="5:26" x14ac:dyDescent="0.3">
      <c r="E709" s="4"/>
      <c r="F709" s="4"/>
      <c r="G709" s="4"/>
      <c r="K709" s="4"/>
      <c r="N709" s="4"/>
      <c r="Q709" s="4"/>
      <c r="R709" s="4"/>
      <c r="S709" s="4"/>
      <c r="U709" s="4"/>
      <c r="V709" s="4"/>
      <c r="X709" s="4"/>
      <c r="Z709" s="4"/>
    </row>
    <row r="710" spans="5:26" x14ac:dyDescent="0.3">
      <c r="E710" s="4"/>
      <c r="F710" s="4"/>
      <c r="G710" s="4"/>
      <c r="K710" s="4"/>
      <c r="N710" s="4"/>
      <c r="Q710" s="4"/>
      <c r="R710" s="4"/>
      <c r="S710" s="4"/>
      <c r="U710" s="4"/>
      <c r="V710" s="4"/>
      <c r="X710" s="4"/>
      <c r="Z710" s="4"/>
    </row>
    <row r="711" spans="5:26" x14ac:dyDescent="0.3">
      <c r="E711" s="4"/>
      <c r="F711" s="4"/>
      <c r="G711" s="4"/>
      <c r="K711" s="4"/>
      <c r="N711" s="4"/>
      <c r="Q711" s="4"/>
      <c r="R711" s="4"/>
      <c r="S711" s="4"/>
      <c r="U711" s="4"/>
      <c r="V711" s="4"/>
      <c r="X711" s="4"/>
      <c r="Z711" s="4"/>
    </row>
    <row r="712" spans="5:26" x14ac:dyDescent="0.3">
      <c r="E712" s="4"/>
      <c r="F712" s="4"/>
      <c r="G712" s="4"/>
      <c r="K712" s="4"/>
      <c r="N712" s="4"/>
      <c r="Q712" s="4"/>
      <c r="R712" s="4"/>
      <c r="S712" s="4"/>
      <c r="U712" s="4"/>
      <c r="V712" s="4"/>
      <c r="X712" s="4"/>
      <c r="Z712" s="4"/>
    </row>
    <row r="713" spans="5:26" x14ac:dyDescent="0.3">
      <c r="E713" s="4"/>
      <c r="F713" s="4"/>
      <c r="G713" s="4"/>
      <c r="K713" s="4"/>
      <c r="N713" s="4"/>
      <c r="Q713" s="4"/>
      <c r="R713" s="4"/>
      <c r="S713" s="4"/>
      <c r="U713" s="4"/>
      <c r="V713" s="4"/>
      <c r="X713" s="4"/>
      <c r="Z713" s="4"/>
    </row>
    <row r="714" spans="5:26" x14ac:dyDescent="0.3">
      <c r="E714" s="4"/>
      <c r="F714" s="4"/>
      <c r="G714" s="4"/>
      <c r="K714" s="4"/>
      <c r="N714" s="4"/>
      <c r="Q714" s="4"/>
      <c r="R714" s="4"/>
      <c r="S714" s="4"/>
      <c r="U714" s="4"/>
      <c r="V714" s="4"/>
      <c r="X714" s="4"/>
      <c r="Z714" s="4"/>
    </row>
    <row r="715" spans="5:26" x14ac:dyDescent="0.3">
      <c r="E715" s="4"/>
      <c r="F715" s="4"/>
      <c r="G715" s="4"/>
      <c r="K715" s="4"/>
      <c r="N715" s="4"/>
      <c r="Q715" s="4"/>
      <c r="R715" s="4"/>
      <c r="S715" s="4"/>
      <c r="U715" s="4"/>
      <c r="V715" s="4"/>
      <c r="X715" s="4"/>
      <c r="Z715" s="4"/>
    </row>
    <row r="716" spans="5:26" x14ac:dyDescent="0.3">
      <c r="E716" s="4"/>
      <c r="F716" s="4"/>
      <c r="G716" s="4"/>
      <c r="K716" s="4"/>
      <c r="N716" s="4"/>
      <c r="Q716" s="4"/>
      <c r="R716" s="4"/>
      <c r="S716" s="4"/>
      <c r="U716" s="4"/>
      <c r="V716" s="4"/>
      <c r="X716" s="4"/>
      <c r="Z716" s="4"/>
    </row>
    <row r="717" spans="5:26" x14ac:dyDescent="0.3">
      <c r="E717" s="4"/>
      <c r="F717" s="4"/>
      <c r="G717" s="4"/>
      <c r="K717" s="4"/>
      <c r="N717" s="4"/>
      <c r="Q717" s="4"/>
      <c r="R717" s="4"/>
      <c r="S717" s="4"/>
      <c r="U717" s="4"/>
      <c r="V717" s="4"/>
      <c r="X717" s="4"/>
      <c r="Z717" s="4"/>
    </row>
    <row r="718" spans="5:26" x14ac:dyDescent="0.3">
      <c r="E718" s="4"/>
      <c r="F718" s="4"/>
      <c r="G718" s="4"/>
      <c r="K718" s="4"/>
      <c r="N718" s="4"/>
      <c r="Q718" s="4"/>
      <c r="R718" s="4"/>
      <c r="S718" s="4"/>
      <c r="U718" s="4"/>
      <c r="V718" s="4"/>
      <c r="X718" s="4"/>
      <c r="Z718" s="4"/>
    </row>
    <row r="719" spans="5:26" x14ac:dyDescent="0.3">
      <c r="E719" s="4"/>
      <c r="F719" s="4"/>
      <c r="G719" s="4"/>
      <c r="K719" s="4"/>
      <c r="N719" s="4"/>
      <c r="Q719" s="4"/>
      <c r="R719" s="4"/>
      <c r="S719" s="4"/>
      <c r="U719" s="4"/>
      <c r="V719" s="4"/>
      <c r="X719" s="4"/>
      <c r="Z719" s="4"/>
    </row>
    <row r="720" spans="5:26" x14ac:dyDescent="0.3">
      <c r="E720" s="4"/>
      <c r="F720" s="4"/>
      <c r="G720" s="4"/>
      <c r="K720" s="4"/>
      <c r="N720" s="4"/>
      <c r="Q720" s="4"/>
      <c r="R720" s="4"/>
      <c r="S720" s="4"/>
      <c r="U720" s="4"/>
      <c r="V720" s="4"/>
      <c r="X720" s="4"/>
      <c r="Z720" s="4"/>
    </row>
    <row r="721" spans="5:26" x14ac:dyDescent="0.3">
      <c r="E721" s="4"/>
      <c r="F721" s="4"/>
      <c r="G721" s="4"/>
      <c r="K721" s="4"/>
      <c r="N721" s="4"/>
      <c r="Q721" s="4"/>
      <c r="R721" s="4"/>
      <c r="S721" s="4"/>
      <c r="U721" s="4"/>
      <c r="V721" s="4"/>
      <c r="X721" s="4"/>
      <c r="Z721" s="4"/>
    </row>
    <row r="722" spans="5:26" x14ac:dyDescent="0.3">
      <c r="E722" s="4"/>
      <c r="F722" s="4"/>
      <c r="G722" s="4"/>
      <c r="K722" s="4"/>
      <c r="N722" s="4"/>
      <c r="Q722" s="4"/>
      <c r="R722" s="4"/>
      <c r="S722" s="4"/>
      <c r="U722" s="4"/>
      <c r="V722" s="4"/>
      <c r="X722" s="4"/>
      <c r="Z722" s="4"/>
    </row>
    <row r="723" spans="5:26" x14ac:dyDescent="0.3">
      <c r="E723" s="4"/>
      <c r="F723" s="4"/>
      <c r="G723" s="4"/>
      <c r="K723" s="4"/>
      <c r="N723" s="4"/>
      <c r="Q723" s="4"/>
      <c r="R723" s="4"/>
      <c r="S723" s="4"/>
      <c r="U723" s="4"/>
      <c r="V723" s="4"/>
      <c r="X723" s="4"/>
      <c r="Z723" s="4"/>
    </row>
    <row r="724" spans="5:26" x14ac:dyDescent="0.3">
      <c r="E724" s="4"/>
      <c r="F724" s="4"/>
      <c r="G724" s="4"/>
      <c r="K724" s="4"/>
      <c r="N724" s="4"/>
      <c r="Q724" s="4"/>
      <c r="R724" s="4"/>
      <c r="S724" s="4"/>
      <c r="U724" s="4"/>
      <c r="V724" s="4"/>
      <c r="X724" s="4"/>
      <c r="Z724" s="4"/>
    </row>
    <row r="725" spans="5:26" x14ac:dyDescent="0.3">
      <c r="E725" s="4"/>
      <c r="F725" s="4"/>
      <c r="G725" s="4"/>
      <c r="K725" s="4"/>
      <c r="N725" s="4"/>
      <c r="Q725" s="4"/>
      <c r="R725" s="4"/>
      <c r="S725" s="4"/>
      <c r="U725" s="4"/>
      <c r="V725" s="4"/>
      <c r="X725" s="4"/>
      <c r="Z725" s="4"/>
    </row>
    <row r="726" spans="5:26" x14ac:dyDescent="0.3">
      <c r="E726" s="4"/>
      <c r="F726" s="4"/>
      <c r="G726" s="4"/>
      <c r="K726" s="4"/>
      <c r="N726" s="4"/>
      <c r="Q726" s="4"/>
      <c r="R726" s="4"/>
      <c r="S726" s="4"/>
      <c r="U726" s="4"/>
      <c r="V726" s="4"/>
      <c r="X726" s="4"/>
      <c r="Z726" s="4"/>
    </row>
    <row r="727" spans="5:26" x14ac:dyDescent="0.3">
      <c r="E727" s="4"/>
      <c r="F727" s="4"/>
      <c r="G727" s="4"/>
      <c r="K727" s="4"/>
      <c r="N727" s="4"/>
      <c r="Q727" s="4"/>
      <c r="R727" s="4"/>
      <c r="S727" s="4"/>
      <c r="U727" s="4"/>
      <c r="V727" s="4"/>
      <c r="X727" s="4"/>
      <c r="Z727" s="4"/>
    </row>
    <row r="728" spans="5:26" x14ac:dyDescent="0.3">
      <c r="E728" s="4"/>
      <c r="F728" s="4"/>
      <c r="G728" s="4"/>
      <c r="K728" s="4"/>
      <c r="N728" s="4"/>
      <c r="Q728" s="4"/>
      <c r="R728" s="4"/>
      <c r="S728" s="4"/>
      <c r="U728" s="4"/>
      <c r="V728" s="4"/>
      <c r="X728" s="4"/>
      <c r="Z728" s="4"/>
    </row>
    <row r="729" spans="5:26" x14ac:dyDescent="0.3">
      <c r="E729" s="4"/>
      <c r="F729" s="4"/>
      <c r="G729" s="4"/>
      <c r="K729" s="4"/>
      <c r="N729" s="4"/>
      <c r="Q729" s="4"/>
      <c r="R729" s="4"/>
      <c r="S729" s="4"/>
      <c r="U729" s="4"/>
      <c r="V729" s="4"/>
      <c r="X729" s="4"/>
      <c r="Z729" s="4"/>
    </row>
    <row r="730" spans="5:26" x14ac:dyDescent="0.3">
      <c r="E730" s="4"/>
      <c r="F730" s="4"/>
      <c r="G730" s="4"/>
      <c r="K730" s="4"/>
      <c r="N730" s="4"/>
      <c r="Q730" s="4"/>
      <c r="R730" s="4"/>
      <c r="S730" s="4"/>
      <c r="U730" s="4"/>
      <c r="V730" s="4"/>
      <c r="X730" s="4"/>
      <c r="Z730" s="4"/>
    </row>
    <row r="731" spans="5:26" x14ac:dyDescent="0.3">
      <c r="E731" s="4"/>
      <c r="F731" s="4"/>
      <c r="G731" s="4"/>
      <c r="K731" s="4"/>
      <c r="N731" s="4"/>
      <c r="Q731" s="4"/>
      <c r="R731" s="4"/>
      <c r="S731" s="4"/>
      <c r="U731" s="4"/>
      <c r="V731" s="4"/>
      <c r="X731" s="4"/>
      <c r="Z731" s="4"/>
    </row>
    <row r="732" spans="5:26" x14ac:dyDescent="0.3">
      <c r="E732" s="4"/>
      <c r="F732" s="4"/>
      <c r="G732" s="4"/>
      <c r="K732" s="4"/>
      <c r="N732" s="4"/>
      <c r="Q732" s="4"/>
      <c r="R732" s="4"/>
      <c r="S732" s="4"/>
      <c r="U732" s="4"/>
      <c r="V732" s="4"/>
      <c r="X732" s="4"/>
      <c r="Z732" s="4"/>
    </row>
    <row r="733" spans="5:26" x14ac:dyDescent="0.3">
      <c r="E733" s="4"/>
      <c r="F733" s="4"/>
      <c r="G733" s="4"/>
      <c r="K733" s="4"/>
      <c r="N733" s="4"/>
      <c r="Q733" s="4"/>
      <c r="R733" s="4"/>
      <c r="S733" s="4"/>
      <c r="U733" s="4"/>
      <c r="V733" s="4"/>
      <c r="X733" s="4"/>
      <c r="Z733" s="4"/>
    </row>
    <row r="734" spans="5:26" x14ac:dyDescent="0.3">
      <c r="E734" s="4"/>
      <c r="F734" s="4"/>
      <c r="G734" s="4"/>
      <c r="K734" s="4"/>
      <c r="N734" s="4"/>
      <c r="Q734" s="4"/>
      <c r="R734" s="4"/>
      <c r="S734" s="4"/>
      <c r="U734" s="4"/>
      <c r="V734" s="4"/>
      <c r="X734" s="4"/>
      <c r="Z734" s="4"/>
    </row>
    <row r="735" spans="5:26" x14ac:dyDescent="0.3">
      <c r="E735" s="4"/>
      <c r="F735" s="4"/>
      <c r="G735" s="4"/>
      <c r="K735" s="4"/>
      <c r="N735" s="4"/>
      <c r="Q735" s="4"/>
      <c r="R735" s="4"/>
      <c r="S735" s="4"/>
      <c r="U735" s="4"/>
      <c r="V735" s="4"/>
      <c r="X735" s="4"/>
      <c r="Z735" s="4"/>
    </row>
    <row r="736" spans="5:26" x14ac:dyDescent="0.3">
      <c r="E736" s="4"/>
      <c r="F736" s="4"/>
      <c r="G736" s="4"/>
      <c r="K736" s="4"/>
      <c r="N736" s="4"/>
      <c r="Q736" s="4"/>
      <c r="R736" s="4"/>
      <c r="S736" s="4"/>
      <c r="U736" s="4"/>
      <c r="V736" s="4"/>
      <c r="X736" s="4"/>
      <c r="Z736" s="4"/>
    </row>
    <row r="737" spans="5:26" x14ac:dyDescent="0.3">
      <c r="E737" s="4"/>
      <c r="F737" s="4"/>
      <c r="G737" s="4"/>
      <c r="K737" s="4"/>
      <c r="N737" s="4"/>
      <c r="Q737" s="4"/>
      <c r="R737" s="4"/>
      <c r="S737" s="4"/>
      <c r="U737" s="4"/>
      <c r="V737" s="4"/>
      <c r="X737" s="4"/>
      <c r="Z737" s="4"/>
    </row>
    <row r="738" spans="5:26" x14ac:dyDescent="0.3">
      <c r="E738" s="4"/>
      <c r="F738" s="4"/>
      <c r="G738" s="4"/>
      <c r="K738" s="4"/>
      <c r="N738" s="4"/>
      <c r="Q738" s="4"/>
      <c r="R738" s="4"/>
      <c r="S738" s="4"/>
      <c r="U738" s="4"/>
      <c r="V738" s="4"/>
      <c r="X738" s="4"/>
      <c r="Z738" s="4"/>
    </row>
    <row r="739" spans="5:26" x14ac:dyDescent="0.3">
      <c r="E739" s="4"/>
      <c r="F739" s="4"/>
      <c r="G739" s="4"/>
      <c r="K739" s="4"/>
      <c r="N739" s="4"/>
      <c r="Q739" s="4"/>
      <c r="R739" s="4"/>
      <c r="S739" s="4"/>
      <c r="U739" s="4"/>
      <c r="V739" s="4"/>
      <c r="X739" s="4"/>
      <c r="Z739" s="4"/>
    </row>
    <row r="740" spans="5:26" x14ac:dyDescent="0.3">
      <c r="E740" s="4"/>
      <c r="F740" s="4"/>
      <c r="G740" s="4"/>
      <c r="K740" s="4"/>
      <c r="N740" s="4"/>
      <c r="Q740" s="4"/>
      <c r="R740" s="4"/>
      <c r="S740" s="4"/>
      <c r="U740" s="4"/>
      <c r="V740" s="4"/>
      <c r="X740" s="4"/>
      <c r="Z740" s="4"/>
    </row>
    <row r="741" spans="5:26" x14ac:dyDescent="0.3">
      <c r="E741" s="4"/>
      <c r="F741" s="4"/>
      <c r="G741" s="4"/>
      <c r="K741" s="4"/>
      <c r="N741" s="4"/>
      <c r="Q741" s="4"/>
      <c r="R741" s="4"/>
      <c r="S741" s="4"/>
      <c r="U741" s="4"/>
      <c r="V741" s="4"/>
      <c r="X741" s="4"/>
      <c r="Z741" s="4"/>
    </row>
    <row r="742" spans="5:26" x14ac:dyDescent="0.3">
      <c r="E742" s="4"/>
      <c r="F742" s="4"/>
      <c r="G742" s="4"/>
      <c r="K742" s="4"/>
      <c r="N742" s="4"/>
      <c r="Q742" s="4"/>
      <c r="R742" s="4"/>
      <c r="S742" s="4"/>
      <c r="U742" s="4"/>
      <c r="V742" s="4"/>
      <c r="X742" s="4"/>
      <c r="Z742" s="4"/>
    </row>
    <row r="743" spans="5:26" x14ac:dyDescent="0.3">
      <c r="E743" s="4"/>
      <c r="F743" s="4"/>
      <c r="G743" s="4"/>
      <c r="K743" s="4"/>
      <c r="N743" s="4"/>
      <c r="Q743" s="4"/>
      <c r="R743" s="4"/>
      <c r="S743" s="4"/>
      <c r="U743" s="4"/>
      <c r="V743" s="4"/>
      <c r="X743" s="4"/>
      <c r="Z743" s="4"/>
    </row>
    <row r="744" spans="5:26" x14ac:dyDescent="0.3">
      <c r="E744" s="4"/>
      <c r="F744" s="4"/>
      <c r="G744" s="4"/>
      <c r="K744" s="4"/>
      <c r="N744" s="4"/>
      <c r="Q744" s="4"/>
      <c r="R744" s="4"/>
      <c r="S744" s="4"/>
      <c r="U744" s="4"/>
      <c r="V744" s="4"/>
      <c r="X744" s="4"/>
      <c r="Z744" s="4"/>
    </row>
    <row r="745" spans="5:26" x14ac:dyDescent="0.3">
      <c r="E745" s="4"/>
      <c r="F745" s="4"/>
      <c r="G745" s="4"/>
      <c r="K745" s="4"/>
      <c r="N745" s="4"/>
      <c r="Q745" s="4"/>
      <c r="R745" s="4"/>
      <c r="S745" s="4"/>
      <c r="U745" s="4"/>
      <c r="V745" s="4"/>
      <c r="X745" s="4"/>
      <c r="Z745" s="4"/>
    </row>
    <row r="746" spans="5:26" x14ac:dyDescent="0.3">
      <c r="E746" s="4"/>
      <c r="F746" s="4"/>
      <c r="G746" s="4"/>
      <c r="K746" s="4"/>
      <c r="N746" s="4"/>
      <c r="Q746" s="4"/>
      <c r="R746" s="4"/>
      <c r="S746" s="4"/>
      <c r="U746" s="4"/>
      <c r="V746" s="4"/>
      <c r="X746" s="4"/>
      <c r="Z746" s="4"/>
    </row>
    <row r="747" spans="5:26" x14ac:dyDescent="0.3">
      <c r="E747" s="4"/>
      <c r="F747" s="4"/>
      <c r="G747" s="4"/>
      <c r="K747" s="4"/>
      <c r="N747" s="4"/>
      <c r="Q747" s="4"/>
      <c r="R747" s="4"/>
      <c r="S747" s="4"/>
      <c r="U747" s="4"/>
      <c r="V747" s="4"/>
      <c r="X747" s="4"/>
      <c r="Z747" s="4"/>
    </row>
    <row r="748" spans="5:26" x14ac:dyDescent="0.3">
      <c r="E748" s="4"/>
      <c r="F748" s="4"/>
      <c r="G748" s="4"/>
      <c r="K748" s="4"/>
      <c r="N748" s="4"/>
      <c r="Q748" s="4"/>
      <c r="R748" s="4"/>
      <c r="S748" s="4"/>
      <c r="U748" s="4"/>
      <c r="V748" s="4"/>
      <c r="X748" s="4"/>
      <c r="Z748" s="4"/>
    </row>
    <row r="749" spans="5:26" x14ac:dyDescent="0.3">
      <c r="E749" s="4"/>
      <c r="F749" s="4"/>
      <c r="G749" s="4"/>
      <c r="K749" s="4"/>
      <c r="N749" s="4"/>
      <c r="Q749" s="4"/>
      <c r="R749" s="4"/>
      <c r="S749" s="4"/>
      <c r="U749" s="4"/>
      <c r="V749" s="4"/>
      <c r="X749" s="4"/>
      <c r="Z749" s="4"/>
    </row>
    <row r="750" spans="5:26" x14ac:dyDescent="0.3">
      <c r="E750" s="4"/>
      <c r="F750" s="4"/>
      <c r="G750" s="4"/>
      <c r="K750" s="4"/>
      <c r="N750" s="4"/>
      <c r="Q750" s="4"/>
      <c r="R750" s="4"/>
      <c r="S750" s="4"/>
      <c r="U750" s="4"/>
      <c r="V750" s="4"/>
      <c r="X750" s="4"/>
      <c r="Z750" s="4"/>
    </row>
    <row r="751" spans="5:26" x14ac:dyDescent="0.3">
      <c r="E751" s="4"/>
      <c r="F751" s="4"/>
      <c r="G751" s="4"/>
      <c r="K751" s="4"/>
      <c r="N751" s="4"/>
      <c r="Q751" s="4"/>
      <c r="R751" s="4"/>
      <c r="S751" s="4"/>
      <c r="U751" s="4"/>
      <c r="V751" s="4"/>
      <c r="X751" s="4"/>
      <c r="Z751" s="4"/>
    </row>
    <row r="752" spans="5:26" x14ac:dyDescent="0.3">
      <c r="E752" s="4"/>
      <c r="F752" s="4"/>
      <c r="G752" s="4"/>
      <c r="K752" s="4"/>
      <c r="N752" s="4"/>
      <c r="Q752" s="4"/>
      <c r="R752" s="4"/>
      <c r="S752" s="4"/>
      <c r="U752" s="4"/>
      <c r="V752" s="4"/>
      <c r="X752" s="4"/>
      <c r="Z752" s="4"/>
    </row>
    <row r="753" spans="5:26" x14ac:dyDescent="0.3">
      <c r="E753" s="4"/>
      <c r="F753" s="4"/>
      <c r="G753" s="4"/>
      <c r="K753" s="4"/>
      <c r="N753" s="4"/>
      <c r="Q753" s="4"/>
      <c r="R753" s="4"/>
      <c r="S753" s="4"/>
      <c r="U753" s="4"/>
      <c r="V753" s="4"/>
      <c r="X753" s="4"/>
      <c r="Z753" s="4"/>
    </row>
    <row r="754" spans="5:26" x14ac:dyDescent="0.3">
      <c r="E754" s="4"/>
      <c r="F754" s="4"/>
      <c r="G754" s="4"/>
      <c r="K754" s="4"/>
      <c r="N754" s="4"/>
      <c r="Q754" s="4"/>
      <c r="R754" s="4"/>
      <c r="S754" s="4"/>
      <c r="U754" s="4"/>
      <c r="V754" s="4"/>
      <c r="X754" s="4"/>
      <c r="Z754" s="4"/>
    </row>
    <row r="755" spans="5:26" x14ac:dyDescent="0.3">
      <c r="E755" s="4"/>
      <c r="F755" s="4"/>
      <c r="G755" s="4"/>
      <c r="K755" s="4"/>
      <c r="N755" s="4"/>
      <c r="Q755" s="4"/>
      <c r="R755" s="4"/>
      <c r="S755" s="4"/>
      <c r="U755" s="4"/>
      <c r="V755" s="4"/>
      <c r="X755" s="4"/>
      <c r="Z755" s="4"/>
    </row>
    <row r="756" spans="5:26" x14ac:dyDescent="0.3">
      <c r="E756" s="4"/>
      <c r="F756" s="4"/>
      <c r="G756" s="4"/>
      <c r="K756" s="4"/>
      <c r="N756" s="4"/>
      <c r="Q756" s="4"/>
      <c r="R756" s="4"/>
      <c r="S756" s="4"/>
      <c r="U756" s="4"/>
      <c r="V756" s="4"/>
      <c r="X756" s="4"/>
      <c r="Z756" s="4"/>
    </row>
    <row r="757" spans="5:26" x14ac:dyDescent="0.3">
      <c r="E757" s="4"/>
      <c r="F757" s="4"/>
      <c r="G757" s="4"/>
      <c r="K757" s="4"/>
      <c r="N757" s="4"/>
      <c r="Q757" s="4"/>
      <c r="R757" s="4"/>
      <c r="S757" s="4"/>
      <c r="U757" s="4"/>
      <c r="V757" s="4"/>
      <c r="X757" s="4"/>
      <c r="Z757" s="4"/>
    </row>
    <row r="758" spans="5:26" x14ac:dyDescent="0.3">
      <c r="E758" s="4"/>
      <c r="F758" s="4"/>
      <c r="G758" s="4"/>
      <c r="K758" s="4"/>
      <c r="N758" s="4"/>
      <c r="Q758" s="4"/>
      <c r="R758" s="4"/>
      <c r="S758" s="4"/>
      <c r="U758" s="4"/>
      <c r="V758" s="4"/>
      <c r="X758" s="4"/>
      <c r="Z758" s="4"/>
    </row>
    <row r="759" spans="5:26" x14ac:dyDescent="0.3">
      <c r="E759" s="4"/>
      <c r="F759" s="4"/>
      <c r="G759" s="4"/>
      <c r="K759" s="4"/>
      <c r="N759" s="4"/>
      <c r="Q759" s="4"/>
      <c r="R759" s="4"/>
      <c r="S759" s="4"/>
      <c r="U759" s="4"/>
      <c r="V759" s="4"/>
      <c r="X759" s="4"/>
      <c r="Z759" s="4"/>
    </row>
    <row r="760" spans="5:26" x14ac:dyDescent="0.3">
      <c r="E760" s="4"/>
      <c r="F760" s="4"/>
      <c r="G760" s="4"/>
      <c r="K760" s="4"/>
      <c r="N760" s="4"/>
      <c r="Q760" s="4"/>
      <c r="R760" s="4"/>
      <c r="S760" s="4"/>
      <c r="U760" s="4"/>
      <c r="V760" s="4"/>
      <c r="X760" s="4"/>
      <c r="Z760" s="4"/>
    </row>
    <row r="761" spans="5:26" x14ac:dyDescent="0.3">
      <c r="E761" s="4"/>
      <c r="F761" s="4"/>
      <c r="G761" s="4"/>
      <c r="K761" s="4"/>
      <c r="N761" s="4"/>
      <c r="Q761" s="4"/>
      <c r="R761" s="4"/>
      <c r="S761" s="4"/>
      <c r="U761" s="4"/>
      <c r="V761" s="4"/>
      <c r="X761" s="4"/>
      <c r="Z761" s="4"/>
    </row>
    <row r="762" spans="5:26" x14ac:dyDescent="0.3">
      <c r="E762" s="4"/>
      <c r="F762" s="4"/>
      <c r="G762" s="4"/>
      <c r="K762" s="4"/>
      <c r="N762" s="4"/>
      <c r="Q762" s="4"/>
      <c r="R762" s="4"/>
      <c r="S762" s="4"/>
      <c r="U762" s="4"/>
      <c r="V762" s="4"/>
      <c r="X762" s="4"/>
      <c r="Z762" s="4"/>
    </row>
    <row r="763" spans="5:26" x14ac:dyDescent="0.3">
      <c r="E763" s="4"/>
      <c r="F763" s="4"/>
      <c r="G763" s="4"/>
      <c r="K763" s="4"/>
      <c r="N763" s="4"/>
      <c r="Q763" s="4"/>
      <c r="R763" s="4"/>
      <c r="S763" s="4"/>
      <c r="U763" s="4"/>
      <c r="V763" s="4"/>
      <c r="X763" s="4"/>
      <c r="Z763" s="4"/>
    </row>
    <row r="764" spans="5:26" x14ac:dyDescent="0.3">
      <c r="E764" s="4"/>
      <c r="F764" s="4"/>
      <c r="G764" s="4"/>
      <c r="K764" s="4"/>
      <c r="N764" s="4"/>
      <c r="Q764" s="4"/>
      <c r="R764" s="4"/>
      <c r="S764" s="4"/>
      <c r="U764" s="4"/>
      <c r="V764" s="4"/>
      <c r="X764" s="4"/>
      <c r="Z764" s="4"/>
    </row>
    <row r="765" spans="5:26" x14ac:dyDescent="0.3">
      <c r="E765" s="4"/>
      <c r="F765" s="4"/>
      <c r="G765" s="4"/>
      <c r="K765" s="4"/>
      <c r="N765" s="4"/>
      <c r="Q765" s="4"/>
      <c r="R765" s="4"/>
      <c r="S765" s="4"/>
      <c r="U765" s="4"/>
      <c r="V765" s="4"/>
      <c r="X765" s="4"/>
      <c r="Z765" s="4"/>
    </row>
    <row r="766" spans="5:26" x14ac:dyDescent="0.3">
      <c r="E766" s="4"/>
      <c r="F766" s="4"/>
      <c r="G766" s="4"/>
      <c r="K766" s="4"/>
      <c r="N766" s="4"/>
      <c r="Q766" s="4"/>
      <c r="R766" s="4"/>
      <c r="S766" s="4"/>
      <c r="U766" s="4"/>
      <c r="V766" s="4"/>
      <c r="X766" s="4"/>
      <c r="Z766" s="4"/>
    </row>
    <row r="767" spans="5:26" x14ac:dyDescent="0.3">
      <c r="E767" s="4"/>
      <c r="F767" s="4"/>
      <c r="G767" s="4"/>
      <c r="K767" s="4"/>
      <c r="N767" s="4"/>
      <c r="Q767" s="4"/>
      <c r="R767" s="4"/>
      <c r="S767" s="4"/>
      <c r="U767" s="4"/>
      <c r="V767" s="4"/>
      <c r="X767" s="4"/>
      <c r="Z767" s="4"/>
    </row>
    <row r="768" spans="5:26" x14ac:dyDescent="0.3">
      <c r="E768" s="4"/>
      <c r="F768" s="4"/>
      <c r="G768" s="4"/>
      <c r="K768" s="4"/>
      <c r="N768" s="4"/>
      <c r="Q768" s="4"/>
      <c r="R768" s="4"/>
      <c r="S768" s="4"/>
      <c r="U768" s="4"/>
      <c r="V768" s="4"/>
      <c r="X768" s="4"/>
      <c r="Z768" s="4"/>
    </row>
    <row r="769" spans="5:26" x14ac:dyDescent="0.3">
      <c r="E769" s="4"/>
      <c r="F769" s="4"/>
      <c r="G769" s="4"/>
      <c r="K769" s="4"/>
      <c r="N769" s="4"/>
      <c r="Q769" s="4"/>
      <c r="R769" s="4"/>
      <c r="S769" s="4"/>
      <c r="U769" s="4"/>
      <c r="V769" s="4"/>
      <c r="X769" s="4"/>
      <c r="Z769" s="4"/>
    </row>
    <row r="770" spans="5:26" x14ac:dyDescent="0.3">
      <c r="E770" s="4"/>
      <c r="F770" s="4"/>
      <c r="G770" s="4"/>
      <c r="K770" s="4"/>
      <c r="N770" s="4"/>
      <c r="Q770" s="4"/>
      <c r="R770" s="4"/>
      <c r="S770" s="4"/>
      <c r="U770" s="4"/>
      <c r="V770" s="4"/>
      <c r="X770" s="4"/>
      <c r="Z770" s="4"/>
    </row>
    <row r="771" spans="5:26" x14ac:dyDescent="0.3">
      <c r="E771" s="4"/>
      <c r="F771" s="4"/>
      <c r="G771" s="4"/>
      <c r="K771" s="4"/>
      <c r="N771" s="4"/>
      <c r="Q771" s="4"/>
      <c r="R771" s="4"/>
      <c r="S771" s="4"/>
      <c r="U771" s="4"/>
      <c r="V771" s="4"/>
      <c r="X771" s="4"/>
      <c r="Z771" s="4"/>
    </row>
    <row r="772" spans="5:26" x14ac:dyDescent="0.3">
      <c r="E772" s="4"/>
      <c r="F772" s="4"/>
      <c r="G772" s="4"/>
      <c r="K772" s="4"/>
      <c r="N772" s="4"/>
      <c r="Q772" s="4"/>
      <c r="R772" s="4"/>
      <c r="S772" s="4"/>
      <c r="U772" s="4"/>
      <c r="V772" s="4"/>
      <c r="X772" s="4"/>
      <c r="Z772" s="4"/>
    </row>
    <row r="773" spans="5:26" x14ac:dyDescent="0.3">
      <c r="E773" s="4"/>
      <c r="F773" s="4"/>
      <c r="G773" s="4"/>
      <c r="K773" s="4"/>
      <c r="N773" s="4"/>
      <c r="Q773" s="4"/>
      <c r="R773" s="4"/>
      <c r="S773" s="4"/>
      <c r="U773" s="4"/>
      <c r="V773" s="4"/>
      <c r="X773" s="4"/>
      <c r="Z773" s="4"/>
    </row>
    <row r="774" spans="5:26" x14ac:dyDescent="0.3">
      <c r="E774" s="4"/>
      <c r="F774" s="4"/>
      <c r="G774" s="4"/>
      <c r="K774" s="4"/>
      <c r="N774" s="4"/>
      <c r="Q774" s="4"/>
      <c r="R774" s="4"/>
      <c r="S774" s="4"/>
      <c r="U774" s="4"/>
      <c r="V774" s="4"/>
      <c r="X774" s="4"/>
      <c r="Z774" s="4"/>
    </row>
    <row r="775" spans="5:26" x14ac:dyDescent="0.3">
      <c r="E775" s="4"/>
      <c r="F775" s="4"/>
      <c r="G775" s="4"/>
      <c r="K775" s="4"/>
      <c r="N775" s="4"/>
      <c r="Q775" s="4"/>
      <c r="R775" s="4"/>
      <c r="S775" s="4"/>
      <c r="U775" s="4"/>
      <c r="V775" s="4"/>
      <c r="X775" s="4"/>
      <c r="Z775" s="4"/>
    </row>
    <row r="776" spans="5:26" x14ac:dyDescent="0.3">
      <c r="E776" s="4"/>
      <c r="F776" s="4"/>
      <c r="G776" s="4"/>
      <c r="K776" s="4"/>
      <c r="N776" s="4"/>
      <c r="Q776" s="4"/>
      <c r="R776" s="4"/>
      <c r="S776" s="4"/>
      <c r="U776" s="4"/>
      <c r="V776" s="4"/>
      <c r="X776" s="4"/>
      <c r="Z776" s="4"/>
    </row>
    <row r="777" spans="5:26" x14ac:dyDescent="0.3">
      <c r="E777" s="4"/>
      <c r="F777" s="4"/>
      <c r="G777" s="4"/>
      <c r="K777" s="4"/>
      <c r="N777" s="4"/>
      <c r="Q777" s="4"/>
      <c r="R777" s="4"/>
      <c r="S777" s="4"/>
      <c r="U777" s="4"/>
      <c r="V777" s="4"/>
      <c r="X777" s="4"/>
      <c r="Z777" s="4"/>
    </row>
    <row r="778" spans="5:26" x14ac:dyDescent="0.3">
      <c r="E778" s="4"/>
      <c r="F778" s="4"/>
      <c r="G778" s="4"/>
      <c r="K778" s="4"/>
      <c r="N778" s="4"/>
      <c r="Q778" s="4"/>
      <c r="R778" s="4"/>
      <c r="S778" s="4"/>
      <c r="U778" s="4"/>
      <c r="V778" s="4"/>
      <c r="X778" s="4"/>
      <c r="Z778" s="4"/>
    </row>
    <row r="779" spans="5:26" x14ac:dyDescent="0.3">
      <c r="E779" s="4"/>
      <c r="F779" s="4"/>
      <c r="G779" s="4"/>
      <c r="K779" s="4"/>
      <c r="N779" s="4"/>
      <c r="Q779" s="4"/>
      <c r="R779" s="4"/>
      <c r="S779" s="4"/>
      <c r="U779" s="4"/>
      <c r="V779" s="4"/>
      <c r="X779" s="4"/>
      <c r="Z779" s="4"/>
    </row>
    <row r="780" spans="5:26" x14ac:dyDescent="0.3">
      <c r="E780" s="4"/>
      <c r="F780" s="4"/>
      <c r="G780" s="4"/>
      <c r="K780" s="4"/>
      <c r="N780" s="4"/>
      <c r="Q780" s="4"/>
      <c r="R780" s="4"/>
      <c r="S780" s="4"/>
      <c r="U780" s="4"/>
      <c r="V780" s="4"/>
      <c r="X780" s="4"/>
      <c r="Z780" s="4"/>
    </row>
    <row r="781" spans="5:26" x14ac:dyDescent="0.3">
      <c r="E781" s="4"/>
      <c r="F781" s="4"/>
      <c r="G781" s="4"/>
      <c r="K781" s="4"/>
      <c r="N781" s="4"/>
      <c r="Q781" s="4"/>
      <c r="R781" s="4"/>
      <c r="S781" s="4"/>
      <c r="U781" s="4"/>
      <c r="V781" s="4"/>
      <c r="X781" s="4"/>
      <c r="Z781" s="4"/>
    </row>
    <row r="782" spans="5:26" x14ac:dyDescent="0.3">
      <c r="E782" s="4"/>
      <c r="F782" s="4"/>
      <c r="G782" s="4"/>
      <c r="K782" s="4"/>
      <c r="N782" s="4"/>
      <c r="Q782" s="4"/>
      <c r="R782" s="4"/>
      <c r="S782" s="4"/>
      <c r="U782" s="4"/>
      <c r="V782" s="4"/>
      <c r="X782" s="4"/>
      <c r="Z782" s="4"/>
    </row>
    <row r="783" spans="5:26" x14ac:dyDescent="0.3">
      <c r="E783" s="4"/>
      <c r="F783" s="4"/>
      <c r="G783" s="4"/>
      <c r="K783" s="4"/>
      <c r="N783" s="4"/>
      <c r="Q783" s="4"/>
      <c r="R783" s="4"/>
      <c r="S783" s="4"/>
      <c r="U783" s="4"/>
      <c r="V783" s="4"/>
      <c r="X783" s="4"/>
      <c r="Z783" s="4"/>
    </row>
    <row r="784" spans="5:26" x14ac:dyDescent="0.3">
      <c r="E784" s="4"/>
      <c r="F784" s="4"/>
      <c r="G784" s="4"/>
      <c r="K784" s="4"/>
      <c r="N784" s="4"/>
      <c r="Q784" s="4"/>
      <c r="R784" s="4"/>
      <c r="S784" s="4"/>
      <c r="U784" s="4"/>
      <c r="V784" s="4"/>
      <c r="X784" s="4"/>
      <c r="Z784" s="4"/>
    </row>
    <row r="785" spans="5:26" x14ac:dyDescent="0.3">
      <c r="E785" s="4"/>
      <c r="F785" s="4"/>
      <c r="G785" s="4"/>
      <c r="K785" s="4"/>
      <c r="N785" s="4"/>
      <c r="Q785" s="4"/>
      <c r="R785" s="4"/>
      <c r="S785" s="4"/>
      <c r="U785" s="4"/>
      <c r="V785" s="4"/>
      <c r="X785" s="4"/>
      <c r="Z785" s="4"/>
    </row>
    <row r="786" spans="5:26" x14ac:dyDescent="0.3">
      <c r="E786" s="4"/>
      <c r="F786" s="4"/>
      <c r="G786" s="4"/>
      <c r="K786" s="4"/>
      <c r="N786" s="4"/>
      <c r="Q786" s="4"/>
      <c r="R786" s="4"/>
      <c r="S786" s="4"/>
      <c r="U786" s="4"/>
      <c r="V786" s="4"/>
      <c r="X786" s="4"/>
      <c r="Z786" s="4"/>
    </row>
    <row r="787" spans="5:26" x14ac:dyDescent="0.3">
      <c r="E787" s="4"/>
      <c r="F787" s="4"/>
      <c r="G787" s="4"/>
      <c r="K787" s="4"/>
      <c r="N787" s="4"/>
      <c r="Q787" s="4"/>
      <c r="R787" s="4"/>
      <c r="S787" s="4"/>
      <c r="U787" s="4"/>
      <c r="V787" s="4"/>
      <c r="X787" s="4"/>
      <c r="Z787" s="4"/>
    </row>
    <row r="788" spans="5:26" x14ac:dyDescent="0.3">
      <c r="E788" s="4"/>
      <c r="F788" s="4"/>
      <c r="G788" s="4"/>
      <c r="K788" s="4"/>
      <c r="N788" s="4"/>
      <c r="Q788" s="4"/>
      <c r="R788" s="4"/>
      <c r="S788" s="4"/>
      <c r="U788" s="4"/>
      <c r="V788" s="4"/>
      <c r="X788" s="4"/>
      <c r="Z788" s="4"/>
    </row>
    <row r="789" spans="5:26" x14ac:dyDescent="0.3">
      <c r="E789" s="4"/>
      <c r="F789" s="4"/>
      <c r="G789" s="4"/>
      <c r="K789" s="4"/>
      <c r="N789" s="4"/>
      <c r="Q789" s="4"/>
      <c r="R789" s="4"/>
      <c r="S789" s="4"/>
      <c r="U789" s="4"/>
      <c r="V789" s="4"/>
      <c r="X789" s="4"/>
      <c r="Z789" s="4"/>
    </row>
    <row r="790" spans="5:26" x14ac:dyDescent="0.3">
      <c r="E790" s="4"/>
      <c r="F790" s="4"/>
      <c r="G790" s="4"/>
      <c r="K790" s="4"/>
      <c r="N790" s="4"/>
      <c r="Q790" s="4"/>
      <c r="R790" s="4"/>
      <c r="S790" s="4"/>
      <c r="U790" s="4"/>
      <c r="V790" s="4"/>
      <c r="X790" s="4"/>
      <c r="Z790" s="4"/>
    </row>
    <row r="791" spans="5:26" x14ac:dyDescent="0.3">
      <c r="E791" s="4"/>
      <c r="F791" s="4"/>
      <c r="G791" s="4"/>
      <c r="K791" s="4"/>
      <c r="N791" s="4"/>
      <c r="Q791" s="4"/>
      <c r="R791" s="4"/>
      <c r="S791" s="4"/>
      <c r="U791" s="4"/>
      <c r="V791" s="4"/>
      <c r="X791" s="4"/>
      <c r="Z791" s="4"/>
    </row>
    <row r="792" spans="5:26" x14ac:dyDescent="0.3">
      <c r="E792" s="4"/>
      <c r="F792" s="4"/>
      <c r="G792" s="4"/>
      <c r="K792" s="4"/>
      <c r="N792" s="4"/>
      <c r="Q792" s="4"/>
      <c r="R792" s="4"/>
      <c r="S792" s="4"/>
      <c r="U792" s="4"/>
      <c r="V792" s="4"/>
      <c r="X792" s="4"/>
      <c r="Z792" s="4"/>
    </row>
    <row r="793" spans="5:26" x14ac:dyDescent="0.3">
      <c r="E793" s="4"/>
      <c r="F793" s="4"/>
      <c r="G793" s="4"/>
      <c r="K793" s="4"/>
      <c r="N793" s="4"/>
      <c r="Q793" s="4"/>
      <c r="R793" s="4"/>
      <c r="S793" s="4"/>
      <c r="U793" s="4"/>
      <c r="V793" s="4"/>
      <c r="X793" s="4"/>
      <c r="Z793" s="4"/>
    </row>
    <row r="794" spans="5:26" x14ac:dyDescent="0.3">
      <c r="E794" s="4"/>
      <c r="F794" s="4"/>
      <c r="G794" s="4"/>
      <c r="K794" s="4"/>
      <c r="N794" s="4"/>
      <c r="Q794" s="4"/>
      <c r="R794" s="4"/>
      <c r="S794" s="4"/>
      <c r="U794" s="4"/>
      <c r="V794" s="4"/>
      <c r="X794" s="4"/>
      <c r="Z794" s="4"/>
    </row>
    <row r="795" spans="5:26" x14ac:dyDescent="0.3">
      <c r="E795" s="4"/>
      <c r="F795" s="4"/>
      <c r="G795" s="4"/>
      <c r="K795" s="4"/>
      <c r="N795" s="4"/>
      <c r="Q795" s="4"/>
      <c r="R795" s="4"/>
      <c r="S795" s="4"/>
      <c r="U795" s="4"/>
      <c r="V795" s="4"/>
      <c r="X795" s="4"/>
      <c r="Z795" s="4"/>
    </row>
    <row r="796" spans="5:26" x14ac:dyDescent="0.3">
      <c r="E796" s="4"/>
      <c r="F796" s="4"/>
      <c r="G796" s="4"/>
      <c r="K796" s="4"/>
      <c r="N796" s="4"/>
      <c r="Q796" s="4"/>
      <c r="R796" s="4"/>
      <c r="S796" s="4"/>
      <c r="U796" s="4"/>
      <c r="V796" s="4"/>
      <c r="X796" s="4"/>
      <c r="Z796" s="4"/>
    </row>
    <row r="797" spans="5:26" x14ac:dyDescent="0.3">
      <c r="E797" s="4"/>
      <c r="F797" s="4"/>
      <c r="G797" s="4"/>
      <c r="K797" s="4"/>
      <c r="N797" s="4"/>
      <c r="Q797" s="4"/>
      <c r="R797" s="4"/>
      <c r="S797" s="4"/>
      <c r="U797" s="4"/>
      <c r="V797" s="4"/>
      <c r="X797" s="4"/>
      <c r="Z797" s="4"/>
    </row>
    <row r="798" spans="5:26" x14ac:dyDescent="0.3">
      <c r="E798" s="4"/>
      <c r="F798" s="4"/>
      <c r="G798" s="4"/>
      <c r="K798" s="4"/>
      <c r="N798" s="4"/>
      <c r="Q798" s="4"/>
      <c r="R798" s="4"/>
      <c r="S798" s="4"/>
      <c r="U798" s="4"/>
      <c r="V798" s="4"/>
      <c r="X798" s="4"/>
      <c r="Z798" s="4"/>
    </row>
    <row r="799" spans="5:26" x14ac:dyDescent="0.3">
      <c r="E799" s="4"/>
      <c r="F799" s="4"/>
      <c r="G799" s="4"/>
      <c r="K799" s="4"/>
      <c r="N799" s="4"/>
      <c r="Q799" s="4"/>
      <c r="R799" s="4"/>
      <c r="S799" s="4"/>
      <c r="U799" s="4"/>
      <c r="V799" s="4"/>
      <c r="X799" s="4"/>
      <c r="Z799" s="4"/>
    </row>
    <row r="800" spans="5:26" x14ac:dyDescent="0.3">
      <c r="E800" s="4"/>
      <c r="F800" s="4"/>
      <c r="G800" s="4"/>
      <c r="K800" s="4"/>
      <c r="N800" s="4"/>
      <c r="Q800" s="4"/>
      <c r="R800" s="4"/>
      <c r="S800" s="4"/>
      <c r="U800" s="4"/>
      <c r="V800" s="4"/>
      <c r="X800" s="4"/>
      <c r="Z800" s="4"/>
    </row>
    <row r="801" spans="5:26" x14ac:dyDescent="0.3">
      <c r="E801" s="4"/>
      <c r="F801" s="4"/>
      <c r="G801" s="4"/>
      <c r="K801" s="4"/>
      <c r="N801" s="4"/>
      <c r="Q801" s="4"/>
      <c r="R801" s="4"/>
      <c r="S801" s="4"/>
      <c r="U801" s="4"/>
      <c r="V801" s="4"/>
      <c r="X801" s="4"/>
      <c r="Z801" s="4"/>
    </row>
    <row r="802" spans="5:26" x14ac:dyDescent="0.3">
      <c r="E802" s="4"/>
      <c r="F802" s="4"/>
      <c r="G802" s="4"/>
      <c r="K802" s="4"/>
      <c r="N802" s="4"/>
      <c r="Q802" s="4"/>
      <c r="R802" s="4"/>
      <c r="S802" s="4"/>
      <c r="U802" s="4"/>
      <c r="V802" s="4"/>
      <c r="X802" s="4"/>
      <c r="Z802" s="4"/>
    </row>
    <row r="803" spans="5:26" x14ac:dyDescent="0.3">
      <c r="E803" s="4"/>
      <c r="F803" s="4"/>
      <c r="G803" s="4"/>
      <c r="K803" s="4"/>
      <c r="N803" s="4"/>
      <c r="Q803" s="4"/>
      <c r="R803" s="4"/>
      <c r="S803" s="4"/>
      <c r="U803" s="4"/>
      <c r="V803" s="4"/>
      <c r="X803" s="4"/>
      <c r="Z803" s="4"/>
    </row>
    <row r="804" spans="5:26" x14ac:dyDescent="0.3">
      <c r="E804" s="4"/>
      <c r="F804" s="4"/>
      <c r="G804" s="4"/>
      <c r="K804" s="4"/>
      <c r="N804" s="4"/>
      <c r="Q804" s="4"/>
      <c r="R804" s="4"/>
      <c r="S804" s="4"/>
      <c r="U804" s="4"/>
      <c r="V804" s="4"/>
      <c r="X804" s="4"/>
      <c r="Z804" s="4"/>
    </row>
    <row r="805" spans="5:26" x14ac:dyDescent="0.3">
      <c r="E805" s="4"/>
      <c r="F805" s="4"/>
      <c r="G805" s="4"/>
      <c r="K805" s="4"/>
      <c r="N805" s="4"/>
      <c r="Q805" s="4"/>
      <c r="R805" s="4"/>
      <c r="S805" s="4"/>
      <c r="U805" s="4"/>
      <c r="V805" s="4"/>
      <c r="X805" s="4"/>
      <c r="Z805" s="4"/>
    </row>
    <row r="806" spans="5:26" x14ac:dyDescent="0.3">
      <c r="E806" s="4"/>
      <c r="F806" s="4"/>
      <c r="G806" s="4"/>
      <c r="K806" s="4"/>
      <c r="N806" s="4"/>
      <c r="Q806" s="4"/>
      <c r="R806" s="4"/>
      <c r="S806" s="4"/>
      <c r="U806" s="4"/>
      <c r="V806" s="4"/>
      <c r="X806" s="4"/>
      <c r="Z806" s="4"/>
    </row>
    <row r="807" spans="5:26" x14ac:dyDescent="0.3">
      <c r="E807" s="4"/>
      <c r="F807" s="4"/>
      <c r="G807" s="4"/>
      <c r="K807" s="4"/>
      <c r="N807" s="4"/>
      <c r="Q807" s="4"/>
      <c r="R807" s="4"/>
      <c r="S807" s="4"/>
      <c r="U807" s="4"/>
      <c r="V807" s="4"/>
      <c r="X807" s="4"/>
      <c r="Z807" s="4"/>
    </row>
    <row r="808" spans="5:26" x14ac:dyDescent="0.3">
      <c r="E808" s="4"/>
      <c r="F808" s="4"/>
      <c r="G808" s="4"/>
      <c r="K808" s="4"/>
      <c r="N808" s="4"/>
      <c r="Q808" s="4"/>
      <c r="R808" s="4"/>
      <c r="S808" s="4"/>
      <c r="U808" s="4"/>
      <c r="V808" s="4"/>
      <c r="X808" s="4"/>
      <c r="Z808" s="4"/>
    </row>
    <row r="809" spans="5:26" x14ac:dyDescent="0.3">
      <c r="E809" s="4"/>
      <c r="F809" s="4"/>
      <c r="G809" s="4"/>
      <c r="K809" s="4"/>
      <c r="N809" s="4"/>
      <c r="Q809" s="4"/>
      <c r="R809" s="4"/>
      <c r="S809" s="4"/>
      <c r="U809" s="4"/>
      <c r="V809" s="4"/>
      <c r="X809" s="4"/>
      <c r="Z809" s="4"/>
    </row>
    <row r="810" spans="5:26" x14ac:dyDescent="0.3">
      <c r="E810" s="4"/>
      <c r="F810" s="4"/>
      <c r="G810" s="4"/>
      <c r="K810" s="4"/>
      <c r="N810" s="4"/>
      <c r="Q810" s="4"/>
      <c r="R810" s="4"/>
      <c r="S810" s="4"/>
      <c r="U810" s="4"/>
      <c r="V810" s="4"/>
      <c r="X810" s="4"/>
      <c r="Z810" s="4"/>
    </row>
    <row r="811" spans="5:26" x14ac:dyDescent="0.3">
      <c r="E811" s="4"/>
      <c r="F811" s="4"/>
      <c r="G811" s="4"/>
      <c r="K811" s="4"/>
      <c r="N811" s="4"/>
      <c r="Q811" s="4"/>
      <c r="R811" s="4"/>
      <c r="S811" s="4"/>
      <c r="U811" s="4"/>
      <c r="V811" s="4"/>
      <c r="X811" s="4"/>
      <c r="Z811" s="4"/>
    </row>
    <row r="812" spans="5:26" x14ac:dyDescent="0.3">
      <c r="E812" s="4"/>
      <c r="F812" s="4"/>
      <c r="G812" s="4"/>
      <c r="K812" s="4"/>
      <c r="N812" s="4"/>
      <c r="Q812" s="4"/>
      <c r="R812" s="4"/>
      <c r="S812" s="4"/>
      <c r="U812" s="4"/>
      <c r="V812" s="4"/>
      <c r="X812" s="4"/>
      <c r="Z812" s="4"/>
    </row>
    <row r="813" spans="5:26" x14ac:dyDescent="0.3">
      <c r="E813" s="4"/>
      <c r="F813" s="4"/>
      <c r="G813" s="4"/>
      <c r="K813" s="4"/>
      <c r="N813" s="4"/>
      <c r="Q813" s="4"/>
      <c r="R813" s="4"/>
      <c r="S813" s="4"/>
      <c r="U813" s="4"/>
      <c r="V813" s="4"/>
      <c r="X813" s="4"/>
      <c r="Z813" s="4"/>
    </row>
    <row r="814" spans="5:26" x14ac:dyDescent="0.3">
      <c r="E814" s="4"/>
      <c r="F814" s="4"/>
      <c r="G814" s="4"/>
      <c r="K814" s="4"/>
      <c r="N814" s="4"/>
      <c r="Q814" s="4"/>
      <c r="R814" s="4"/>
      <c r="S814" s="4"/>
      <c r="U814" s="4"/>
      <c r="V814" s="4"/>
      <c r="X814" s="4"/>
      <c r="Z814" s="4"/>
    </row>
    <row r="815" spans="5:26" x14ac:dyDescent="0.3">
      <c r="E815" s="4"/>
      <c r="F815" s="4"/>
      <c r="G815" s="4"/>
      <c r="K815" s="4"/>
      <c r="N815" s="4"/>
      <c r="Q815" s="4"/>
      <c r="R815" s="4"/>
      <c r="S815" s="4"/>
      <c r="U815" s="4"/>
      <c r="V815" s="4"/>
      <c r="X815" s="4"/>
      <c r="Z815" s="4"/>
    </row>
    <row r="816" spans="5:26" x14ac:dyDescent="0.3">
      <c r="E816" s="4"/>
      <c r="F816" s="4"/>
      <c r="G816" s="4"/>
      <c r="K816" s="4"/>
      <c r="N816" s="4"/>
      <c r="Q816" s="4"/>
      <c r="R816" s="4"/>
      <c r="S816" s="4"/>
      <c r="U816" s="4"/>
      <c r="V816" s="4"/>
      <c r="X816" s="4"/>
      <c r="Z816" s="4"/>
    </row>
    <row r="817" spans="5:26" x14ac:dyDescent="0.3">
      <c r="E817" s="4"/>
      <c r="F817" s="4"/>
      <c r="G817" s="4"/>
      <c r="K817" s="4"/>
      <c r="N817" s="4"/>
      <c r="Q817" s="4"/>
      <c r="R817" s="4"/>
      <c r="S817" s="4"/>
      <c r="U817" s="4"/>
      <c r="V817" s="4"/>
      <c r="X817" s="4"/>
      <c r="Z817" s="4"/>
    </row>
    <row r="818" spans="5:26" x14ac:dyDescent="0.3">
      <c r="E818" s="4"/>
      <c r="F818" s="4"/>
      <c r="G818" s="4"/>
      <c r="K818" s="4"/>
      <c r="N818" s="4"/>
      <c r="Q818" s="4"/>
      <c r="R818" s="4"/>
      <c r="S818" s="4"/>
      <c r="U818" s="4"/>
      <c r="V818" s="4"/>
      <c r="X818" s="4"/>
      <c r="Z818" s="4"/>
    </row>
    <row r="819" spans="5:26" x14ac:dyDescent="0.3">
      <c r="E819" s="4"/>
      <c r="F819" s="4"/>
      <c r="G819" s="4"/>
      <c r="K819" s="4"/>
      <c r="N819" s="4"/>
      <c r="Q819" s="4"/>
      <c r="R819" s="4"/>
      <c r="S819" s="4"/>
      <c r="U819" s="4"/>
      <c r="V819" s="4"/>
      <c r="X819" s="4"/>
      <c r="Z819" s="4"/>
    </row>
    <row r="820" spans="5:26" x14ac:dyDescent="0.3">
      <c r="E820" s="4"/>
      <c r="F820" s="4"/>
      <c r="G820" s="4"/>
      <c r="K820" s="4"/>
      <c r="N820" s="4"/>
      <c r="Q820" s="4"/>
      <c r="R820" s="4"/>
      <c r="S820" s="4"/>
      <c r="U820" s="4"/>
      <c r="V820" s="4"/>
      <c r="X820" s="4"/>
      <c r="Z820" s="4"/>
    </row>
    <row r="821" spans="5:26" x14ac:dyDescent="0.3">
      <c r="E821" s="4"/>
      <c r="F821" s="4"/>
      <c r="G821" s="4"/>
      <c r="K821" s="4"/>
      <c r="N821" s="4"/>
      <c r="Q821" s="4"/>
      <c r="R821" s="4"/>
      <c r="S821" s="4"/>
      <c r="U821" s="4"/>
      <c r="V821" s="4"/>
      <c r="X821" s="4"/>
      <c r="Z821" s="4"/>
    </row>
    <row r="822" spans="5:26" x14ac:dyDescent="0.3">
      <c r="E822" s="4"/>
      <c r="F822" s="4"/>
      <c r="G822" s="4"/>
      <c r="K822" s="4"/>
      <c r="N822" s="4"/>
      <c r="Q822" s="4"/>
      <c r="R822" s="4"/>
      <c r="S822" s="4"/>
      <c r="U822" s="4"/>
      <c r="V822" s="4"/>
      <c r="X822" s="4"/>
      <c r="Z822" s="4"/>
    </row>
    <row r="823" spans="5:26" x14ac:dyDescent="0.3">
      <c r="E823" s="4"/>
      <c r="F823" s="4"/>
      <c r="G823" s="4"/>
      <c r="K823" s="4"/>
      <c r="N823" s="4"/>
      <c r="Q823" s="4"/>
      <c r="R823" s="4"/>
      <c r="S823" s="4"/>
      <c r="U823" s="4"/>
      <c r="V823" s="4"/>
      <c r="X823" s="4"/>
      <c r="Z823" s="4"/>
    </row>
    <row r="824" spans="5:26" x14ac:dyDescent="0.3">
      <c r="E824" s="4"/>
      <c r="F824" s="4"/>
      <c r="G824" s="4"/>
      <c r="K824" s="4"/>
      <c r="N824" s="4"/>
      <c r="Q824" s="4"/>
      <c r="R824" s="4"/>
      <c r="S824" s="4"/>
      <c r="U824" s="4"/>
      <c r="V824" s="4"/>
      <c r="X824" s="4"/>
      <c r="Z824" s="4"/>
    </row>
    <row r="825" spans="5:26" x14ac:dyDescent="0.3">
      <c r="E825" s="4"/>
      <c r="F825" s="4"/>
      <c r="G825" s="4"/>
      <c r="K825" s="4"/>
      <c r="N825" s="4"/>
      <c r="Q825" s="4"/>
      <c r="R825" s="4"/>
      <c r="S825" s="4"/>
      <c r="U825" s="4"/>
      <c r="V825" s="4"/>
      <c r="X825" s="4"/>
      <c r="Z825" s="4"/>
    </row>
    <row r="826" spans="5:26" x14ac:dyDescent="0.3">
      <c r="E826" s="4"/>
      <c r="F826" s="4"/>
      <c r="G826" s="4"/>
      <c r="K826" s="4"/>
      <c r="N826" s="4"/>
      <c r="Q826" s="4"/>
      <c r="R826" s="4"/>
      <c r="S826" s="4"/>
      <c r="U826" s="4"/>
      <c r="V826" s="4"/>
      <c r="X826" s="4"/>
      <c r="Z826" s="4"/>
    </row>
    <row r="827" spans="5:26" x14ac:dyDescent="0.3">
      <c r="E827" s="4"/>
      <c r="F827" s="4"/>
      <c r="G827" s="4"/>
      <c r="K827" s="4"/>
      <c r="N827" s="4"/>
      <c r="Q827" s="4"/>
      <c r="R827" s="4"/>
      <c r="S827" s="4"/>
      <c r="U827" s="4"/>
      <c r="V827" s="4"/>
      <c r="X827" s="4"/>
      <c r="Z827" s="4"/>
    </row>
    <row r="828" spans="5:26" x14ac:dyDescent="0.3">
      <c r="E828" s="4"/>
      <c r="F828" s="4"/>
      <c r="G828" s="4"/>
      <c r="K828" s="4"/>
      <c r="N828" s="4"/>
      <c r="Q828" s="4"/>
      <c r="R828" s="4"/>
      <c r="S828" s="4"/>
      <c r="U828" s="4"/>
      <c r="V828" s="4"/>
      <c r="X828" s="4"/>
      <c r="Z828" s="4"/>
    </row>
    <row r="829" spans="5:26" x14ac:dyDescent="0.3">
      <c r="E829" s="4"/>
      <c r="F829" s="4"/>
      <c r="G829" s="4"/>
      <c r="K829" s="4"/>
      <c r="N829" s="4"/>
      <c r="Q829" s="4"/>
      <c r="R829" s="4"/>
      <c r="S829" s="4"/>
      <c r="U829" s="4"/>
      <c r="V829" s="4"/>
      <c r="X829" s="4"/>
      <c r="Z829" s="4"/>
    </row>
    <row r="830" spans="5:26" x14ac:dyDescent="0.3">
      <c r="E830" s="4"/>
      <c r="F830" s="4"/>
      <c r="G830" s="4"/>
      <c r="K830" s="4"/>
      <c r="N830" s="4"/>
      <c r="Q830" s="4"/>
      <c r="R830" s="4"/>
      <c r="S830" s="4"/>
      <c r="U830" s="4"/>
      <c r="V830" s="4"/>
      <c r="X830" s="4"/>
      <c r="Z830" s="4"/>
    </row>
    <row r="831" spans="5:26" x14ac:dyDescent="0.3">
      <c r="E831" s="4"/>
      <c r="F831" s="4"/>
      <c r="G831" s="4"/>
      <c r="K831" s="4"/>
      <c r="N831" s="4"/>
      <c r="Q831" s="4"/>
      <c r="R831" s="4"/>
      <c r="S831" s="4"/>
      <c r="U831" s="4"/>
      <c r="V831" s="4"/>
      <c r="X831" s="4"/>
      <c r="Z831" s="4"/>
    </row>
    <row r="832" spans="5:26" x14ac:dyDescent="0.3">
      <c r="E832" s="4"/>
      <c r="F832" s="4"/>
      <c r="G832" s="4"/>
      <c r="K832" s="4"/>
      <c r="N832" s="4"/>
      <c r="Q832" s="4"/>
      <c r="R832" s="4"/>
      <c r="S832" s="4"/>
      <c r="U832" s="4"/>
      <c r="V832" s="4"/>
      <c r="X832" s="4"/>
      <c r="Z832" s="4"/>
    </row>
    <row r="833" spans="5:26" x14ac:dyDescent="0.3">
      <c r="E833" s="4"/>
      <c r="F833" s="4"/>
      <c r="G833" s="4"/>
      <c r="K833" s="4"/>
      <c r="N833" s="4"/>
      <c r="Q833" s="4"/>
      <c r="R833" s="4"/>
      <c r="S833" s="4"/>
      <c r="U833" s="4"/>
      <c r="V833" s="4"/>
      <c r="X833" s="4"/>
      <c r="Z833" s="4"/>
    </row>
    <row r="834" spans="5:26" x14ac:dyDescent="0.3">
      <c r="E834" s="4"/>
      <c r="F834" s="4"/>
      <c r="G834" s="4"/>
      <c r="K834" s="4"/>
      <c r="N834" s="4"/>
      <c r="Q834" s="4"/>
      <c r="R834" s="4"/>
      <c r="S834" s="4"/>
      <c r="U834" s="4"/>
      <c r="V834" s="4"/>
      <c r="X834" s="4"/>
      <c r="Z834" s="4"/>
    </row>
    <row r="835" spans="5:26" x14ac:dyDescent="0.3">
      <c r="E835" s="4"/>
      <c r="F835" s="4"/>
      <c r="G835" s="4"/>
      <c r="K835" s="4"/>
      <c r="N835" s="4"/>
      <c r="Q835" s="4"/>
      <c r="R835" s="4"/>
      <c r="S835" s="4"/>
      <c r="U835" s="4"/>
      <c r="V835" s="4"/>
      <c r="X835" s="4"/>
      <c r="Z835" s="4"/>
    </row>
    <row r="836" spans="5:26" x14ac:dyDescent="0.3">
      <c r="E836" s="4"/>
      <c r="F836" s="4"/>
      <c r="G836" s="4"/>
      <c r="K836" s="4"/>
      <c r="N836" s="4"/>
      <c r="Q836" s="4"/>
      <c r="R836" s="4"/>
      <c r="S836" s="4"/>
      <c r="U836" s="4"/>
      <c r="V836" s="4"/>
      <c r="X836" s="4"/>
      <c r="Z836" s="4"/>
    </row>
    <row r="837" spans="5:26" x14ac:dyDescent="0.3">
      <c r="E837" s="4"/>
      <c r="F837" s="4"/>
      <c r="G837" s="4"/>
      <c r="K837" s="4"/>
      <c r="N837" s="4"/>
      <c r="Q837" s="4"/>
      <c r="R837" s="4"/>
      <c r="S837" s="4"/>
      <c r="U837" s="4"/>
      <c r="V837" s="4"/>
      <c r="X837" s="4"/>
      <c r="Z837" s="4"/>
    </row>
    <row r="838" spans="5:26" x14ac:dyDescent="0.3">
      <c r="E838" s="4"/>
      <c r="F838" s="4"/>
      <c r="G838" s="4"/>
      <c r="K838" s="4"/>
      <c r="N838" s="4"/>
      <c r="Q838" s="4"/>
      <c r="R838" s="4"/>
      <c r="S838" s="4"/>
      <c r="U838" s="4"/>
      <c r="V838" s="4"/>
      <c r="X838" s="4"/>
      <c r="Z838" s="4"/>
    </row>
    <row r="839" spans="5:26" x14ac:dyDescent="0.3">
      <c r="E839" s="4"/>
      <c r="F839" s="4"/>
      <c r="G839" s="4"/>
      <c r="K839" s="4"/>
      <c r="N839" s="4"/>
      <c r="Q839" s="4"/>
      <c r="R839" s="4"/>
      <c r="S839" s="4"/>
      <c r="U839" s="4"/>
      <c r="V839" s="4"/>
      <c r="X839" s="4"/>
      <c r="Z839" s="4"/>
    </row>
    <row r="840" spans="5:26" x14ac:dyDescent="0.3">
      <c r="E840" s="4"/>
      <c r="F840" s="4"/>
      <c r="G840" s="4"/>
      <c r="K840" s="4"/>
      <c r="N840" s="4"/>
      <c r="Q840" s="4"/>
      <c r="R840" s="4"/>
      <c r="S840" s="4"/>
      <c r="U840" s="4"/>
      <c r="V840" s="4"/>
      <c r="X840" s="4"/>
      <c r="Z840" s="4"/>
    </row>
    <row r="841" spans="5:26" x14ac:dyDescent="0.3">
      <c r="E841" s="4"/>
      <c r="F841" s="4"/>
      <c r="G841" s="4"/>
      <c r="K841" s="4"/>
      <c r="N841" s="4"/>
      <c r="Q841" s="4"/>
      <c r="R841" s="4"/>
      <c r="S841" s="4"/>
      <c r="U841" s="4"/>
      <c r="V841" s="4"/>
      <c r="X841" s="4"/>
      <c r="Z841" s="4"/>
    </row>
    <row r="842" spans="5:26" x14ac:dyDescent="0.3">
      <c r="E842" s="4"/>
      <c r="F842" s="4"/>
      <c r="G842" s="4"/>
      <c r="K842" s="4"/>
      <c r="N842" s="4"/>
      <c r="Q842" s="4"/>
      <c r="R842" s="4"/>
      <c r="S842" s="4"/>
      <c r="U842" s="4"/>
      <c r="V842" s="4"/>
      <c r="X842" s="4"/>
      <c r="Z842" s="4"/>
    </row>
    <row r="843" spans="5:26" x14ac:dyDescent="0.3">
      <c r="E843" s="4"/>
      <c r="F843" s="4"/>
      <c r="G843" s="4"/>
      <c r="K843" s="4"/>
      <c r="N843" s="4"/>
      <c r="Q843" s="4"/>
      <c r="R843" s="4"/>
      <c r="S843" s="4"/>
      <c r="U843" s="4"/>
      <c r="V843" s="4"/>
      <c r="X843" s="4"/>
      <c r="Z843" s="4"/>
    </row>
    <row r="844" spans="5:26" x14ac:dyDescent="0.3">
      <c r="E844" s="4"/>
      <c r="F844" s="4"/>
      <c r="G844" s="4"/>
      <c r="K844" s="4"/>
      <c r="N844" s="4"/>
      <c r="Q844" s="4"/>
      <c r="R844" s="4"/>
      <c r="S844" s="4"/>
      <c r="U844" s="4"/>
      <c r="V844" s="4"/>
      <c r="X844" s="4"/>
      <c r="Z844" s="4"/>
    </row>
    <row r="845" spans="5:26" x14ac:dyDescent="0.3">
      <c r="E845" s="4"/>
      <c r="F845" s="4"/>
      <c r="G845" s="4"/>
      <c r="K845" s="4"/>
      <c r="N845" s="4"/>
      <c r="Q845" s="4"/>
      <c r="R845" s="4"/>
      <c r="S845" s="4"/>
      <c r="U845" s="4"/>
      <c r="V845" s="4"/>
      <c r="X845" s="4"/>
      <c r="Z845" s="4"/>
    </row>
    <row r="846" spans="5:26" x14ac:dyDescent="0.3">
      <c r="E846" s="4"/>
      <c r="F846" s="4"/>
      <c r="G846" s="4"/>
      <c r="K846" s="4"/>
      <c r="N846" s="4"/>
      <c r="Q846" s="4"/>
      <c r="R846" s="4"/>
      <c r="S846" s="4"/>
      <c r="U846" s="4"/>
      <c r="V846" s="4"/>
      <c r="X846" s="4"/>
      <c r="Z846" s="4"/>
    </row>
    <row r="847" spans="5:26" x14ac:dyDescent="0.3">
      <c r="E847" s="4"/>
      <c r="F847" s="4"/>
      <c r="G847" s="4"/>
      <c r="K847" s="4"/>
      <c r="N847" s="4"/>
      <c r="Q847" s="4"/>
      <c r="R847" s="4"/>
      <c r="S847" s="4"/>
      <c r="U847" s="4"/>
      <c r="V847" s="4"/>
      <c r="X847" s="4"/>
      <c r="Z847" s="4"/>
    </row>
    <row r="848" spans="5:26" x14ac:dyDescent="0.3">
      <c r="E848" s="4"/>
      <c r="F848" s="4"/>
      <c r="G848" s="4"/>
      <c r="K848" s="4"/>
      <c r="N848" s="4"/>
      <c r="Q848" s="4"/>
      <c r="R848" s="4"/>
      <c r="S848" s="4"/>
      <c r="U848" s="4"/>
      <c r="V848" s="4"/>
      <c r="X848" s="4"/>
      <c r="Z848" s="4"/>
    </row>
    <row r="849" spans="5:26" x14ac:dyDescent="0.3">
      <c r="E849" s="4"/>
      <c r="F849" s="4"/>
      <c r="G849" s="4"/>
      <c r="K849" s="4"/>
      <c r="N849" s="4"/>
      <c r="Q849" s="4"/>
      <c r="R849" s="4"/>
      <c r="S849" s="4"/>
      <c r="U849" s="4"/>
      <c r="V849" s="4"/>
      <c r="X849" s="4"/>
      <c r="Z849" s="4"/>
    </row>
    <row r="850" spans="5:26" x14ac:dyDescent="0.3">
      <c r="E850" s="4"/>
      <c r="F850" s="4"/>
      <c r="G850" s="4"/>
      <c r="K850" s="4"/>
      <c r="N850" s="4"/>
      <c r="Q850" s="4"/>
      <c r="R850" s="4"/>
      <c r="S850" s="4"/>
      <c r="U850" s="4"/>
      <c r="V850" s="4"/>
      <c r="X850" s="4"/>
      <c r="Z850" s="4"/>
    </row>
    <row r="851" spans="5:26" x14ac:dyDescent="0.3">
      <c r="E851" s="4"/>
      <c r="F851" s="4"/>
      <c r="G851" s="4"/>
      <c r="K851" s="4"/>
      <c r="N851" s="4"/>
      <c r="Q851" s="4"/>
      <c r="R851" s="4"/>
      <c r="S851" s="4"/>
      <c r="U851" s="4"/>
      <c r="V851" s="4"/>
      <c r="X851" s="4"/>
      <c r="Z851" s="4"/>
    </row>
    <row r="852" spans="5:26" x14ac:dyDescent="0.3">
      <c r="E852" s="4"/>
      <c r="F852" s="4"/>
      <c r="G852" s="4"/>
      <c r="K852" s="4"/>
      <c r="N852" s="4"/>
      <c r="Q852" s="4"/>
      <c r="R852" s="4"/>
      <c r="S852" s="4"/>
      <c r="U852" s="4"/>
      <c r="V852" s="4"/>
      <c r="X852" s="4"/>
      <c r="Z852" s="4"/>
    </row>
    <row r="853" spans="5:26" x14ac:dyDescent="0.3">
      <c r="E853" s="4"/>
      <c r="F853" s="4"/>
      <c r="G853" s="4"/>
      <c r="K853" s="4"/>
      <c r="N853" s="4"/>
      <c r="Q853" s="4"/>
      <c r="R853" s="4"/>
      <c r="S853" s="4"/>
      <c r="U853" s="4"/>
      <c r="V853" s="4"/>
      <c r="X853" s="4"/>
      <c r="Z853" s="4"/>
    </row>
    <row r="854" spans="5:26" x14ac:dyDescent="0.3">
      <c r="E854" s="4"/>
      <c r="F854" s="4"/>
      <c r="G854" s="4"/>
      <c r="K854" s="4"/>
      <c r="N854" s="4"/>
      <c r="Q854" s="4"/>
      <c r="R854" s="4"/>
      <c r="S854" s="4"/>
      <c r="U854" s="4"/>
      <c r="V854" s="4"/>
      <c r="X854" s="4"/>
      <c r="Z854" s="4"/>
    </row>
    <row r="855" spans="5:26" x14ac:dyDescent="0.3">
      <c r="E855" s="4"/>
      <c r="F855" s="4"/>
      <c r="G855" s="4"/>
      <c r="K855" s="4"/>
      <c r="N855" s="4"/>
      <c r="Q855" s="4"/>
      <c r="R855" s="4"/>
      <c r="S855" s="4"/>
      <c r="U855" s="4"/>
      <c r="V855" s="4"/>
      <c r="X855" s="4"/>
      <c r="Z855" s="4"/>
    </row>
    <row r="856" spans="5:26" x14ac:dyDescent="0.3">
      <c r="E856" s="4"/>
      <c r="F856" s="4"/>
      <c r="G856" s="4"/>
      <c r="K856" s="4"/>
      <c r="N856" s="4"/>
      <c r="Q856" s="4"/>
      <c r="R856" s="4"/>
      <c r="S856" s="4"/>
      <c r="U856" s="4"/>
      <c r="V856" s="4"/>
      <c r="X856" s="4"/>
      <c r="Z856" s="4"/>
    </row>
    <row r="857" spans="5:26" x14ac:dyDescent="0.3">
      <c r="E857" s="4"/>
      <c r="F857" s="4"/>
      <c r="G857" s="4"/>
      <c r="K857" s="4"/>
      <c r="N857" s="4"/>
      <c r="Q857" s="4"/>
      <c r="R857" s="4"/>
      <c r="S857" s="4"/>
      <c r="U857" s="4"/>
      <c r="V857" s="4"/>
      <c r="X857" s="4"/>
      <c r="Z857" s="4"/>
    </row>
    <row r="858" spans="5:26" x14ac:dyDescent="0.3">
      <c r="E858" s="4"/>
      <c r="F858" s="4"/>
      <c r="G858" s="4"/>
      <c r="K858" s="4"/>
      <c r="N858" s="4"/>
      <c r="Q858" s="4"/>
      <c r="R858" s="4"/>
      <c r="S858" s="4"/>
      <c r="U858" s="4"/>
      <c r="V858" s="4"/>
      <c r="X858" s="4"/>
      <c r="Z858" s="4"/>
    </row>
    <row r="859" spans="5:26" x14ac:dyDescent="0.3">
      <c r="E859" s="4"/>
      <c r="F859" s="4"/>
      <c r="G859" s="4"/>
      <c r="K859" s="4"/>
      <c r="N859" s="4"/>
      <c r="Q859" s="4"/>
      <c r="R859" s="4"/>
      <c r="S859" s="4"/>
      <c r="U859" s="4"/>
      <c r="V859" s="4"/>
      <c r="X859" s="4"/>
      <c r="Z859" s="4"/>
    </row>
    <row r="860" spans="5:26" x14ac:dyDescent="0.3">
      <c r="E860" s="4"/>
      <c r="F860" s="4"/>
      <c r="G860" s="4"/>
      <c r="K860" s="4"/>
      <c r="N860" s="4"/>
      <c r="Q860" s="4"/>
      <c r="R860" s="4"/>
      <c r="S860" s="4"/>
      <c r="U860" s="4"/>
      <c r="V860" s="4"/>
      <c r="X860" s="4"/>
      <c r="Z860" s="4"/>
    </row>
    <row r="861" spans="5:26" x14ac:dyDescent="0.3">
      <c r="E861" s="4"/>
      <c r="F861" s="4"/>
      <c r="G861" s="4"/>
      <c r="K861" s="4"/>
      <c r="N861" s="4"/>
      <c r="Q861" s="4"/>
      <c r="R861" s="4"/>
      <c r="S861" s="4"/>
      <c r="U861" s="4"/>
      <c r="V861" s="4"/>
      <c r="X861" s="4"/>
      <c r="Z861" s="4"/>
    </row>
    <row r="862" spans="5:26" x14ac:dyDescent="0.3">
      <c r="E862" s="4"/>
      <c r="F862" s="4"/>
      <c r="G862" s="4"/>
      <c r="K862" s="4"/>
      <c r="N862" s="4"/>
      <c r="Q862" s="4"/>
      <c r="R862" s="4"/>
      <c r="S862" s="4"/>
      <c r="U862" s="4"/>
      <c r="V862" s="4"/>
      <c r="X862" s="4"/>
      <c r="Z862" s="4"/>
    </row>
    <row r="863" spans="5:26" x14ac:dyDescent="0.3">
      <c r="E863" s="4"/>
      <c r="F863" s="4"/>
      <c r="G863" s="4"/>
      <c r="K863" s="4"/>
      <c r="N863" s="4"/>
      <c r="Q863" s="4"/>
      <c r="R863" s="4"/>
      <c r="S863" s="4"/>
      <c r="U863" s="4"/>
      <c r="V863" s="4"/>
      <c r="X863" s="4"/>
      <c r="Z863" s="4"/>
    </row>
    <row r="864" spans="5:26" x14ac:dyDescent="0.3">
      <c r="E864" s="4"/>
      <c r="F864" s="4"/>
      <c r="G864" s="4"/>
      <c r="K864" s="4"/>
      <c r="N864" s="4"/>
      <c r="Q864" s="4"/>
      <c r="R864" s="4"/>
      <c r="S864" s="4"/>
      <c r="U864" s="4"/>
      <c r="V864" s="4"/>
      <c r="X864" s="4"/>
      <c r="Z864" s="4"/>
    </row>
    <row r="865" spans="5:26" x14ac:dyDescent="0.3">
      <c r="E865" s="4"/>
      <c r="F865" s="4"/>
      <c r="G865" s="4"/>
      <c r="K865" s="4"/>
      <c r="N865" s="4"/>
      <c r="Q865" s="4"/>
      <c r="R865" s="4"/>
      <c r="S865" s="4"/>
      <c r="U865" s="4"/>
      <c r="V865" s="4"/>
      <c r="X865" s="4"/>
      <c r="Z865" s="4"/>
    </row>
    <row r="866" spans="5:26" x14ac:dyDescent="0.3">
      <c r="E866" s="4"/>
      <c r="F866" s="4"/>
      <c r="G866" s="4"/>
      <c r="K866" s="4"/>
      <c r="N866" s="4"/>
      <c r="Q866" s="4"/>
      <c r="R866" s="4"/>
      <c r="S866" s="4"/>
      <c r="U866" s="4"/>
      <c r="V866" s="4"/>
      <c r="X866" s="4"/>
      <c r="Z866" s="4"/>
    </row>
    <row r="867" spans="5:26" x14ac:dyDescent="0.3">
      <c r="E867" s="4"/>
      <c r="F867" s="4"/>
      <c r="G867" s="4"/>
      <c r="K867" s="4"/>
      <c r="N867" s="4"/>
      <c r="Q867" s="4"/>
      <c r="R867" s="4"/>
      <c r="S867" s="4"/>
      <c r="U867" s="4"/>
      <c r="V867" s="4"/>
      <c r="X867" s="4"/>
      <c r="Z867" s="4"/>
    </row>
    <row r="868" spans="5:26" x14ac:dyDescent="0.3">
      <c r="E868" s="4"/>
      <c r="F868" s="4"/>
      <c r="G868" s="4"/>
      <c r="K868" s="4"/>
      <c r="N868" s="4"/>
      <c r="Q868" s="4"/>
      <c r="R868" s="4"/>
      <c r="S868" s="4"/>
      <c r="U868" s="4"/>
      <c r="V868" s="4"/>
      <c r="X868" s="4"/>
      <c r="Z868" s="4"/>
    </row>
    <row r="869" spans="5:26" x14ac:dyDescent="0.3">
      <c r="E869" s="4"/>
      <c r="F869" s="4"/>
      <c r="G869" s="4"/>
      <c r="K869" s="4"/>
      <c r="N869" s="4"/>
      <c r="Q869" s="4"/>
      <c r="R869" s="4"/>
      <c r="S869" s="4"/>
      <c r="U869" s="4"/>
      <c r="V869" s="4"/>
      <c r="X869" s="4"/>
      <c r="Z869" s="4"/>
    </row>
    <row r="870" spans="5:26" x14ac:dyDescent="0.3">
      <c r="E870" s="4"/>
      <c r="F870" s="4"/>
      <c r="G870" s="4"/>
      <c r="K870" s="4"/>
      <c r="N870" s="4"/>
      <c r="Q870" s="4"/>
      <c r="R870" s="4"/>
      <c r="S870" s="4"/>
      <c r="U870" s="4"/>
      <c r="V870" s="4"/>
      <c r="X870" s="4"/>
      <c r="Z870" s="4"/>
    </row>
    <row r="871" spans="5:26" x14ac:dyDescent="0.3">
      <c r="E871" s="4"/>
      <c r="F871" s="4"/>
      <c r="G871" s="4"/>
      <c r="K871" s="4"/>
      <c r="N871" s="4"/>
      <c r="Q871" s="4"/>
      <c r="R871" s="4"/>
      <c r="S871" s="4"/>
      <c r="U871" s="4"/>
      <c r="V871" s="4"/>
      <c r="X871" s="4"/>
      <c r="Z871" s="4"/>
    </row>
    <row r="872" spans="5:26" x14ac:dyDescent="0.3">
      <c r="E872" s="4"/>
      <c r="F872" s="4"/>
      <c r="G872" s="4"/>
      <c r="K872" s="4"/>
      <c r="N872" s="4"/>
      <c r="Q872" s="4"/>
      <c r="R872" s="4"/>
      <c r="S872" s="4"/>
      <c r="U872" s="4"/>
      <c r="V872" s="4"/>
      <c r="X872" s="4"/>
      <c r="Z872" s="4"/>
    </row>
    <row r="873" spans="5:26" x14ac:dyDescent="0.3">
      <c r="E873" s="4"/>
      <c r="F873" s="4"/>
      <c r="G873" s="4"/>
      <c r="K873" s="4"/>
      <c r="N873" s="4"/>
      <c r="Q873" s="4"/>
      <c r="R873" s="4"/>
      <c r="S873" s="4"/>
      <c r="U873" s="4"/>
      <c r="V873" s="4"/>
      <c r="X873" s="4"/>
      <c r="Z873" s="4"/>
    </row>
    <row r="874" spans="5:26" x14ac:dyDescent="0.3">
      <c r="E874" s="4"/>
      <c r="F874" s="4"/>
      <c r="G874" s="4"/>
      <c r="K874" s="4"/>
      <c r="N874" s="4"/>
      <c r="Q874" s="4"/>
      <c r="R874" s="4"/>
      <c r="S874" s="4"/>
      <c r="U874" s="4"/>
      <c r="V874" s="4"/>
      <c r="X874" s="4"/>
      <c r="Z874" s="4"/>
    </row>
  </sheetData>
  <phoneticPr fontId="3" type="noConversion"/>
  <dataValidations count="1">
    <dataValidation type="list" allowBlank="1" showInputMessage="1" showErrorMessage="1" sqref="B2:B51" xr:uid="{0701B1E4-5CF6-4545-93F5-710BC948B2F5}">
      <formula1>"2018,2019,2020,2021,2022,2023"</formula1>
    </dataValidation>
  </dataValidation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Jansen, Laura1</dc:creator>
  <cp:lastModifiedBy>Jansen, Laura1</cp:lastModifiedBy>
  <cp:lastPrinted>2023-06-29T07:58:37Z</cp:lastPrinted>
  <dcterms:created xsi:type="dcterms:W3CDTF">2021-10-05T13:42:16Z</dcterms:created>
  <dcterms:modified xsi:type="dcterms:W3CDTF">2024-06-12T08:34:36Z</dcterms:modified>
</cp:coreProperties>
</file>