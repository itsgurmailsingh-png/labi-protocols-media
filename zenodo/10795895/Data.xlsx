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firstSheet="2" activeTab="5"/>
  </bookViews>
  <sheets>
    <sheet name="Aromia bungii Faldermann adults" sheetId="7" r:id="rId1"/>
    <sheet name="CAT Enzymatic activity" sheetId="1" r:id="rId2"/>
    <sheet name="POD Enzymatic activity" sheetId="2" r:id="rId3"/>
    <sheet name="SOD Enzymatic activity" sheetId="3" r:id="rId4"/>
    <sheet name="CarE  Enzymatic activity" sheetId="4" r:id="rId5"/>
    <sheet name="GST CAT Enzymatic activity" sheetId="5" r:id="rId6"/>
    <sheet name="Sclerodermus guani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<sst xmlns="http://schemas.openxmlformats.org/spreadsheetml/2006/main" count="370" uniqueCount="83">
  <si>
    <t>Take-up rate</t>
  </si>
  <si>
    <t>0 mg/Kg(Control)</t>
  </si>
  <si>
    <t>0.5mg/Kg</t>
  </si>
  <si>
    <t>1mg/Kg</t>
  </si>
  <si>
    <t>5mg/Kg</t>
  </si>
  <si>
    <t>Total</t>
  </si>
  <si>
    <t>Death</t>
  </si>
  <si>
    <t>Feed</t>
  </si>
  <si>
    <t>Initial day</t>
  </si>
  <si>
    <t>15 days later</t>
  </si>
  <si>
    <t>Weight increased</t>
  </si>
  <si>
    <t>Rate of increase</t>
  </si>
  <si>
    <t>Insecticide</t>
  </si>
  <si>
    <t>Toxicity regression equation</t>
  </si>
  <si>
    <r>
      <t>LC</t>
    </r>
    <r>
      <rPr>
        <vertAlign val="subscript"/>
        <sz val="11"/>
        <color theme="1"/>
        <rFont val="Times New Roman"/>
        <charset val="134"/>
      </rPr>
      <t>50</t>
    </r>
  </si>
  <si>
    <r>
      <t>LC</t>
    </r>
    <r>
      <rPr>
        <vertAlign val="subscript"/>
        <sz val="11"/>
        <color theme="1"/>
        <rFont val="Times New Roman"/>
        <charset val="134"/>
      </rPr>
      <t>30</t>
    </r>
  </si>
  <si>
    <r>
      <t>LC</t>
    </r>
    <r>
      <rPr>
        <vertAlign val="subscript"/>
        <sz val="11"/>
        <color theme="1"/>
        <rFont val="Times New Roman"/>
        <charset val="134"/>
      </rPr>
      <t>20</t>
    </r>
  </si>
  <si>
    <r>
      <t>LC</t>
    </r>
    <r>
      <rPr>
        <vertAlign val="subscript"/>
        <sz val="11"/>
        <color theme="1"/>
        <rFont val="Times New Roman"/>
        <charset val="134"/>
      </rPr>
      <t>10</t>
    </r>
  </si>
  <si>
    <t>Imidacloprid</t>
  </si>
  <si>
    <t>Y=0.549x-0.703</t>
  </si>
  <si>
    <t>0mg/Kg</t>
  </si>
  <si>
    <t>5% concentration</t>
  </si>
  <si>
    <t>Contrast OD</t>
  </si>
  <si>
    <t>Testing OD</t>
  </si>
  <si>
    <r>
      <rPr>
        <sz val="11"/>
        <color theme="1"/>
        <rFont val="Times New Roman"/>
        <charset val="134"/>
      </rPr>
      <t>0mg/Kg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1%</t>
    </r>
    <r>
      <rPr>
        <sz val="11"/>
        <color theme="1"/>
        <rFont val="等线"/>
        <charset val="134"/>
      </rPr>
      <t>）</t>
    </r>
  </si>
  <si>
    <t>Contrast-Test</t>
  </si>
  <si>
    <t>*271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</si>
  <si>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等线"/>
        <charset val="134"/>
      </rPr>
      <t>样</t>
    </r>
  </si>
  <si>
    <t>T</t>
  </si>
  <si>
    <t>CPr</t>
  </si>
  <si>
    <r>
      <rPr>
        <sz val="11"/>
        <color theme="1"/>
        <rFont val="Times New Roman"/>
        <charset val="134"/>
      </rPr>
      <t>Enzyme activity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U/mgprot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</si>
  <si>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charset val="134"/>
      </rPr>
      <t>0.5mg/Kg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1%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</si>
  <si>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charset val="134"/>
      </rPr>
      <t>1mg/Kg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1%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</si>
  <si>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charset val="134"/>
      </rPr>
      <t>5mg/Kg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1%</t>
    </r>
    <r>
      <rPr>
        <sz val="11"/>
        <color theme="1"/>
        <rFont val="等线"/>
        <charset val="134"/>
      </rPr>
      <t>）</t>
    </r>
  </si>
  <si>
    <t>0mg/Kg(Control)</t>
  </si>
  <si>
    <t>10% concentration</t>
  </si>
  <si>
    <t>Blank OD</t>
  </si>
  <si>
    <t>Test-Blank</t>
  </si>
  <si>
    <t>/</t>
  </si>
  <si>
    <t>*40</t>
  </si>
  <si>
    <t>*1000</t>
  </si>
  <si>
    <t>/T</t>
  </si>
  <si>
    <t>/CPr</t>
  </si>
  <si>
    <t>5 mg/Kg</t>
  </si>
  <si>
    <t>*</t>
  </si>
  <si>
    <r>
      <rPr>
        <sz val="11"/>
        <color theme="1"/>
        <rFont val="Times New Roman"/>
        <charset val="134"/>
      </rPr>
      <t>Enzyme activity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U/mgprot</t>
    </r>
    <r>
      <rPr>
        <sz val="11"/>
        <color theme="1"/>
        <rFont val="宋体"/>
        <charset val="134"/>
      </rPr>
      <t>）</t>
    </r>
  </si>
  <si>
    <t>Blank tube</t>
  </si>
  <si>
    <t>Test tube</t>
  </si>
  <si>
    <t>10s A1</t>
  </si>
  <si>
    <t>190s A2</t>
  </si>
  <si>
    <t>10s A3</t>
  </si>
  <si>
    <t>190s A4</t>
  </si>
  <si>
    <t>10s  A3</t>
  </si>
  <si>
    <t>A1</t>
  </si>
  <si>
    <t>A2</t>
  </si>
  <si>
    <t>A3</t>
  </si>
  <si>
    <t>A4</t>
  </si>
  <si>
    <t>Testing tube</t>
  </si>
  <si>
    <t>*constant</t>
  </si>
  <si>
    <r>
      <rPr>
        <sz val="11"/>
        <color theme="1"/>
        <rFont val="Times New Roman"/>
        <charset val="134"/>
      </rPr>
      <t>0mg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10%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</si>
  <si>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charset val="134"/>
      </rPr>
      <t>0.5mg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10%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</si>
  <si>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charset val="134"/>
      </rPr>
      <t>1mg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10%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</si>
  <si>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"/>
        <charset val="134"/>
      </rPr>
      <t>5mg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10%</t>
    </r>
    <r>
      <rPr>
        <sz val="11"/>
        <color theme="1"/>
        <rFont val="等线"/>
        <charset val="134"/>
      </rPr>
      <t>）</t>
    </r>
  </si>
  <si>
    <t>Blank</t>
  </si>
  <si>
    <t>Reference</t>
  </si>
  <si>
    <t>Test</t>
  </si>
  <si>
    <t>Contrast</t>
  </si>
  <si>
    <t>Reference-Blank</t>
  </si>
  <si>
    <t xml:space="preserve">Egg number </t>
  </si>
  <si>
    <t>Effects of A. bungii larval treatment with sublethal concentrations of
imidacloprid on the lifespan of S. guani adults</t>
  </si>
  <si>
    <t>Total S. guani adults</t>
  </si>
  <si>
    <t>Death S. guani adults</t>
  </si>
  <si>
    <t>Mortality rate(%)</t>
  </si>
  <si>
    <t>Number of larvae</t>
  </si>
  <si>
    <t>Adult</t>
  </si>
  <si>
    <t>Eclosion rate</t>
  </si>
  <si>
    <t>Male</t>
  </si>
  <si>
    <t>Female</t>
  </si>
  <si>
    <t>Number of reproductive tubes</t>
  </si>
  <si>
    <t>Number of non reproductive tubes</t>
  </si>
  <si>
    <t>Total number of pipes</t>
  </si>
  <si>
    <t>Reproductive mortality(%)</t>
  </si>
  <si>
    <t>Non-reproductive mortality(%)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</si>
</sst>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3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9"/>
      <color rgb="FF000000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color theme="9"/>
      <name val="Times New Roman"/>
      <charset val="134"/>
    </font>
    <font>
      <sz val="11"/>
      <name val="等线"/>
      <charset val="134"/>
      <scheme val="minor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0.5"/>
      <name val="Times New Roman"/>
      <charset val="134"/>
    </font>
    <font>
      <sz val="10.5"/>
      <color theme="1"/>
      <name val="Times New Roman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vertAlign val="subscript"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3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9" fontId="11" fillId="0" borderId="4" xfId="0" applyNumberFormat="1" applyFont="1" applyFill="1" applyBorder="1" applyAlignment="1">
      <alignment horizontal="center" vertical="center" wrapText="1"/>
    </xf>
    <xf numFmtId="10" fontId="11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0" fontId="12" fillId="0" borderId="0" xfId="0" applyNumberFormat="1" applyFont="1" applyFill="1" applyBorder="1" applyAlignment="1" applyProtection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3" fillId="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10" fontId="1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opLeftCell="A28" workbookViewId="0">
      <selection activeCell="D45" sqref="D45"/>
    </sheetView>
  </sheetViews>
  <sheetFormatPr defaultColWidth="8.88888888888889" defaultRowHeight="13.8"/>
  <cols>
    <col min="1" max="1" width="19.1111111111111" customWidth="1"/>
    <col min="2" max="2" width="24.4444444444444" customWidth="1"/>
    <col min="3" max="3" width="16.8888888888889" customWidth="1"/>
    <col min="4" max="4" width="15.5555555555556" customWidth="1"/>
    <col min="5" max="6" width="12.8888888888889"/>
    <col min="7" max="7" width="16" customWidth="1"/>
    <col min="8" max="8" width="14.1111111111111" customWidth="1"/>
    <col min="10" max="10" width="12.2222222222222" customWidth="1"/>
    <col min="11" max="11" width="14.4444444444444" customWidth="1"/>
    <col min="12" max="12" width="14.8888888888889" customWidth="1"/>
    <col min="14" max="14" width="13.6666666666667" customWidth="1"/>
    <col min="15" max="15" width="14.5555555555556" customWidth="1"/>
    <col min="16" max="16" width="17.2222222222222" customWidth="1"/>
  </cols>
  <sheetData>
    <row r="1" ht="14.55" spans="1:5">
      <c r="A1" s="12" t="s">
        <v>0</v>
      </c>
      <c r="B1" s="12"/>
      <c r="C1" s="12"/>
      <c r="D1" s="12"/>
      <c r="E1" s="12"/>
    </row>
    <row r="2" ht="14.55" spans="1:5">
      <c r="A2" s="28"/>
      <c r="B2" s="29" t="s">
        <v>1</v>
      </c>
      <c r="C2" s="29" t="s">
        <v>2</v>
      </c>
      <c r="D2" s="29" t="s">
        <v>3</v>
      </c>
      <c r="E2" s="29" t="s">
        <v>4</v>
      </c>
    </row>
    <row r="3" ht="14.55" spans="1:5">
      <c r="A3" s="30" t="s">
        <v>5</v>
      </c>
      <c r="B3" s="31">
        <v>25</v>
      </c>
      <c r="C3" s="31">
        <v>46</v>
      </c>
      <c r="D3" s="31">
        <v>50</v>
      </c>
      <c r="E3" s="31">
        <v>30</v>
      </c>
    </row>
    <row r="4" ht="14.55" spans="1:5">
      <c r="A4" s="30" t="s">
        <v>6</v>
      </c>
      <c r="B4" s="31">
        <v>0</v>
      </c>
      <c r="C4" s="31">
        <v>2</v>
      </c>
      <c r="D4" s="31">
        <v>2</v>
      </c>
      <c r="E4" s="31">
        <v>1</v>
      </c>
    </row>
    <row r="5" ht="14.55" spans="1:5">
      <c r="A5" s="30" t="s">
        <v>7</v>
      </c>
      <c r="B5" s="31">
        <v>25</v>
      </c>
      <c r="C5" s="31">
        <v>39</v>
      </c>
      <c r="D5" s="31">
        <v>42</v>
      </c>
      <c r="E5" s="31">
        <v>19</v>
      </c>
    </row>
    <row r="6" ht="14.55" spans="1:5">
      <c r="A6" s="30" t="s">
        <v>0</v>
      </c>
      <c r="B6" s="32">
        <v>1</v>
      </c>
      <c r="C6" s="32">
        <v>0.886</v>
      </c>
      <c r="D6" s="33">
        <v>0.875</v>
      </c>
      <c r="E6" s="33">
        <v>0.633</v>
      </c>
    </row>
    <row r="8" spans="1:16">
      <c r="A8" s="12" t="s">
        <v>1</v>
      </c>
      <c r="B8" s="12"/>
      <c r="C8" s="12"/>
      <c r="D8" s="12"/>
      <c r="E8" s="12" t="s">
        <v>2</v>
      </c>
      <c r="F8" s="12"/>
      <c r="G8" s="12"/>
      <c r="H8" s="15"/>
      <c r="I8" s="12" t="s">
        <v>3</v>
      </c>
      <c r="J8" s="12"/>
      <c r="K8" s="12"/>
      <c r="L8" s="12"/>
      <c r="M8" s="12" t="s">
        <v>4</v>
      </c>
      <c r="N8" s="12"/>
      <c r="O8" s="12"/>
      <c r="P8" s="12"/>
    </row>
    <row r="9" spans="1:16">
      <c r="A9" s="34" t="s">
        <v>8</v>
      </c>
      <c r="B9" s="34" t="s">
        <v>9</v>
      </c>
      <c r="C9" s="12" t="s">
        <v>10</v>
      </c>
      <c r="D9" s="12" t="s">
        <v>11</v>
      </c>
      <c r="E9" s="34" t="s">
        <v>8</v>
      </c>
      <c r="F9" s="34" t="s">
        <v>9</v>
      </c>
      <c r="G9" s="12" t="s">
        <v>10</v>
      </c>
      <c r="H9" s="12" t="s">
        <v>11</v>
      </c>
      <c r="I9" s="34" t="s">
        <v>8</v>
      </c>
      <c r="J9" s="34" t="s">
        <v>9</v>
      </c>
      <c r="K9" s="12" t="s">
        <v>10</v>
      </c>
      <c r="L9" s="12" t="s">
        <v>11</v>
      </c>
      <c r="M9" s="34" t="s">
        <v>8</v>
      </c>
      <c r="N9" s="34" t="s">
        <v>9</v>
      </c>
      <c r="O9" s="12" t="s">
        <v>10</v>
      </c>
      <c r="P9" s="12" t="s">
        <v>11</v>
      </c>
    </row>
    <row r="10" spans="1:16">
      <c r="A10" s="6">
        <v>0.17</v>
      </c>
      <c r="B10" s="15">
        <v>0.487</v>
      </c>
      <c r="C10" s="15">
        <f t="shared" ref="C10:C19" si="0">B10-A10</f>
        <v>0.317</v>
      </c>
      <c r="D10" s="35">
        <f t="shared" ref="D10:D19" si="1">C10/A10</f>
        <v>1.86470588235294</v>
      </c>
      <c r="E10" s="15">
        <v>0.092</v>
      </c>
      <c r="F10" s="15">
        <v>0.0612</v>
      </c>
      <c r="G10" s="15">
        <f t="shared" ref="G10:G28" si="2">F10-E10</f>
        <v>-0.0308</v>
      </c>
      <c r="H10" s="35">
        <f t="shared" ref="H10:H28" si="3">G10/E10</f>
        <v>-0.334782608695652</v>
      </c>
      <c r="I10" s="6">
        <v>0.132</v>
      </c>
      <c r="J10" s="15">
        <v>0.117</v>
      </c>
      <c r="K10" s="15">
        <f t="shared" ref="K10:K34" si="4">J10-I10</f>
        <v>-0.015</v>
      </c>
      <c r="L10" s="35">
        <f t="shared" ref="L10:L34" si="5">K10/I10</f>
        <v>-0.113636363636364</v>
      </c>
      <c r="M10" s="15">
        <v>0.144</v>
      </c>
      <c r="N10" s="15">
        <v>0.121</v>
      </c>
      <c r="O10" s="15">
        <f t="shared" ref="O10:O34" si="6">N10-M10</f>
        <v>-0.023</v>
      </c>
      <c r="P10" s="35">
        <f t="shared" ref="P10:P24" si="7">O10/M10</f>
        <v>-0.159722222222222</v>
      </c>
    </row>
    <row r="11" spans="1:16">
      <c r="A11" s="6">
        <v>0.141</v>
      </c>
      <c r="B11" s="15">
        <v>0.389</v>
      </c>
      <c r="C11" s="15">
        <f t="shared" si="0"/>
        <v>0.248</v>
      </c>
      <c r="D11" s="35">
        <f t="shared" si="1"/>
        <v>1.75886524822695</v>
      </c>
      <c r="E11" s="15">
        <v>0.093</v>
      </c>
      <c r="F11" s="15">
        <v>0.079</v>
      </c>
      <c r="G11" s="15">
        <f t="shared" si="2"/>
        <v>-0.014</v>
      </c>
      <c r="H11" s="35">
        <f t="shared" si="3"/>
        <v>-0.150537634408602</v>
      </c>
      <c r="I11" s="6">
        <v>0.177</v>
      </c>
      <c r="J11" s="15">
        <v>0.178</v>
      </c>
      <c r="K11" s="15">
        <f t="shared" si="4"/>
        <v>0.001</v>
      </c>
      <c r="L11" s="35">
        <f t="shared" si="5"/>
        <v>0.0056497175141243</v>
      </c>
      <c r="M11" s="15">
        <v>0.119</v>
      </c>
      <c r="N11" s="15">
        <v>0.093</v>
      </c>
      <c r="O11" s="15">
        <f t="shared" si="6"/>
        <v>-0.026</v>
      </c>
      <c r="P11" s="35">
        <f t="shared" si="7"/>
        <v>-0.218487394957983</v>
      </c>
    </row>
    <row r="12" spans="1:16">
      <c r="A12" s="6">
        <v>0.108</v>
      </c>
      <c r="B12" s="15">
        <v>0.388</v>
      </c>
      <c r="C12" s="15">
        <f t="shared" si="0"/>
        <v>0.28</v>
      </c>
      <c r="D12" s="35">
        <f t="shared" si="1"/>
        <v>2.59259259259259</v>
      </c>
      <c r="E12" s="15">
        <v>0.103</v>
      </c>
      <c r="F12" s="15">
        <v>0.087</v>
      </c>
      <c r="G12" s="15">
        <f t="shared" si="2"/>
        <v>-0.016</v>
      </c>
      <c r="H12" s="35">
        <f t="shared" si="3"/>
        <v>-0.155339805825243</v>
      </c>
      <c r="I12" s="6">
        <v>0.141</v>
      </c>
      <c r="J12" s="15">
        <v>0.132</v>
      </c>
      <c r="K12" s="15">
        <f t="shared" si="4"/>
        <v>-0.00899999999999998</v>
      </c>
      <c r="L12" s="35">
        <f t="shared" si="5"/>
        <v>-0.0638297872340424</v>
      </c>
      <c r="M12" s="15">
        <v>0.115</v>
      </c>
      <c r="N12" s="15">
        <v>0.085</v>
      </c>
      <c r="O12" s="15">
        <f t="shared" si="6"/>
        <v>-0.03</v>
      </c>
      <c r="P12" s="35">
        <f t="shared" si="7"/>
        <v>-0.260869565217391</v>
      </c>
    </row>
    <row r="13" spans="1:16">
      <c r="A13" s="6">
        <v>0.123</v>
      </c>
      <c r="B13" s="15">
        <v>0.251</v>
      </c>
      <c r="C13" s="15">
        <f t="shared" si="0"/>
        <v>0.128</v>
      </c>
      <c r="D13" s="35">
        <f t="shared" si="1"/>
        <v>1.04065040650407</v>
      </c>
      <c r="E13" s="15">
        <v>0.086</v>
      </c>
      <c r="F13" s="15">
        <v>0.071</v>
      </c>
      <c r="G13" s="15">
        <f t="shared" si="2"/>
        <v>-0.015</v>
      </c>
      <c r="H13" s="35">
        <f t="shared" si="3"/>
        <v>-0.174418604651163</v>
      </c>
      <c r="I13" s="6">
        <v>0.144</v>
      </c>
      <c r="J13" s="15">
        <v>0.11</v>
      </c>
      <c r="K13" s="15">
        <f t="shared" si="4"/>
        <v>-0.034</v>
      </c>
      <c r="L13" s="35">
        <f t="shared" si="5"/>
        <v>-0.236111111111111</v>
      </c>
      <c r="M13" s="15">
        <v>0.11</v>
      </c>
      <c r="N13" s="17">
        <v>0.08</v>
      </c>
      <c r="O13" s="15">
        <f t="shared" si="6"/>
        <v>-0.03</v>
      </c>
      <c r="P13" s="35">
        <f t="shared" si="7"/>
        <v>-0.272727272727273</v>
      </c>
    </row>
    <row r="14" spans="1:16">
      <c r="A14" s="6">
        <v>0.093</v>
      </c>
      <c r="B14" s="15">
        <v>0.233</v>
      </c>
      <c r="C14" s="15">
        <f t="shared" si="0"/>
        <v>0.14</v>
      </c>
      <c r="D14" s="35">
        <f t="shared" si="1"/>
        <v>1.50537634408602</v>
      </c>
      <c r="E14" s="15">
        <v>0.138</v>
      </c>
      <c r="F14" s="15">
        <v>0.124</v>
      </c>
      <c r="G14" s="15">
        <f t="shared" si="2"/>
        <v>-0.014</v>
      </c>
      <c r="H14" s="35">
        <f t="shared" si="3"/>
        <v>-0.101449275362319</v>
      </c>
      <c r="I14" s="6">
        <v>0.143</v>
      </c>
      <c r="J14" s="15">
        <v>0.122</v>
      </c>
      <c r="K14" s="15">
        <f t="shared" si="4"/>
        <v>-0.021</v>
      </c>
      <c r="L14" s="35">
        <f t="shared" si="5"/>
        <v>-0.146853146853147</v>
      </c>
      <c r="M14" s="15">
        <v>0.088</v>
      </c>
      <c r="N14" s="15">
        <v>0.063</v>
      </c>
      <c r="O14" s="15">
        <f t="shared" si="6"/>
        <v>-0.025</v>
      </c>
      <c r="P14" s="35">
        <f t="shared" si="7"/>
        <v>-0.284090909090909</v>
      </c>
    </row>
    <row r="15" spans="1:16">
      <c r="A15" s="6">
        <v>0.1</v>
      </c>
      <c r="B15" s="15">
        <v>0.139</v>
      </c>
      <c r="C15" s="15">
        <f t="shared" si="0"/>
        <v>0.039</v>
      </c>
      <c r="D15" s="35">
        <f t="shared" si="1"/>
        <v>0.39</v>
      </c>
      <c r="E15" s="15">
        <v>0.065</v>
      </c>
      <c r="F15" s="15">
        <v>0.06</v>
      </c>
      <c r="G15" s="15">
        <f t="shared" si="2"/>
        <v>-0.005</v>
      </c>
      <c r="H15" s="35">
        <f t="shared" si="3"/>
        <v>-0.076923076923077</v>
      </c>
      <c r="I15" s="6">
        <v>0.153</v>
      </c>
      <c r="J15" s="15">
        <v>0.115</v>
      </c>
      <c r="K15" s="15">
        <f t="shared" si="4"/>
        <v>-0.038</v>
      </c>
      <c r="L15" s="35">
        <f t="shared" si="5"/>
        <v>-0.248366013071895</v>
      </c>
      <c r="M15" s="15">
        <v>0.086</v>
      </c>
      <c r="N15" s="15">
        <v>0.077</v>
      </c>
      <c r="O15" s="15">
        <f t="shared" si="6"/>
        <v>-0.00899999999999999</v>
      </c>
      <c r="P15" s="35">
        <f t="shared" si="7"/>
        <v>-0.104651162790698</v>
      </c>
    </row>
    <row r="16" spans="1:16">
      <c r="A16" s="6">
        <v>0.097</v>
      </c>
      <c r="B16" s="15">
        <v>0.183</v>
      </c>
      <c r="C16" s="15">
        <f t="shared" si="0"/>
        <v>0.086</v>
      </c>
      <c r="D16" s="35">
        <f t="shared" si="1"/>
        <v>0.88659793814433</v>
      </c>
      <c r="E16" s="15">
        <v>0.103</v>
      </c>
      <c r="F16" s="15">
        <v>0.096</v>
      </c>
      <c r="G16" s="15">
        <f t="shared" si="2"/>
        <v>-0.00699999999999999</v>
      </c>
      <c r="H16" s="35">
        <f t="shared" si="3"/>
        <v>-0.0679611650485436</v>
      </c>
      <c r="I16" s="6">
        <v>0.091</v>
      </c>
      <c r="J16" s="15">
        <v>0.071</v>
      </c>
      <c r="K16" s="15">
        <f t="shared" si="4"/>
        <v>-0.02</v>
      </c>
      <c r="L16" s="35">
        <f t="shared" si="5"/>
        <v>-0.21978021978022</v>
      </c>
      <c r="M16" s="15">
        <v>0.105</v>
      </c>
      <c r="N16" s="15">
        <v>0.098</v>
      </c>
      <c r="O16" s="15">
        <f t="shared" si="6"/>
        <v>-0.00699999999999999</v>
      </c>
      <c r="P16" s="35">
        <f t="shared" si="7"/>
        <v>-0.0666666666666666</v>
      </c>
    </row>
    <row r="17" spans="1:16">
      <c r="A17" s="6">
        <v>0.1</v>
      </c>
      <c r="B17" s="15">
        <v>0.224</v>
      </c>
      <c r="C17" s="15">
        <f t="shared" si="0"/>
        <v>0.124</v>
      </c>
      <c r="D17" s="35">
        <f t="shared" si="1"/>
        <v>1.24</v>
      </c>
      <c r="E17" s="15">
        <v>0.077</v>
      </c>
      <c r="F17" s="15">
        <v>0.084</v>
      </c>
      <c r="G17" s="15">
        <f t="shared" si="2"/>
        <v>0.00700000000000001</v>
      </c>
      <c r="H17" s="35">
        <f t="shared" si="3"/>
        <v>0.090909090909091</v>
      </c>
      <c r="I17" s="6">
        <v>0.156</v>
      </c>
      <c r="J17" s="15">
        <v>0.135</v>
      </c>
      <c r="K17" s="15">
        <f t="shared" si="4"/>
        <v>-0.021</v>
      </c>
      <c r="L17" s="35">
        <f t="shared" si="5"/>
        <v>-0.134615384615385</v>
      </c>
      <c r="M17" s="15">
        <v>0.101</v>
      </c>
      <c r="N17" s="15">
        <v>0.077</v>
      </c>
      <c r="O17" s="15">
        <f t="shared" si="6"/>
        <v>-0.024</v>
      </c>
      <c r="P17" s="35">
        <f t="shared" si="7"/>
        <v>-0.237623762376238</v>
      </c>
    </row>
    <row r="18" spans="1:16">
      <c r="A18" s="6">
        <v>0.073</v>
      </c>
      <c r="B18" s="15">
        <v>0.4808</v>
      </c>
      <c r="C18" s="15">
        <f t="shared" si="0"/>
        <v>0.4078</v>
      </c>
      <c r="D18" s="35">
        <f t="shared" si="1"/>
        <v>5.58630136986301</v>
      </c>
      <c r="E18" s="15">
        <v>0.19</v>
      </c>
      <c r="F18" s="15">
        <v>0.182</v>
      </c>
      <c r="G18" s="15">
        <f t="shared" si="2"/>
        <v>-0.00800000000000001</v>
      </c>
      <c r="H18" s="35">
        <f t="shared" si="3"/>
        <v>-0.0421052631578948</v>
      </c>
      <c r="I18" s="6">
        <v>0.156</v>
      </c>
      <c r="J18" s="15">
        <v>0.127</v>
      </c>
      <c r="K18" s="15">
        <f t="shared" si="4"/>
        <v>-0.029</v>
      </c>
      <c r="L18" s="35">
        <f t="shared" si="5"/>
        <v>-0.185897435897436</v>
      </c>
      <c r="M18" s="15">
        <v>0.094</v>
      </c>
      <c r="N18" s="15">
        <v>0.084</v>
      </c>
      <c r="O18" s="15">
        <f t="shared" si="6"/>
        <v>-0.00999999999999999</v>
      </c>
      <c r="P18" s="35">
        <f t="shared" si="7"/>
        <v>-0.106382978723404</v>
      </c>
    </row>
    <row r="19" spans="1:16">
      <c r="A19" s="6">
        <v>0.1</v>
      </c>
      <c r="B19" s="15">
        <v>0.2582</v>
      </c>
      <c r="C19" s="15">
        <f t="shared" si="0"/>
        <v>0.1582</v>
      </c>
      <c r="D19" s="35">
        <f t="shared" si="1"/>
        <v>1.582</v>
      </c>
      <c r="E19" s="15">
        <v>0.07</v>
      </c>
      <c r="F19" s="15">
        <v>0.065</v>
      </c>
      <c r="G19" s="15">
        <f t="shared" si="2"/>
        <v>-0.005</v>
      </c>
      <c r="H19" s="35">
        <f t="shared" si="3"/>
        <v>-0.0714285714285715</v>
      </c>
      <c r="I19" s="6">
        <v>0.082</v>
      </c>
      <c r="J19" s="15">
        <v>0.07</v>
      </c>
      <c r="K19" s="15">
        <f t="shared" si="4"/>
        <v>-0.012</v>
      </c>
      <c r="L19" s="35">
        <f t="shared" si="5"/>
        <v>-0.146341463414634</v>
      </c>
      <c r="M19" s="17">
        <v>0.08</v>
      </c>
      <c r="N19" s="15">
        <v>0.061</v>
      </c>
      <c r="O19" s="15">
        <f t="shared" si="6"/>
        <v>-0.019</v>
      </c>
      <c r="P19" s="35">
        <f t="shared" si="7"/>
        <v>-0.2375</v>
      </c>
    </row>
    <row r="20" spans="1:16">
      <c r="A20" s="15"/>
      <c r="B20" s="15"/>
      <c r="C20" s="15"/>
      <c r="D20" s="15"/>
      <c r="E20" s="15">
        <v>0.08</v>
      </c>
      <c r="F20" s="15">
        <v>0.072</v>
      </c>
      <c r="G20" s="15">
        <f t="shared" si="2"/>
        <v>-0.00800000000000001</v>
      </c>
      <c r="H20" s="35">
        <f t="shared" si="3"/>
        <v>-0.1</v>
      </c>
      <c r="I20" s="6">
        <v>0.097</v>
      </c>
      <c r="J20" s="15">
        <v>0.079</v>
      </c>
      <c r="K20" s="15">
        <f t="shared" si="4"/>
        <v>-0.018</v>
      </c>
      <c r="L20" s="35">
        <f t="shared" si="5"/>
        <v>-0.185567010309278</v>
      </c>
      <c r="M20" s="15">
        <v>0.119</v>
      </c>
      <c r="N20" s="15">
        <v>0.093</v>
      </c>
      <c r="O20" s="15">
        <f t="shared" si="6"/>
        <v>-0.026</v>
      </c>
      <c r="P20" s="35">
        <f t="shared" si="7"/>
        <v>-0.218487394957983</v>
      </c>
    </row>
    <row r="21" spans="1:16">
      <c r="A21" s="15"/>
      <c r="B21" s="15"/>
      <c r="C21" s="15"/>
      <c r="D21" s="15"/>
      <c r="E21" s="15">
        <v>0.082</v>
      </c>
      <c r="F21" s="15">
        <v>0.065</v>
      </c>
      <c r="G21" s="15">
        <f t="shared" si="2"/>
        <v>-0.017</v>
      </c>
      <c r="H21" s="35">
        <f t="shared" si="3"/>
        <v>-0.207317073170732</v>
      </c>
      <c r="I21" s="6">
        <v>0.096</v>
      </c>
      <c r="J21" s="15">
        <v>0.081</v>
      </c>
      <c r="K21" s="15">
        <f t="shared" si="4"/>
        <v>-0.015</v>
      </c>
      <c r="L21" s="35">
        <f t="shared" si="5"/>
        <v>-0.15625</v>
      </c>
      <c r="M21" s="17">
        <v>0.08</v>
      </c>
      <c r="N21" s="15">
        <v>0.083</v>
      </c>
      <c r="O21" s="15">
        <f t="shared" si="6"/>
        <v>0.003</v>
      </c>
      <c r="P21" s="35">
        <f t="shared" si="7"/>
        <v>0.0375</v>
      </c>
    </row>
    <row r="22" spans="1:16">
      <c r="A22" s="15">
        <f>AVERAGE(A10:A19)</f>
        <v>0.1105</v>
      </c>
      <c r="B22" s="15">
        <f>AVERAGE(B10:B19)</f>
        <v>0.3033</v>
      </c>
      <c r="C22" s="15"/>
      <c r="D22" s="11">
        <v>184.47</v>
      </c>
      <c r="E22" s="15">
        <v>0.16</v>
      </c>
      <c r="F22" s="15">
        <v>0.147</v>
      </c>
      <c r="G22" s="15">
        <f t="shared" si="2"/>
        <v>-0.013</v>
      </c>
      <c r="H22" s="35">
        <f t="shared" si="3"/>
        <v>-0.0812500000000001</v>
      </c>
      <c r="I22" s="45">
        <v>0.15</v>
      </c>
      <c r="J22" s="15">
        <v>0.13</v>
      </c>
      <c r="K22" s="15">
        <f t="shared" si="4"/>
        <v>-0.02</v>
      </c>
      <c r="L22" s="35">
        <f t="shared" si="5"/>
        <v>-0.133333333333333</v>
      </c>
      <c r="M22" s="15">
        <v>0.152</v>
      </c>
      <c r="N22" s="15">
        <v>0.137</v>
      </c>
      <c r="O22" s="15">
        <f t="shared" si="6"/>
        <v>-0.015</v>
      </c>
      <c r="P22" s="35">
        <f t="shared" si="7"/>
        <v>-0.0986842105263157</v>
      </c>
    </row>
    <row r="23" spans="1:16">
      <c r="A23" s="15"/>
      <c r="B23" s="15"/>
      <c r="C23" s="15"/>
      <c r="D23" s="15"/>
      <c r="E23" s="15">
        <v>0.096</v>
      </c>
      <c r="F23" s="15">
        <v>0.091</v>
      </c>
      <c r="G23" s="15">
        <f t="shared" si="2"/>
        <v>-0.005</v>
      </c>
      <c r="H23" s="35">
        <f t="shared" si="3"/>
        <v>-0.0520833333333334</v>
      </c>
      <c r="I23" s="6">
        <v>0.095</v>
      </c>
      <c r="J23" s="15">
        <v>0.078</v>
      </c>
      <c r="K23" s="15">
        <f t="shared" si="4"/>
        <v>-0.017</v>
      </c>
      <c r="L23" s="35">
        <f t="shared" si="5"/>
        <v>-0.178947368421053</v>
      </c>
      <c r="M23" s="15">
        <v>0.104</v>
      </c>
      <c r="N23" s="15">
        <v>0.081</v>
      </c>
      <c r="O23" s="15">
        <f t="shared" si="6"/>
        <v>-0.023</v>
      </c>
      <c r="P23" s="35">
        <f t="shared" si="7"/>
        <v>-0.221153846153846</v>
      </c>
    </row>
    <row r="24" spans="1:16">
      <c r="A24" s="15"/>
      <c r="B24" s="15"/>
      <c r="C24" s="15"/>
      <c r="D24" s="15"/>
      <c r="E24" s="15">
        <v>0.115</v>
      </c>
      <c r="F24" s="15">
        <v>0.095</v>
      </c>
      <c r="G24" s="15">
        <f t="shared" si="2"/>
        <v>-0.02</v>
      </c>
      <c r="H24" s="35">
        <f t="shared" si="3"/>
        <v>-0.173913043478261</v>
      </c>
      <c r="I24" s="6">
        <v>0.175</v>
      </c>
      <c r="J24" s="15">
        <v>0.15</v>
      </c>
      <c r="K24" s="15">
        <f t="shared" si="4"/>
        <v>-0.025</v>
      </c>
      <c r="L24" s="35">
        <f t="shared" si="5"/>
        <v>-0.142857142857143</v>
      </c>
      <c r="M24" s="15">
        <v>0.131</v>
      </c>
      <c r="N24" s="15">
        <v>0.08</v>
      </c>
      <c r="O24" s="15">
        <f t="shared" si="6"/>
        <v>-0.051</v>
      </c>
      <c r="P24" s="35">
        <f t="shared" si="7"/>
        <v>-0.389312977099237</v>
      </c>
    </row>
    <row r="25" spans="1:16">
      <c r="A25" s="15"/>
      <c r="B25" s="15"/>
      <c r="C25" s="15"/>
      <c r="D25" s="15"/>
      <c r="E25" s="15">
        <v>0.14</v>
      </c>
      <c r="F25" s="15">
        <v>0.064</v>
      </c>
      <c r="G25" s="15">
        <f t="shared" si="2"/>
        <v>-0.076</v>
      </c>
      <c r="H25" s="35">
        <f t="shared" si="3"/>
        <v>-0.542857142857143</v>
      </c>
      <c r="I25" s="6">
        <v>0.102</v>
      </c>
      <c r="J25" s="15">
        <v>0.088</v>
      </c>
      <c r="K25" s="15">
        <f t="shared" si="4"/>
        <v>-0.014</v>
      </c>
      <c r="L25" s="35">
        <f t="shared" si="5"/>
        <v>-0.137254901960784</v>
      </c>
      <c r="M25" s="15">
        <v>0.079</v>
      </c>
      <c r="N25" s="15">
        <v>0.079</v>
      </c>
      <c r="O25" s="15">
        <f t="shared" si="6"/>
        <v>0</v>
      </c>
      <c r="P25" s="46">
        <v>0</v>
      </c>
    </row>
    <row r="26" spans="1:16">
      <c r="A26" s="15"/>
      <c r="B26" s="15"/>
      <c r="C26" s="15"/>
      <c r="D26" s="15"/>
      <c r="E26" s="15">
        <v>0.128</v>
      </c>
      <c r="F26" s="15">
        <v>0.104</v>
      </c>
      <c r="G26" s="15">
        <f t="shared" si="2"/>
        <v>-0.024</v>
      </c>
      <c r="H26" s="35">
        <f t="shared" si="3"/>
        <v>-0.1875</v>
      </c>
      <c r="I26" s="6">
        <v>0.163</v>
      </c>
      <c r="J26" s="15">
        <v>0.118</v>
      </c>
      <c r="K26" s="15">
        <f t="shared" si="4"/>
        <v>-0.045</v>
      </c>
      <c r="L26" s="35">
        <f t="shared" si="5"/>
        <v>-0.276073619631902</v>
      </c>
      <c r="M26" s="15">
        <v>0.097</v>
      </c>
      <c r="N26" s="15">
        <v>0.08</v>
      </c>
      <c r="O26" s="15">
        <f t="shared" si="6"/>
        <v>-0.017</v>
      </c>
      <c r="P26" s="35">
        <f t="shared" ref="P26:P34" si="8">O26/M26</f>
        <v>-0.175257731958763</v>
      </c>
    </row>
    <row r="27" spans="1:16">
      <c r="A27" s="15"/>
      <c r="B27" s="15"/>
      <c r="C27" s="15"/>
      <c r="D27" s="15"/>
      <c r="E27" s="15">
        <v>0.08</v>
      </c>
      <c r="F27" s="15">
        <v>0.154</v>
      </c>
      <c r="G27" s="15">
        <f t="shared" si="2"/>
        <v>0.074</v>
      </c>
      <c r="H27" s="35">
        <f t="shared" si="3"/>
        <v>0.925</v>
      </c>
      <c r="I27" s="6">
        <v>0.097</v>
      </c>
      <c r="J27" s="15">
        <v>0.077</v>
      </c>
      <c r="K27" s="15">
        <f t="shared" si="4"/>
        <v>-0.02</v>
      </c>
      <c r="L27" s="35">
        <f t="shared" si="5"/>
        <v>-0.206185567010309</v>
      </c>
      <c r="M27" s="15">
        <v>0.112</v>
      </c>
      <c r="N27" s="15">
        <v>0.092</v>
      </c>
      <c r="O27" s="15">
        <f t="shared" si="6"/>
        <v>-0.02</v>
      </c>
      <c r="P27" s="35">
        <f t="shared" si="8"/>
        <v>-0.178571428571429</v>
      </c>
    </row>
    <row r="28" spans="1:16">
      <c r="A28" s="15"/>
      <c r="B28" s="15"/>
      <c r="C28" s="15"/>
      <c r="D28" s="15"/>
      <c r="E28" s="15">
        <v>0.132</v>
      </c>
      <c r="F28" s="15">
        <v>0.18</v>
      </c>
      <c r="G28" s="15">
        <f t="shared" si="2"/>
        <v>0.048</v>
      </c>
      <c r="H28" s="35">
        <f t="shared" si="3"/>
        <v>0.363636363636364</v>
      </c>
      <c r="I28" s="6">
        <v>0.185</v>
      </c>
      <c r="J28" s="15">
        <v>0.166</v>
      </c>
      <c r="K28" s="15">
        <f t="shared" si="4"/>
        <v>-0.019</v>
      </c>
      <c r="L28" s="35">
        <f t="shared" si="5"/>
        <v>-0.102702702702703</v>
      </c>
      <c r="M28" s="15">
        <v>0.113</v>
      </c>
      <c r="N28" s="15">
        <v>0.058</v>
      </c>
      <c r="O28" s="15">
        <f t="shared" si="6"/>
        <v>-0.055</v>
      </c>
      <c r="P28" s="35">
        <f t="shared" si="8"/>
        <v>-0.486725663716814</v>
      </c>
    </row>
    <row r="29" spans="1:16">
      <c r="A29" s="15"/>
      <c r="B29" s="15"/>
      <c r="C29" s="15"/>
      <c r="D29" s="15"/>
      <c r="E29" s="15"/>
      <c r="F29" s="15"/>
      <c r="G29" s="15"/>
      <c r="H29" s="15"/>
      <c r="I29" s="6">
        <v>0.079</v>
      </c>
      <c r="J29" s="15">
        <v>0.059</v>
      </c>
      <c r="K29" s="15">
        <f t="shared" si="4"/>
        <v>-0.02</v>
      </c>
      <c r="L29" s="35">
        <f t="shared" si="5"/>
        <v>-0.253164556962025</v>
      </c>
      <c r="M29" s="15">
        <v>0.106</v>
      </c>
      <c r="N29" s="15">
        <v>0.084</v>
      </c>
      <c r="O29" s="15">
        <f t="shared" si="6"/>
        <v>-0.022</v>
      </c>
      <c r="P29" s="35">
        <f t="shared" si="8"/>
        <v>-0.207547169811321</v>
      </c>
    </row>
    <row r="30" spans="1:16">
      <c r="A30" s="15"/>
      <c r="B30" s="15"/>
      <c r="C30" s="15"/>
      <c r="D30" s="15"/>
      <c r="E30" s="15"/>
      <c r="F30" s="15"/>
      <c r="G30" s="15"/>
      <c r="H30" s="15"/>
      <c r="I30" s="6">
        <v>0.081</v>
      </c>
      <c r="J30" s="15">
        <v>0.076</v>
      </c>
      <c r="K30" s="15">
        <f t="shared" si="4"/>
        <v>-0.005</v>
      </c>
      <c r="L30" s="35">
        <f t="shared" si="5"/>
        <v>-0.0617283950617284</v>
      </c>
      <c r="M30" s="15">
        <v>0.134</v>
      </c>
      <c r="N30" s="15">
        <v>0.071</v>
      </c>
      <c r="O30" s="15">
        <f t="shared" si="6"/>
        <v>-0.063</v>
      </c>
      <c r="P30" s="35">
        <f t="shared" si="8"/>
        <v>-0.470149253731343</v>
      </c>
    </row>
    <row r="31" spans="1:16">
      <c r="A31" s="15"/>
      <c r="B31" s="15"/>
      <c r="C31" s="15"/>
      <c r="D31" s="15"/>
      <c r="E31" s="15">
        <f>AVERAGE(E10:E28)</f>
        <v>0.106842105263158</v>
      </c>
      <c r="F31" s="15">
        <f>AVERAGE(F10:F28)</f>
        <v>0.0990105263157895</v>
      </c>
      <c r="G31" s="15"/>
      <c r="H31" s="11">
        <f>AVERAGE(H10:H28)</f>
        <v>-0.0600169023050042</v>
      </c>
      <c r="I31" s="6">
        <v>0.082</v>
      </c>
      <c r="J31" s="15">
        <v>0.068</v>
      </c>
      <c r="K31" s="15">
        <f t="shared" si="4"/>
        <v>-0.014</v>
      </c>
      <c r="L31" s="35">
        <f t="shared" si="5"/>
        <v>-0.170731707317073</v>
      </c>
      <c r="M31" s="15">
        <v>0.088</v>
      </c>
      <c r="N31" s="15">
        <v>0.082</v>
      </c>
      <c r="O31" s="15">
        <f t="shared" si="6"/>
        <v>-0.00599999999999999</v>
      </c>
      <c r="P31" s="35">
        <f t="shared" si="8"/>
        <v>-0.0681818181818181</v>
      </c>
    </row>
    <row r="32" spans="1:16">
      <c r="A32" s="15"/>
      <c r="B32" s="15"/>
      <c r="C32" s="15"/>
      <c r="D32" s="15"/>
      <c r="E32" s="15"/>
      <c r="F32" s="15"/>
      <c r="G32" s="15"/>
      <c r="H32" s="15"/>
      <c r="I32" s="6">
        <v>0.102</v>
      </c>
      <c r="J32" s="15">
        <v>0.086</v>
      </c>
      <c r="K32" s="15">
        <f t="shared" si="4"/>
        <v>-0.016</v>
      </c>
      <c r="L32" s="35">
        <f t="shared" si="5"/>
        <v>-0.156862745098039</v>
      </c>
      <c r="M32" s="15">
        <v>0.143</v>
      </c>
      <c r="N32" s="15">
        <v>0.11</v>
      </c>
      <c r="O32" s="15">
        <f t="shared" si="6"/>
        <v>-0.033</v>
      </c>
      <c r="P32" s="35">
        <f t="shared" si="8"/>
        <v>-0.230769230769231</v>
      </c>
    </row>
    <row r="33" spans="1:16">
      <c r="A33" s="15"/>
      <c r="B33" s="15"/>
      <c r="C33" s="15"/>
      <c r="D33" s="15"/>
      <c r="E33" s="15"/>
      <c r="F33" s="15"/>
      <c r="G33" s="15"/>
      <c r="H33" s="15"/>
      <c r="I33" s="6">
        <v>0.097</v>
      </c>
      <c r="J33" s="15">
        <v>0.076</v>
      </c>
      <c r="K33" s="15">
        <f t="shared" si="4"/>
        <v>-0.021</v>
      </c>
      <c r="L33" s="35">
        <f t="shared" si="5"/>
        <v>-0.216494845360825</v>
      </c>
      <c r="M33" s="15">
        <v>0.133</v>
      </c>
      <c r="N33" s="15">
        <v>0.11</v>
      </c>
      <c r="O33" s="15">
        <f t="shared" si="6"/>
        <v>-0.023</v>
      </c>
      <c r="P33" s="35">
        <f t="shared" si="8"/>
        <v>-0.172932330827068</v>
      </c>
    </row>
    <row r="34" spans="1:16">
      <c r="A34" s="15"/>
      <c r="B34" s="15"/>
      <c r="C34" s="15"/>
      <c r="D34" s="15"/>
      <c r="E34" s="15"/>
      <c r="F34" s="15"/>
      <c r="G34" s="15"/>
      <c r="H34" s="15"/>
      <c r="I34" s="6">
        <v>0.088</v>
      </c>
      <c r="J34" s="15">
        <v>0.073</v>
      </c>
      <c r="K34" s="15">
        <f t="shared" si="4"/>
        <v>-0.015</v>
      </c>
      <c r="L34" s="35">
        <f t="shared" si="5"/>
        <v>-0.170454545454545</v>
      </c>
      <c r="M34" s="17">
        <v>0.09</v>
      </c>
      <c r="N34" s="15">
        <v>0.077</v>
      </c>
      <c r="O34" s="15">
        <f t="shared" si="6"/>
        <v>-0.013</v>
      </c>
      <c r="P34" s="35">
        <f t="shared" si="8"/>
        <v>-0.144444444444444</v>
      </c>
    </row>
    <row r="35" spans="1:1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15"/>
      <c r="B37" s="15"/>
      <c r="C37" s="15"/>
      <c r="D37" s="15"/>
      <c r="E37" s="15"/>
      <c r="F37" s="15"/>
      <c r="G37" s="15"/>
      <c r="H37" s="15"/>
      <c r="I37" s="15">
        <v>0.123</v>
      </c>
      <c r="J37" s="15">
        <v>0.103</v>
      </c>
      <c r="K37" s="15"/>
      <c r="L37" s="11">
        <f>AVERAGE(L10:L34)</f>
        <v>-0.161535585983234</v>
      </c>
      <c r="M37" s="12">
        <v>0.108</v>
      </c>
      <c r="N37" s="12">
        <v>0.086</v>
      </c>
      <c r="O37" s="15"/>
      <c r="P37" s="15"/>
    </row>
    <row r="38" spans="1:1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1">
        <f>AVERAGE(P10:P34)</f>
        <v>-0.198937577420896</v>
      </c>
    </row>
    <row r="39" spans="1:16">
      <c r="A39" s="24"/>
      <c r="B39" s="24"/>
      <c r="C39" s="24"/>
      <c r="D39" s="24"/>
      <c r="E39" s="36"/>
      <c r="F39" s="24"/>
      <c r="G39" s="24"/>
      <c r="H39" s="24"/>
      <c r="I39" s="36"/>
      <c r="J39" s="36"/>
      <c r="K39" s="36"/>
      <c r="L39" s="36"/>
      <c r="M39" s="36"/>
      <c r="N39" s="36"/>
      <c r="O39" s="36"/>
      <c r="P39" s="36"/>
    </row>
    <row r="40" spans="1:16">
      <c r="A40" s="37"/>
      <c r="B40" s="37"/>
      <c r="C40" s="36"/>
      <c r="D40" s="24"/>
      <c r="E40" s="24"/>
      <c r="F40" s="24"/>
      <c r="G40" s="24"/>
      <c r="H40" s="24"/>
      <c r="I40" s="37"/>
      <c r="J40" s="37"/>
      <c r="K40" s="47"/>
      <c r="L40" s="24"/>
      <c r="O40" s="47"/>
      <c r="P40" s="37"/>
    </row>
    <row r="41" ht="14.55" spans="1:16">
      <c r="A41" s="24"/>
      <c r="B41" s="24"/>
      <c r="C41" s="24"/>
      <c r="D41" s="24"/>
      <c r="E41" s="24"/>
      <c r="F41" s="24"/>
      <c r="G41" s="38"/>
      <c r="H41" s="24"/>
      <c r="I41" s="24"/>
      <c r="J41" s="24"/>
      <c r="K41" s="48"/>
      <c r="L41" s="48"/>
      <c r="M41" s="24"/>
      <c r="N41" s="24"/>
      <c r="O41" s="48"/>
      <c r="P41" s="24"/>
    </row>
    <row r="42" spans="1:16">
      <c r="A42" s="39" t="s">
        <v>12</v>
      </c>
      <c r="B42" s="40" t="s">
        <v>13</v>
      </c>
      <c r="C42" s="41" t="s">
        <v>14</v>
      </c>
      <c r="D42" s="41" t="s">
        <v>15</v>
      </c>
      <c r="E42" s="41" t="s">
        <v>16</v>
      </c>
      <c r="F42" s="41" t="s">
        <v>17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6">
      <c r="A43" s="39"/>
      <c r="B43" s="42"/>
      <c r="C43" s="41"/>
      <c r="D43" s="41"/>
      <c r="E43" s="41"/>
      <c r="F43" s="41"/>
    </row>
    <row r="44" ht="15.3" spans="1:6">
      <c r="A44" s="43" t="s">
        <v>18</v>
      </c>
      <c r="B44" s="44" t="s">
        <v>19</v>
      </c>
      <c r="C44" s="44">
        <v>19.107</v>
      </c>
      <c r="D44" s="44">
        <v>2.117</v>
      </c>
      <c r="E44" s="44">
        <v>0.559</v>
      </c>
      <c r="F44" s="44">
        <v>0.088</v>
      </c>
    </row>
  </sheetData>
  <mergeCells count="11">
    <mergeCell ref="A1:E1"/>
    <mergeCell ref="A8:C8"/>
    <mergeCell ref="E8:G8"/>
    <mergeCell ref="I8:K8"/>
    <mergeCell ref="M8:O8"/>
    <mergeCell ref="A42:A43"/>
    <mergeCell ref="B42:B43"/>
    <mergeCell ref="C42:C43"/>
    <mergeCell ref="D42:D43"/>
    <mergeCell ref="E42:E43"/>
    <mergeCell ref="F42:F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C7" sqref="C7"/>
    </sheetView>
  </sheetViews>
  <sheetFormatPr defaultColWidth="9" defaultRowHeight="13.8"/>
  <cols>
    <col min="1" max="1" width="24.7777777777778" customWidth="1"/>
    <col min="2" max="2" width="12.8888888888889" customWidth="1"/>
    <col min="3" max="3" width="11.6666666666667" customWidth="1"/>
    <col min="4" max="4" width="16" customWidth="1"/>
    <col min="5" max="5" width="14.6666666666667" customWidth="1"/>
    <col min="6" max="6" width="14.8888888888889" customWidth="1"/>
    <col min="7" max="7" width="12" customWidth="1"/>
    <col min="8" max="8" width="12.3333333333333" customWidth="1"/>
    <col min="10" max="10" width="30.3333333333333" customWidth="1"/>
  </cols>
  <sheetData>
    <row r="1" spans="1:10">
      <c r="A1" s="25" t="s">
        <v>20</v>
      </c>
      <c r="B1" s="25"/>
      <c r="C1" s="25" t="s">
        <v>2</v>
      </c>
      <c r="D1" s="25"/>
      <c r="E1" s="25" t="s">
        <v>3</v>
      </c>
      <c r="F1" s="25"/>
      <c r="G1" s="25" t="s">
        <v>4</v>
      </c>
      <c r="H1" s="25"/>
      <c r="I1" s="25"/>
      <c r="J1" s="25"/>
    </row>
    <row r="2" spans="1:10">
      <c r="A2" s="25" t="s">
        <v>21</v>
      </c>
      <c r="B2" s="25"/>
      <c r="C2" s="25" t="s">
        <v>21</v>
      </c>
      <c r="D2" s="25"/>
      <c r="E2" s="25" t="s">
        <v>21</v>
      </c>
      <c r="F2" s="25"/>
      <c r="G2" s="25" t="s">
        <v>21</v>
      </c>
      <c r="H2" s="25"/>
      <c r="I2" s="25"/>
      <c r="J2" s="25"/>
    </row>
    <row r="3" spans="1:10">
      <c r="A3" s="25" t="s">
        <v>22</v>
      </c>
      <c r="B3" s="25" t="s">
        <v>23</v>
      </c>
      <c r="C3" s="25" t="s">
        <v>22</v>
      </c>
      <c r="D3" s="25" t="s">
        <v>23</v>
      </c>
      <c r="E3" s="25" t="s">
        <v>22</v>
      </c>
      <c r="F3" s="25" t="s">
        <v>23</v>
      </c>
      <c r="G3" s="25" t="s">
        <v>22</v>
      </c>
      <c r="H3" s="25" t="s">
        <v>23</v>
      </c>
      <c r="I3" s="25"/>
      <c r="J3" s="25"/>
    </row>
    <row r="4" spans="1:10">
      <c r="A4" s="25">
        <v>1.144</v>
      </c>
      <c r="B4" s="25">
        <v>0.877</v>
      </c>
      <c r="C4" s="25">
        <v>1.144</v>
      </c>
      <c r="D4" s="15">
        <v>0.772</v>
      </c>
      <c r="E4" s="25">
        <v>0.921</v>
      </c>
      <c r="F4" s="25">
        <v>0.485</v>
      </c>
      <c r="G4" s="25">
        <v>0.902</v>
      </c>
      <c r="H4" s="25">
        <v>0.652</v>
      </c>
      <c r="I4" s="25"/>
      <c r="J4" s="17"/>
    </row>
    <row r="5" spans="1:10">
      <c r="A5" s="25"/>
      <c r="B5" s="25">
        <v>0.86</v>
      </c>
      <c r="C5" s="25">
        <v>1.058</v>
      </c>
      <c r="D5" s="17">
        <v>0.77</v>
      </c>
      <c r="E5" s="25">
        <v>0.891</v>
      </c>
      <c r="F5" s="25">
        <v>0.467</v>
      </c>
      <c r="G5" s="25">
        <v>0.894</v>
      </c>
      <c r="H5" s="25">
        <v>0.613</v>
      </c>
      <c r="I5" s="25"/>
      <c r="J5" s="17"/>
    </row>
    <row r="6" spans="1:10">
      <c r="A6" s="25"/>
      <c r="B6" s="25">
        <v>0.888</v>
      </c>
      <c r="C6" s="25">
        <v>1.036</v>
      </c>
      <c r="D6" s="15">
        <v>0.771</v>
      </c>
      <c r="E6" s="25">
        <v>0.912</v>
      </c>
      <c r="F6" s="25">
        <v>0.477</v>
      </c>
      <c r="G6" s="25">
        <v>0.843</v>
      </c>
      <c r="H6" s="25">
        <v>0.566</v>
      </c>
      <c r="I6" s="25"/>
      <c r="J6" s="17"/>
    </row>
    <row r="7" spans="1:10">
      <c r="A7" s="9"/>
      <c r="B7" s="9">
        <f t="shared" ref="B7:H7" si="0">AVERAGE(B4:B6)</f>
        <v>0.875</v>
      </c>
      <c r="C7" s="9">
        <f t="shared" si="0"/>
        <v>1.07933333333333</v>
      </c>
      <c r="D7" s="9">
        <f t="shared" si="0"/>
        <v>0.771</v>
      </c>
      <c r="E7" s="9">
        <f t="shared" si="0"/>
        <v>0.908</v>
      </c>
      <c r="F7" s="9">
        <f t="shared" si="0"/>
        <v>0.476333333333333</v>
      </c>
      <c r="G7" s="9">
        <f t="shared" si="0"/>
        <v>0.879666666666667</v>
      </c>
      <c r="H7" s="9">
        <f t="shared" si="0"/>
        <v>0.610333333333333</v>
      </c>
      <c r="I7" s="25"/>
      <c r="J7" s="25"/>
    </row>
    <row r="8" spans="1:10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0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>
      <c r="A11" s="25" t="s">
        <v>24</v>
      </c>
      <c r="B11" s="25" t="s">
        <v>22</v>
      </c>
      <c r="C11" s="25" t="s">
        <v>23</v>
      </c>
      <c r="D11" s="25" t="s">
        <v>25</v>
      </c>
      <c r="E11" s="25" t="s">
        <v>26</v>
      </c>
      <c r="F11" s="25" t="s">
        <v>27</v>
      </c>
      <c r="G11" s="25" t="s">
        <v>28</v>
      </c>
      <c r="H11" s="25" t="s">
        <v>29</v>
      </c>
      <c r="I11" s="25"/>
      <c r="J11" s="25" t="s">
        <v>30</v>
      </c>
    </row>
    <row r="12" spans="1:10">
      <c r="A12" s="25"/>
      <c r="B12" s="25">
        <v>1.144</v>
      </c>
      <c r="C12" s="25">
        <v>0.877</v>
      </c>
      <c r="D12" s="25">
        <f>B12-C12</f>
        <v>0.267</v>
      </c>
      <c r="E12" s="25">
        <v>271</v>
      </c>
      <c r="F12" s="25">
        <v>0.025</v>
      </c>
      <c r="G12" s="25">
        <v>60</v>
      </c>
      <c r="H12" s="25">
        <v>2.7</v>
      </c>
      <c r="I12" s="25"/>
      <c r="J12" s="25">
        <f t="shared" ref="J12:J14" si="1">D12*E12/F12/G12/H12</f>
        <v>17.8659259259259</v>
      </c>
    </row>
    <row r="13" spans="1:10">
      <c r="A13" s="25"/>
      <c r="B13" s="25"/>
      <c r="C13" s="25">
        <v>0.86</v>
      </c>
      <c r="D13" s="25">
        <f>B12-C13</f>
        <v>0.284</v>
      </c>
      <c r="E13" s="25">
        <v>271</v>
      </c>
      <c r="F13" s="25">
        <v>0.025</v>
      </c>
      <c r="G13" s="25">
        <v>60</v>
      </c>
      <c r="H13" s="25">
        <v>2.7</v>
      </c>
      <c r="I13" s="25"/>
      <c r="J13" s="25">
        <f t="shared" si="1"/>
        <v>19.0034567901235</v>
      </c>
    </row>
    <row r="14" spans="1:10">
      <c r="A14" s="25"/>
      <c r="B14" s="25"/>
      <c r="C14" s="25">
        <v>0.888</v>
      </c>
      <c r="D14" s="25">
        <v>0.256</v>
      </c>
      <c r="E14" s="25">
        <v>271</v>
      </c>
      <c r="F14" s="25">
        <v>0.025</v>
      </c>
      <c r="G14" s="25">
        <v>60</v>
      </c>
      <c r="H14" s="25">
        <v>2.7</v>
      </c>
      <c r="I14" s="25"/>
      <c r="J14" s="25">
        <f t="shared" si="1"/>
        <v>17.1298765432099</v>
      </c>
    </row>
    <row r="15" spans="1:10">
      <c r="A15" s="25"/>
      <c r="B15" s="25"/>
      <c r="C15" s="25"/>
      <c r="D15" s="25"/>
      <c r="E15" s="25"/>
      <c r="F15" s="25"/>
      <c r="G15" s="25"/>
      <c r="H15" s="25"/>
      <c r="I15" s="25"/>
      <c r="J15" s="25"/>
    </row>
    <row r="16" spans="1:10">
      <c r="A16" s="25"/>
      <c r="B16" s="25"/>
      <c r="C16" s="25"/>
      <c r="D16" s="25"/>
      <c r="E16" s="25"/>
      <c r="F16" s="25"/>
      <c r="G16" s="25"/>
      <c r="H16" s="25"/>
      <c r="I16" s="25"/>
      <c r="J16" s="9">
        <f>AVERAGE(J12:J14)</f>
        <v>17.9997530864197</v>
      </c>
    </row>
    <row r="17" spans="1:10">
      <c r="A17" s="25" t="s">
        <v>31</v>
      </c>
      <c r="B17" s="25" t="s">
        <v>22</v>
      </c>
      <c r="C17" s="25" t="s">
        <v>23</v>
      </c>
      <c r="D17" s="25" t="s">
        <v>25</v>
      </c>
      <c r="E17" s="25" t="s">
        <v>26</v>
      </c>
      <c r="F17" s="25" t="s">
        <v>27</v>
      </c>
      <c r="G17" s="25" t="s">
        <v>28</v>
      </c>
      <c r="H17" s="25" t="s">
        <v>29</v>
      </c>
      <c r="I17" s="25"/>
      <c r="J17" s="25" t="s">
        <v>30</v>
      </c>
    </row>
    <row r="18" spans="1:10">
      <c r="A18" s="25"/>
      <c r="B18" s="26">
        <v>1.079</v>
      </c>
      <c r="C18" s="12">
        <v>0.772</v>
      </c>
      <c r="D18" s="25">
        <f>B18-C18</f>
        <v>0.307</v>
      </c>
      <c r="E18" s="25">
        <v>271</v>
      </c>
      <c r="F18" s="25">
        <v>0.025</v>
      </c>
      <c r="G18" s="25">
        <v>60</v>
      </c>
      <c r="H18" s="25">
        <v>2.154</v>
      </c>
      <c r="I18" s="25"/>
      <c r="J18" s="25">
        <f t="shared" ref="J18:J20" si="2">D18*E18/F18/G18/H18</f>
        <v>25.7496131228722</v>
      </c>
    </row>
    <row r="19" spans="1:10">
      <c r="A19" s="25"/>
      <c r="B19" s="9"/>
      <c r="C19" s="25">
        <v>0.77</v>
      </c>
      <c r="D19" s="25">
        <f>B18-C19</f>
        <v>0.309</v>
      </c>
      <c r="E19" s="25">
        <v>271</v>
      </c>
      <c r="F19" s="25">
        <v>0.025</v>
      </c>
      <c r="G19" s="25">
        <v>60</v>
      </c>
      <c r="H19" s="25">
        <v>2.154</v>
      </c>
      <c r="I19" s="25"/>
      <c r="J19" s="25">
        <f t="shared" si="2"/>
        <v>25.9173630454967</v>
      </c>
    </row>
    <row r="20" spans="1:10">
      <c r="A20" s="25"/>
      <c r="B20" s="9"/>
      <c r="C20" s="12">
        <v>0.771</v>
      </c>
      <c r="D20" s="25">
        <f>B18-C20</f>
        <v>0.308</v>
      </c>
      <c r="E20" s="25">
        <v>271</v>
      </c>
      <c r="F20" s="25">
        <v>0.025</v>
      </c>
      <c r="G20" s="25">
        <v>60</v>
      </c>
      <c r="H20" s="25">
        <v>2.154</v>
      </c>
      <c r="I20" s="25"/>
      <c r="J20" s="25">
        <f t="shared" si="2"/>
        <v>25.8334880841845</v>
      </c>
    </row>
    <row r="21" spans="1:10">
      <c r="A21" s="25"/>
      <c r="B21" s="25"/>
      <c r="C21" s="25"/>
      <c r="D21" s="25"/>
      <c r="E21" s="25"/>
      <c r="F21" s="25"/>
      <c r="G21" s="25"/>
      <c r="H21" s="25"/>
      <c r="I21" s="25"/>
      <c r="J21" s="9"/>
    </row>
    <row r="22" spans="1:10">
      <c r="A22" s="25"/>
      <c r="B22" s="25"/>
      <c r="C22" s="25"/>
      <c r="D22" s="25"/>
      <c r="E22" s="25"/>
      <c r="F22" s="25"/>
      <c r="G22" s="25"/>
      <c r="H22" s="25"/>
      <c r="I22" s="25"/>
      <c r="J22" s="9">
        <f>AVERAGE(J18:J20)</f>
        <v>25.8334880841845</v>
      </c>
    </row>
    <row r="23" spans="1:10">
      <c r="A23" s="25" t="s">
        <v>32</v>
      </c>
      <c r="B23" s="25" t="s">
        <v>22</v>
      </c>
      <c r="C23" s="25" t="s">
        <v>23</v>
      </c>
      <c r="D23" s="25" t="s">
        <v>25</v>
      </c>
      <c r="E23" s="25" t="s">
        <v>26</v>
      </c>
      <c r="F23" s="25" t="s">
        <v>27</v>
      </c>
      <c r="G23" s="25" t="s">
        <v>28</v>
      </c>
      <c r="H23" s="25" t="s">
        <v>29</v>
      </c>
      <c r="I23" s="25"/>
      <c r="J23" s="25" t="s">
        <v>30</v>
      </c>
    </row>
    <row r="24" spans="1:10">
      <c r="A24" s="25"/>
      <c r="B24" s="26">
        <v>0.908</v>
      </c>
      <c r="C24" s="25">
        <v>0.485</v>
      </c>
      <c r="D24" s="25">
        <f>B24-C24</f>
        <v>0.423</v>
      </c>
      <c r="E24" s="25">
        <v>271</v>
      </c>
      <c r="F24" s="25">
        <v>0.025</v>
      </c>
      <c r="G24" s="25">
        <v>60</v>
      </c>
      <c r="H24" s="25">
        <v>1.281</v>
      </c>
      <c r="I24" s="25"/>
      <c r="J24" s="25">
        <f t="shared" ref="J24:J26" si="3">D24*E24/F24/G24/H24</f>
        <v>59.6580796252927</v>
      </c>
    </row>
    <row r="25" spans="1:10">
      <c r="A25" s="25"/>
      <c r="B25" s="9"/>
      <c r="C25" s="25">
        <v>0.467</v>
      </c>
      <c r="D25" s="25">
        <f>B24-C25</f>
        <v>0.441</v>
      </c>
      <c r="E25" s="25">
        <v>271</v>
      </c>
      <c r="F25" s="25">
        <v>0.025</v>
      </c>
      <c r="G25" s="25">
        <v>60</v>
      </c>
      <c r="H25" s="25">
        <v>1.281</v>
      </c>
      <c r="I25" s="25"/>
      <c r="J25" s="25">
        <f t="shared" si="3"/>
        <v>62.1967213114754</v>
      </c>
    </row>
    <row r="26" spans="1:10">
      <c r="A26" s="25"/>
      <c r="B26" s="9"/>
      <c r="C26" s="25">
        <v>0.477</v>
      </c>
      <c r="D26" s="25">
        <f>B24-C26</f>
        <v>0.431</v>
      </c>
      <c r="E26" s="25">
        <v>271</v>
      </c>
      <c r="F26" s="25">
        <v>0.025</v>
      </c>
      <c r="G26" s="25">
        <v>60</v>
      </c>
      <c r="H26" s="25">
        <v>1.281</v>
      </c>
      <c r="I26" s="25"/>
      <c r="J26" s="25">
        <f t="shared" si="3"/>
        <v>60.7863648191517</v>
      </c>
    </row>
    <row r="27" spans="1:10">
      <c r="A27" s="25"/>
      <c r="B27" s="15"/>
      <c r="C27" s="15"/>
      <c r="D27" s="15"/>
      <c r="E27" s="15"/>
      <c r="F27" s="15"/>
      <c r="G27" s="15"/>
      <c r="H27" s="15"/>
      <c r="I27" s="15"/>
      <c r="J27" s="15"/>
    </row>
    <row r="28" spans="1:10">
      <c r="A28" s="25"/>
      <c r="B28" s="15"/>
      <c r="C28" s="15"/>
      <c r="D28" s="15"/>
      <c r="E28" s="15"/>
      <c r="F28" s="15"/>
      <c r="G28" s="15"/>
      <c r="H28" s="15"/>
      <c r="I28" s="15"/>
      <c r="J28" s="9">
        <f>AVERAGE(J24:J26)</f>
        <v>60.8803885853066</v>
      </c>
    </row>
    <row r="29" spans="1:10">
      <c r="A29" s="25" t="s">
        <v>33</v>
      </c>
      <c r="B29" s="25" t="s">
        <v>22</v>
      </c>
      <c r="C29" s="25" t="s">
        <v>23</v>
      </c>
      <c r="D29" s="25" t="s">
        <v>25</v>
      </c>
      <c r="E29" s="25" t="s">
        <v>26</v>
      </c>
      <c r="F29" s="25" t="s">
        <v>27</v>
      </c>
      <c r="G29" s="25" t="s">
        <v>28</v>
      </c>
      <c r="H29" s="25" t="s">
        <v>29</v>
      </c>
      <c r="I29" s="25"/>
      <c r="J29" s="25" t="s">
        <v>30</v>
      </c>
    </row>
    <row r="30" spans="1:10">
      <c r="A30" s="25"/>
      <c r="B30" s="25">
        <v>0.88</v>
      </c>
      <c r="C30" s="25">
        <v>0.652</v>
      </c>
      <c r="D30" s="25">
        <f>B30-C30</f>
        <v>0.228</v>
      </c>
      <c r="E30" s="25">
        <v>271</v>
      </c>
      <c r="F30" s="25">
        <v>0.025</v>
      </c>
      <c r="G30" s="25">
        <v>60</v>
      </c>
      <c r="H30" s="25">
        <v>1.667</v>
      </c>
      <c r="I30" s="25"/>
      <c r="J30" s="25">
        <f t="shared" ref="J30:J32" si="4">D30*E30/F30/G30/H30</f>
        <v>24.7102579484103</v>
      </c>
    </row>
    <row r="31" spans="1:10">
      <c r="A31" s="25"/>
      <c r="B31" s="25"/>
      <c r="C31" s="25">
        <v>0.613</v>
      </c>
      <c r="D31" s="25">
        <f>B30-C31</f>
        <v>0.267</v>
      </c>
      <c r="E31" s="25">
        <v>271</v>
      </c>
      <c r="F31" s="25">
        <v>0.025</v>
      </c>
      <c r="G31" s="25">
        <v>60</v>
      </c>
      <c r="H31" s="25">
        <v>1.667</v>
      </c>
      <c r="I31" s="25"/>
      <c r="J31" s="25">
        <f t="shared" si="4"/>
        <v>28.9370125974805</v>
      </c>
    </row>
    <row r="32" spans="1:10">
      <c r="A32" s="25"/>
      <c r="B32" s="25"/>
      <c r="C32" s="25">
        <v>0.566</v>
      </c>
      <c r="D32" s="25">
        <f>B30-C32</f>
        <v>0.314</v>
      </c>
      <c r="E32" s="25">
        <v>271</v>
      </c>
      <c r="F32" s="25">
        <v>0.025</v>
      </c>
      <c r="G32" s="25">
        <v>60</v>
      </c>
      <c r="H32" s="25">
        <v>1.667</v>
      </c>
      <c r="I32" s="25"/>
      <c r="J32" s="25">
        <f t="shared" si="4"/>
        <v>34.0307938412318</v>
      </c>
    </row>
    <row r="33" spans="1:10">
      <c r="A33" s="25"/>
      <c r="B33" s="15"/>
      <c r="C33" s="15"/>
      <c r="D33" s="15"/>
      <c r="E33" s="15"/>
      <c r="F33" s="15"/>
      <c r="G33" s="15"/>
      <c r="H33" s="15"/>
      <c r="I33" s="15"/>
      <c r="J33" s="15"/>
    </row>
    <row r="34" spans="1:10">
      <c r="A34" s="25"/>
      <c r="B34" s="15"/>
      <c r="C34" s="15"/>
      <c r="D34" s="15"/>
      <c r="E34" s="15"/>
      <c r="F34" s="15"/>
      <c r="G34" s="15"/>
      <c r="H34" s="15"/>
      <c r="I34" s="15"/>
      <c r="J34" s="9">
        <f>AVERAGE(J30:J32)</f>
        <v>29.2260214623742</v>
      </c>
    </row>
  </sheetData>
  <mergeCells count="12">
    <mergeCell ref="A1:B1"/>
    <mergeCell ref="C1:D1"/>
    <mergeCell ref="E1:F1"/>
    <mergeCell ref="G1:H1"/>
    <mergeCell ref="A2:B2"/>
    <mergeCell ref="C2:D2"/>
    <mergeCell ref="E2:F2"/>
    <mergeCell ref="G2:H2"/>
    <mergeCell ref="A11:A16"/>
    <mergeCell ref="A17:A22"/>
    <mergeCell ref="A23:A28"/>
    <mergeCell ref="A29:A3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workbookViewId="0">
      <selection activeCell="F16" sqref="F16"/>
    </sheetView>
  </sheetViews>
  <sheetFormatPr defaultColWidth="8.88888888888889" defaultRowHeight="13.8"/>
  <cols>
    <col min="1" max="1" width="22.4444444444444" customWidth="1"/>
    <col min="2" max="2" width="15.7777777777778" customWidth="1"/>
    <col min="3" max="3" width="13.4444444444444" customWidth="1"/>
    <col min="4" max="4" width="14.3333333333333" customWidth="1"/>
    <col min="5" max="5" width="13.3333333333333" customWidth="1"/>
    <col min="6" max="6" width="11.4444444444444" customWidth="1"/>
    <col min="7" max="7" width="12.5555555555556" customWidth="1"/>
    <col min="9" max="9" width="16.1111111111111" customWidth="1"/>
    <col min="10" max="10" width="25.7777777777778" customWidth="1"/>
  </cols>
  <sheetData>
    <row r="1" spans="1:12">
      <c r="A1" s="12" t="s">
        <v>34</v>
      </c>
      <c r="B1" s="12"/>
      <c r="C1" s="12" t="s">
        <v>2</v>
      </c>
      <c r="D1" s="12"/>
      <c r="E1" s="12" t="s">
        <v>3</v>
      </c>
      <c r="F1" s="12"/>
      <c r="G1" s="12" t="s">
        <v>4</v>
      </c>
      <c r="H1" s="12"/>
      <c r="I1" s="15"/>
      <c r="J1" s="15"/>
      <c r="K1" s="24"/>
      <c r="L1" s="24"/>
    </row>
    <row r="2" spans="1:12">
      <c r="A2" s="12" t="s">
        <v>35</v>
      </c>
      <c r="B2" s="12"/>
      <c r="C2" s="12" t="s">
        <v>35</v>
      </c>
      <c r="D2" s="12"/>
      <c r="E2" s="12" t="s">
        <v>35</v>
      </c>
      <c r="F2" s="12"/>
      <c r="G2" s="12" t="s">
        <v>35</v>
      </c>
      <c r="H2" s="12"/>
      <c r="I2" s="15"/>
      <c r="J2" s="15"/>
      <c r="K2" s="24"/>
      <c r="L2" s="24"/>
    </row>
    <row r="3" spans="1:12">
      <c r="A3" s="25" t="s">
        <v>36</v>
      </c>
      <c r="B3" s="25" t="s">
        <v>23</v>
      </c>
      <c r="C3" s="25" t="s">
        <v>36</v>
      </c>
      <c r="D3" s="25" t="s">
        <v>23</v>
      </c>
      <c r="E3" s="25" t="s">
        <v>36</v>
      </c>
      <c r="F3" s="25" t="s">
        <v>23</v>
      </c>
      <c r="G3" s="25" t="s">
        <v>36</v>
      </c>
      <c r="H3" s="25" t="s">
        <v>23</v>
      </c>
      <c r="I3" s="15"/>
      <c r="J3" s="15"/>
      <c r="K3" s="24"/>
      <c r="L3" s="24"/>
    </row>
    <row r="4" spans="1:12">
      <c r="A4" s="12">
        <v>0.243</v>
      </c>
      <c r="B4" s="5">
        <v>0.614</v>
      </c>
      <c r="C4" s="15">
        <v>0.118</v>
      </c>
      <c r="D4" s="15">
        <v>0.392</v>
      </c>
      <c r="E4" s="15">
        <v>0.358</v>
      </c>
      <c r="F4" s="15">
        <v>0.563</v>
      </c>
      <c r="G4" s="15">
        <v>0.309</v>
      </c>
      <c r="H4" s="15">
        <v>0.821</v>
      </c>
      <c r="I4" s="15"/>
      <c r="J4" s="15"/>
      <c r="K4" s="24"/>
      <c r="L4" s="24"/>
    </row>
    <row r="5" spans="1:12">
      <c r="A5" s="12">
        <v>0.244</v>
      </c>
      <c r="B5" s="5">
        <v>0.544</v>
      </c>
      <c r="C5" s="15">
        <v>0.093</v>
      </c>
      <c r="D5" s="15">
        <v>0.369</v>
      </c>
      <c r="E5" s="15">
        <v>0.372</v>
      </c>
      <c r="F5" s="15">
        <v>0.607</v>
      </c>
      <c r="G5" s="15">
        <v>0.314</v>
      </c>
      <c r="H5" s="15">
        <v>0.859</v>
      </c>
      <c r="I5" s="15"/>
      <c r="J5" s="15"/>
      <c r="K5" s="24"/>
      <c r="L5" s="24"/>
    </row>
    <row r="6" spans="1:12">
      <c r="A6" s="12">
        <v>0.295</v>
      </c>
      <c r="B6" s="5">
        <v>0.548</v>
      </c>
      <c r="C6" s="15"/>
      <c r="D6" s="15">
        <v>0.328</v>
      </c>
      <c r="E6" s="15">
        <v>0.34</v>
      </c>
      <c r="F6" s="15">
        <v>0.552</v>
      </c>
      <c r="G6" s="15">
        <v>0.266</v>
      </c>
      <c r="H6" s="15">
        <v>0.981</v>
      </c>
      <c r="I6" s="15"/>
      <c r="J6" s="15"/>
      <c r="K6" s="24"/>
      <c r="L6" s="24"/>
    </row>
    <row r="7" spans="1:12">
      <c r="A7" s="9">
        <f t="shared" ref="A7:H7" si="0">AVERAGE(A4:A6)</f>
        <v>0.260666666666667</v>
      </c>
      <c r="B7" s="9">
        <f t="shared" si="0"/>
        <v>0.568666666666667</v>
      </c>
      <c r="C7" s="10">
        <f>AVERAGE(C4:C5)</f>
        <v>0.1055</v>
      </c>
      <c r="D7" s="10">
        <f t="shared" si="0"/>
        <v>0.363</v>
      </c>
      <c r="E7" s="10">
        <f t="shared" si="0"/>
        <v>0.356666666666667</v>
      </c>
      <c r="F7" s="11">
        <f t="shared" si="0"/>
        <v>0.574</v>
      </c>
      <c r="G7" s="10">
        <f t="shared" si="0"/>
        <v>0.296333333333333</v>
      </c>
      <c r="H7" s="11">
        <f t="shared" si="0"/>
        <v>0.887</v>
      </c>
      <c r="I7" s="15"/>
      <c r="J7" s="15"/>
      <c r="K7" s="24"/>
      <c r="L7" s="24"/>
    </row>
    <row r="8" spans="1:12">
      <c r="A8" s="15"/>
      <c r="B8" s="15"/>
      <c r="C8" s="15"/>
      <c r="D8" s="15"/>
      <c r="E8" s="15"/>
      <c r="F8" s="15"/>
      <c r="G8" s="15"/>
      <c r="H8" s="15"/>
      <c r="I8" s="15"/>
      <c r="J8" s="15"/>
      <c r="K8" s="24"/>
      <c r="L8" s="24"/>
    </row>
    <row r="9" spans="1:12">
      <c r="A9" s="25" t="s">
        <v>34</v>
      </c>
      <c r="B9" s="25" t="s">
        <v>23</v>
      </c>
      <c r="C9" s="25" t="s">
        <v>36</v>
      </c>
      <c r="D9" s="25" t="s">
        <v>37</v>
      </c>
      <c r="E9" s="25" t="s">
        <v>38</v>
      </c>
      <c r="F9" s="25" t="s">
        <v>39</v>
      </c>
      <c r="G9" s="25" t="s">
        <v>28</v>
      </c>
      <c r="H9" s="25" t="s">
        <v>29</v>
      </c>
      <c r="I9" s="25" t="s">
        <v>40</v>
      </c>
      <c r="J9" s="25" t="s">
        <v>30</v>
      </c>
      <c r="K9" s="27"/>
      <c r="L9" s="24"/>
    </row>
    <row r="10" spans="1:12">
      <c r="A10" s="25"/>
      <c r="B10" s="5">
        <v>0.614</v>
      </c>
      <c r="C10" s="25">
        <v>0.261</v>
      </c>
      <c r="D10" s="25">
        <f t="shared" ref="D10:D12" si="1">B10-C10</f>
        <v>0.353</v>
      </c>
      <c r="E10" s="25">
        <v>12</v>
      </c>
      <c r="F10" s="25">
        <v>40</v>
      </c>
      <c r="G10" s="25">
        <v>30</v>
      </c>
      <c r="H10" s="25">
        <v>5.4</v>
      </c>
      <c r="I10" s="25">
        <v>1000</v>
      </c>
      <c r="J10" s="25">
        <f>D10/E10*F10/G10/H10*I11</f>
        <v>7.26337448559671</v>
      </c>
      <c r="K10" s="24"/>
      <c r="L10" s="24"/>
    </row>
    <row r="11" spans="1:12">
      <c r="A11" s="25"/>
      <c r="B11" s="5">
        <v>0.544</v>
      </c>
      <c r="C11" s="25">
        <v>0.261</v>
      </c>
      <c r="D11" s="25">
        <f t="shared" si="1"/>
        <v>0.283</v>
      </c>
      <c r="E11" s="25">
        <v>12</v>
      </c>
      <c r="F11" s="25">
        <v>40</v>
      </c>
      <c r="G11" s="25">
        <v>30</v>
      </c>
      <c r="H11" s="25">
        <v>5.4</v>
      </c>
      <c r="I11" s="25">
        <v>1000</v>
      </c>
      <c r="J11" s="25">
        <f>D11/E11*F11/G11/H11*I12</f>
        <v>5.82304526748971</v>
      </c>
      <c r="K11" s="24"/>
      <c r="L11" s="24"/>
    </row>
    <row r="12" spans="1:12">
      <c r="A12" s="25"/>
      <c r="B12" s="5">
        <v>0.548</v>
      </c>
      <c r="C12" s="25">
        <v>0.261</v>
      </c>
      <c r="D12" s="25">
        <f t="shared" si="1"/>
        <v>0.287</v>
      </c>
      <c r="E12" s="25">
        <v>12</v>
      </c>
      <c r="F12" s="25">
        <v>40</v>
      </c>
      <c r="G12" s="25">
        <v>30</v>
      </c>
      <c r="H12" s="25">
        <v>5.4</v>
      </c>
      <c r="I12" s="25">
        <v>1000</v>
      </c>
      <c r="J12" s="25">
        <f>D12/E12*F12/G12/H12*I10</f>
        <v>5.90534979423868</v>
      </c>
      <c r="K12" s="24"/>
      <c r="L12" s="24"/>
    </row>
    <row r="13" spans="1:12">
      <c r="A13" s="25"/>
      <c r="B13" s="12"/>
      <c r="C13" s="12"/>
      <c r="D13" s="12"/>
      <c r="E13" s="12"/>
      <c r="F13" s="12"/>
      <c r="G13" s="12"/>
      <c r="H13" s="12"/>
      <c r="I13" s="12"/>
      <c r="J13" s="9">
        <f>AVERAGE(J10:J12)</f>
        <v>6.33058984910837</v>
      </c>
      <c r="K13" s="24"/>
      <c r="L13" s="24"/>
    </row>
    <row r="14" spans="1:12">
      <c r="A14" s="25" t="s">
        <v>2</v>
      </c>
      <c r="B14" s="25" t="s">
        <v>23</v>
      </c>
      <c r="C14" s="25" t="s">
        <v>36</v>
      </c>
      <c r="D14" s="25" t="s">
        <v>37</v>
      </c>
      <c r="E14" s="25" t="s">
        <v>38</v>
      </c>
      <c r="F14" s="25" t="s">
        <v>39</v>
      </c>
      <c r="G14" s="25" t="s">
        <v>41</v>
      </c>
      <c r="H14" s="25" t="s">
        <v>42</v>
      </c>
      <c r="I14" s="25" t="s">
        <v>40</v>
      </c>
      <c r="J14" s="25" t="s">
        <v>30</v>
      </c>
      <c r="K14" s="24"/>
      <c r="L14" s="24"/>
    </row>
    <row r="15" spans="1:12">
      <c r="A15" s="25"/>
      <c r="B15" s="12">
        <v>0.392</v>
      </c>
      <c r="C15" s="26">
        <v>0.106</v>
      </c>
      <c r="D15" s="25">
        <f t="shared" ref="D15:D17" si="2">B15-C15</f>
        <v>0.286</v>
      </c>
      <c r="E15" s="25">
        <v>12</v>
      </c>
      <c r="F15" s="25">
        <v>40</v>
      </c>
      <c r="G15" s="25">
        <v>30</v>
      </c>
      <c r="H15" s="25">
        <v>4.347</v>
      </c>
      <c r="I15" s="25">
        <v>1000</v>
      </c>
      <c r="J15" s="25">
        <f>D15/E15*F15/G15/H15*I17</f>
        <v>7.31027784167881</v>
      </c>
      <c r="K15" s="24"/>
      <c r="L15" s="24"/>
    </row>
    <row r="16" spans="1:12">
      <c r="A16" s="25"/>
      <c r="B16" s="12">
        <v>0.369</v>
      </c>
      <c r="C16" s="26">
        <v>0.106</v>
      </c>
      <c r="D16" s="25">
        <f t="shared" si="2"/>
        <v>0.263</v>
      </c>
      <c r="E16" s="25">
        <v>12</v>
      </c>
      <c r="F16" s="25">
        <v>40</v>
      </c>
      <c r="G16" s="25">
        <v>30</v>
      </c>
      <c r="H16" s="25">
        <v>4.347</v>
      </c>
      <c r="I16" s="25">
        <v>1000</v>
      </c>
      <c r="J16" s="25">
        <f>D16/E16*F16/G16/H16*I17</f>
        <v>6.72238836490044</v>
      </c>
      <c r="K16" s="24"/>
      <c r="L16" s="24"/>
    </row>
    <row r="17" spans="1:12">
      <c r="A17" s="25"/>
      <c r="B17" s="12">
        <v>0.328</v>
      </c>
      <c r="C17" s="26">
        <v>0.106</v>
      </c>
      <c r="D17" s="25">
        <f t="shared" si="2"/>
        <v>0.222</v>
      </c>
      <c r="E17" s="25">
        <v>12</v>
      </c>
      <c r="F17" s="25">
        <v>40</v>
      </c>
      <c r="G17" s="25">
        <v>30</v>
      </c>
      <c r="H17" s="25">
        <v>4.347</v>
      </c>
      <c r="I17" s="25">
        <v>1000</v>
      </c>
      <c r="J17" s="25">
        <f>D17/E17*F17/G17/H17*I15</f>
        <v>5.67441147151292</v>
      </c>
      <c r="K17" s="24"/>
      <c r="L17" s="24"/>
    </row>
    <row r="18" spans="1:12">
      <c r="A18" s="25"/>
      <c r="B18" s="12"/>
      <c r="C18" s="12"/>
      <c r="D18" s="12"/>
      <c r="E18" s="12"/>
      <c r="F18" s="12"/>
      <c r="G18" s="12"/>
      <c r="H18" s="12"/>
      <c r="I18" s="12"/>
      <c r="J18" s="9">
        <f>AVERAGE(J15:J17)</f>
        <v>6.56902589269739</v>
      </c>
      <c r="K18" s="24"/>
      <c r="L18" s="24"/>
    </row>
    <row r="19" spans="1:12">
      <c r="A19" s="25" t="s">
        <v>3</v>
      </c>
      <c r="B19" s="25" t="s">
        <v>23</v>
      </c>
      <c r="C19" s="25" t="s">
        <v>36</v>
      </c>
      <c r="D19" s="25" t="s">
        <v>37</v>
      </c>
      <c r="E19" s="25" t="s">
        <v>38</v>
      </c>
      <c r="F19" s="25" t="s">
        <v>39</v>
      </c>
      <c r="G19" s="25" t="s">
        <v>41</v>
      </c>
      <c r="H19" s="25" t="s">
        <v>42</v>
      </c>
      <c r="I19" s="25" t="s">
        <v>40</v>
      </c>
      <c r="J19" s="25" t="s">
        <v>30</v>
      </c>
      <c r="K19" s="24"/>
      <c r="L19" s="24"/>
    </row>
    <row r="20" spans="1:12">
      <c r="A20" s="25"/>
      <c r="B20" s="12">
        <v>0.563</v>
      </c>
      <c r="C20" s="12">
        <v>0.357</v>
      </c>
      <c r="D20" s="25">
        <f t="shared" ref="D20:D22" si="3">B20-C20</f>
        <v>0.206</v>
      </c>
      <c r="E20" s="25">
        <v>12</v>
      </c>
      <c r="F20" s="25">
        <v>40</v>
      </c>
      <c r="G20" s="25">
        <v>30</v>
      </c>
      <c r="H20" s="25">
        <v>2.562</v>
      </c>
      <c r="I20" s="25">
        <v>1000</v>
      </c>
      <c r="J20" s="25">
        <f>D20/E20*F20/G20/H20*I22</f>
        <v>8.93399254054992</v>
      </c>
      <c r="K20" s="24"/>
      <c r="L20" s="24"/>
    </row>
    <row r="21" spans="1:12">
      <c r="A21" s="25"/>
      <c r="B21" s="12">
        <v>0.607</v>
      </c>
      <c r="C21" s="12">
        <v>0.357</v>
      </c>
      <c r="D21" s="25">
        <f t="shared" si="3"/>
        <v>0.25</v>
      </c>
      <c r="E21" s="25">
        <v>12</v>
      </c>
      <c r="F21" s="25">
        <v>40</v>
      </c>
      <c r="G21" s="25">
        <v>30</v>
      </c>
      <c r="H21" s="25">
        <v>2.562</v>
      </c>
      <c r="I21" s="25">
        <v>1000</v>
      </c>
      <c r="J21" s="25">
        <f>D21/E21*F21/G21/H21*I22</f>
        <v>10.8422239569781</v>
      </c>
      <c r="K21" s="24"/>
      <c r="L21" s="24"/>
    </row>
    <row r="22" spans="1:12">
      <c r="A22" s="25"/>
      <c r="B22" s="12">
        <v>0.552</v>
      </c>
      <c r="C22" s="12">
        <v>0.357</v>
      </c>
      <c r="D22" s="25">
        <f t="shared" si="3"/>
        <v>0.195</v>
      </c>
      <c r="E22" s="25">
        <v>12</v>
      </c>
      <c r="F22" s="25">
        <v>40</v>
      </c>
      <c r="G22" s="25">
        <v>30</v>
      </c>
      <c r="H22" s="25">
        <v>2.562</v>
      </c>
      <c r="I22" s="25">
        <v>1000</v>
      </c>
      <c r="J22" s="25">
        <f>D22/E22*F22/G22/H22*I20</f>
        <v>8.45693468644289</v>
      </c>
      <c r="K22" s="24"/>
      <c r="L22" s="24"/>
    </row>
    <row r="23" spans="1:12">
      <c r="A23" s="25"/>
      <c r="B23" s="12"/>
      <c r="C23" s="12"/>
      <c r="D23" s="12"/>
      <c r="E23" s="12"/>
      <c r="F23" s="12"/>
      <c r="G23" s="12"/>
      <c r="H23" s="12"/>
      <c r="I23" s="12"/>
      <c r="J23" s="9">
        <f>AVERAGE(J20:J22)</f>
        <v>9.41105039465695</v>
      </c>
      <c r="K23" s="24"/>
      <c r="L23" s="24"/>
    </row>
    <row r="24" spans="1:12">
      <c r="A24" s="25" t="s">
        <v>43</v>
      </c>
      <c r="B24" s="25" t="s">
        <v>23</v>
      </c>
      <c r="C24" s="25" t="s">
        <v>36</v>
      </c>
      <c r="D24" s="25" t="s">
        <v>37</v>
      </c>
      <c r="E24" s="25" t="s">
        <v>38</v>
      </c>
      <c r="F24" s="25" t="s">
        <v>39</v>
      </c>
      <c r="G24" s="25" t="s">
        <v>41</v>
      </c>
      <c r="H24" s="25" t="s">
        <v>42</v>
      </c>
      <c r="I24" s="25" t="s">
        <v>40</v>
      </c>
      <c r="J24" s="25" t="s">
        <v>30</v>
      </c>
      <c r="K24" s="24"/>
      <c r="L24" s="24"/>
    </row>
    <row r="25" spans="1:12">
      <c r="A25" s="25"/>
      <c r="B25" s="12">
        <v>0.821</v>
      </c>
      <c r="C25" s="12">
        <v>0.296</v>
      </c>
      <c r="D25" s="25">
        <f t="shared" ref="D25:D27" si="4">B25-C25</f>
        <v>0.525</v>
      </c>
      <c r="E25" s="25">
        <v>12</v>
      </c>
      <c r="F25" s="25">
        <v>40</v>
      </c>
      <c r="G25" s="25">
        <v>30</v>
      </c>
      <c r="H25" s="25">
        <v>3.338</v>
      </c>
      <c r="I25" s="25">
        <v>1000</v>
      </c>
      <c r="J25" s="25">
        <f>D25/E25*F25/G25/H25*I27</f>
        <v>17.4755342520471</v>
      </c>
      <c r="K25" s="24"/>
      <c r="L25" s="24"/>
    </row>
    <row r="26" spans="1:12">
      <c r="A26" s="25"/>
      <c r="B26" s="12">
        <v>0.859</v>
      </c>
      <c r="C26" s="12">
        <v>0.296</v>
      </c>
      <c r="D26" s="25">
        <f t="shared" si="4"/>
        <v>0.563</v>
      </c>
      <c r="E26" s="25">
        <v>12</v>
      </c>
      <c r="F26" s="25">
        <v>40</v>
      </c>
      <c r="G26" s="25">
        <v>30</v>
      </c>
      <c r="H26" s="25">
        <v>3.338</v>
      </c>
      <c r="I26" s="25">
        <v>1000</v>
      </c>
      <c r="J26" s="25">
        <f>D26/E26*F26/G26/H26*I27</f>
        <v>18.7404300645763</v>
      </c>
      <c r="K26" s="24"/>
      <c r="L26" s="24"/>
    </row>
    <row r="27" spans="1:12">
      <c r="A27" s="25"/>
      <c r="B27" s="12">
        <v>0.981</v>
      </c>
      <c r="C27" s="12">
        <v>0.296</v>
      </c>
      <c r="D27" s="25">
        <f t="shared" si="4"/>
        <v>0.685</v>
      </c>
      <c r="E27" s="25">
        <v>12</v>
      </c>
      <c r="F27" s="25">
        <v>40</v>
      </c>
      <c r="G27" s="25">
        <v>30</v>
      </c>
      <c r="H27" s="25">
        <v>3.338</v>
      </c>
      <c r="I27" s="25">
        <v>1000</v>
      </c>
      <c r="J27" s="25">
        <f>D27/E27*F27/G27/H27*I25</f>
        <v>22.8014113574329</v>
      </c>
      <c r="K27" s="24"/>
      <c r="L27" s="24"/>
    </row>
    <row r="28" spans="1:12">
      <c r="A28" s="25"/>
      <c r="B28" s="12"/>
      <c r="C28" s="12"/>
      <c r="D28" s="12"/>
      <c r="E28" s="12"/>
      <c r="F28" s="12"/>
      <c r="G28" s="12"/>
      <c r="H28" s="12"/>
      <c r="I28" s="12"/>
      <c r="J28" s="9">
        <f>AVERAGE(J25:J27)</f>
        <v>19.6724585580188</v>
      </c>
      <c r="K28" s="24"/>
      <c r="L28" s="24"/>
    </row>
  </sheetData>
  <mergeCells count="12">
    <mergeCell ref="A1:B1"/>
    <mergeCell ref="C1:D1"/>
    <mergeCell ref="E1:F1"/>
    <mergeCell ref="G1:H1"/>
    <mergeCell ref="A2:B2"/>
    <mergeCell ref="C2:D2"/>
    <mergeCell ref="E2:F2"/>
    <mergeCell ref="G2:H2"/>
    <mergeCell ref="A9:A13"/>
    <mergeCell ref="A14:A18"/>
    <mergeCell ref="A19:A23"/>
    <mergeCell ref="A24:A2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H10" sqref="H10"/>
    </sheetView>
  </sheetViews>
  <sheetFormatPr defaultColWidth="8.88888888888889" defaultRowHeight="13.8" outlineLevelCol="7"/>
  <cols>
    <col min="1" max="1" width="17.2222222222222" customWidth="1"/>
    <col min="2" max="2" width="14.7777777777778" customWidth="1"/>
    <col min="3" max="3" width="14.4444444444444" customWidth="1"/>
    <col min="4" max="4" width="13.2222222222222" customWidth="1"/>
    <col min="5" max="5" width="13.7777777777778" customWidth="1"/>
    <col min="6" max="6" width="12.3333333333333" customWidth="1"/>
    <col min="7" max="7" width="13.8888888888889" customWidth="1"/>
    <col min="8" max="8" width="27" customWidth="1"/>
  </cols>
  <sheetData>
    <row r="1" spans="1:8">
      <c r="A1" s="12" t="s">
        <v>34</v>
      </c>
      <c r="B1" s="12"/>
      <c r="C1" s="12" t="s">
        <v>2</v>
      </c>
      <c r="D1" s="12"/>
      <c r="E1" s="12" t="s">
        <v>3</v>
      </c>
      <c r="F1" s="12"/>
      <c r="G1" s="12" t="s">
        <v>4</v>
      </c>
      <c r="H1" s="12"/>
    </row>
    <row r="2" spans="1:8">
      <c r="A2" s="12" t="s">
        <v>35</v>
      </c>
      <c r="B2" s="12"/>
      <c r="C2" s="12" t="s">
        <v>35</v>
      </c>
      <c r="D2" s="12"/>
      <c r="E2" s="12" t="s">
        <v>35</v>
      </c>
      <c r="F2" s="12"/>
      <c r="G2" s="12" t="s">
        <v>35</v>
      </c>
      <c r="H2" s="12"/>
    </row>
    <row r="3" spans="1:8">
      <c r="A3" s="25" t="s">
        <v>22</v>
      </c>
      <c r="B3" s="25" t="s">
        <v>23</v>
      </c>
      <c r="C3" s="25" t="s">
        <v>22</v>
      </c>
      <c r="D3" s="25" t="s">
        <v>23</v>
      </c>
      <c r="E3" s="25" t="s">
        <v>22</v>
      </c>
      <c r="F3" s="25" t="s">
        <v>23</v>
      </c>
      <c r="G3" s="25" t="s">
        <v>22</v>
      </c>
      <c r="H3" s="25" t="s">
        <v>23</v>
      </c>
    </row>
    <row r="4" spans="1:8">
      <c r="A4" s="12">
        <v>0.655</v>
      </c>
      <c r="B4" s="12">
        <v>0.402</v>
      </c>
      <c r="C4" s="12">
        <v>0.407</v>
      </c>
      <c r="D4" s="12">
        <v>0.137</v>
      </c>
      <c r="E4" s="12">
        <v>0.414</v>
      </c>
      <c r="F4" s="12">
        <v>0.178</v>
      </c>
      <c r="G4" s="12">
        <v>0.418</v>
      </c>
      <c r="H4" s="12">
        <v>0.27</v>
      </c>
    </row>
    <row r="5" spans="1:8">
      <c r="A5" s="12">
        <v>0.684</v>
      </c>
      <c r="B5" s="12">
        <v>0.502</v>
      </c>
      <c r="C5" s="12">
        <v>0.349</v>
      </c>
      <c r="D5" s="12">
        <v>0.205</v>
      </c>
      <c r="E5" s="12">
        <v>0.494</v>
      </c>
      <c r="F5" s="12">
        <v>0.164</v>
      </c>
      <c r="G5" s="12">
        <v>0.343</v>
      </c>
      <c r="H5" s="12">
        <v>0.237</v>
      </c>
    </row>
    <row r="6" spans="1:8">
      <c r="A6" s="12">
        <v>0.625</v>
      </c>
      <c r="B6" s="12">
        <v>0.425</v>
      </c>
      <c r="C6" s="12">
        <v>0.438</v>
      </c>
      <c r="D6" s="12">
        <v>0.145</v>
      </c>
      <c r="E6" s="12">
        <v>0.451</v>
      </c>
      <c r="F6" s="12">
        <v>0.224</v>
      </c>
      <c r="G6" s="12">
        <v>0.371</v>
      </c>
      <c r="H6" s="12">
        <v>0.245</v>
      </c>
    </row>
    <row r="7" spans="1:8">
      <c r="A7" s="12"/>
      <c r="B7" s="12">
        <v>0.458</v>
      </c>
      <c r="C7" s="12"/>
      <c r="D7" s="12"/>
      <c r="E7" s="12"/>
      <c r="F7" s="12">
        <v>0.238</v>
      </c>
      <c r="G7" s="12"/>
      <c r="H7" s="12">
        <v>0.216</v>
      </c>
    </row>
    <row r="8" spans="1:8">
      <c r="A8" s="9">
        <f>AVERAGE(A4:A6)</f>
        <v>0.654666666666667</v>
      </c>
      <c r="B8" s="9">
        <f t="shared" ref="B8:F8" si="0">AVERAGE(B4:B7)</f>
        <v>0.44675</v>
      </c>
      <c r="C8" s="13">
        <f t="shared" ref="C8:G8" si="1">AVERAGE(C4:C6)</f>
        <v>0.398</v>
      </c>
      <c r="D8" s="9">
        <f t="shared" si="0"/>
        <v>0.162333333333333</v>
      </c>
      <c r="E8" s="13">
        <f t="shared" si="1"/>
        <v>0.453</v>
      </c>
      <c r="F8" s="13">
        <f t="shared" si="0"/>
        <v>0.201</v>
      </c>
      <c r="G8" s="9">
        <f t="shared" si="1"/>
        <v>0.377333333333333</v>
      </c>
      <c r="H8" s="13">
        <f>AVERAGE(H4:H7)</f>
        <v>0.242</v>
      </c>
    </row>
    <row r="9" spans="1:8">
      <c r="A9" s="12"/>
      <c r="B9" s="12"/>
      <c r="C9" s="12"/>
      <c r="D9" s="12"/>
      <c r="E9" s="12"/>
      <c r="F9" s="12"/>
      <c r="G9" s="12"/>
      <c r="H9" s="12"/>
    </row>
    <row r="10" spans="1:8">
      <c r="A10" s="12"/>
      <c r="B10" s="12"/>
      <c r="C10" s="12"/>
      <c r="D10" s="12"/>
      <c r="E10" s="12"/>
      <c r="F10" s="12"/>
      <c r="G10" s="12"/>
      <c r="H10" s="12"/>
    </row>
    <row r="11" spans="1:8">
      <c r="A11" s="12"/>
      <c r="B11" s="12"/>
      <c r="C11" s="12"/>
      <c r="D11" s="12"/>
      <c r="E11" s="12"/>
      <c r="F11" s="12"/>
      <c r="G11" s="12"/>
      <c r="H11" s="12"/>
    </row>
    <row r="12" spans="1:8">
      <c r="A12" s="12"/>
      <c r="B12" s="12"/>
      <c r="C12" s="12"/>
      <c r="D12" s="12"/>
      <c r="E12" s="12"/>
      <c r="F12" s="12"/>
      <c r="G12" s="12"/>
      <c r="H12" s="12"/>
    </row>
    <row r="13" spans="1:8">
      <c r="A13" s="12"/>
      <c r="B13" s="12"/>
      <c r="C13" s="12"/>
      <c r="D13" s="12"/>
      <c r="E13" s="12"/>
      <c r="F13" s="12"/>
      <c r="G13" s="12"/>
      <c r="H13" s="12"/>
    </row>
    <row r="14" spans="1:8">
      <c r="A14" s="12"/>
      <c r="B14" s="12"/>
      <c r="C14" s="12"/>
      <c r="D14" s="12"/>
      <c r="E14" s="12"/>
      <c r="F14" s="12"/>
      <c r="G14" s="12"/>
      <c r="H14" s="12"/>
    </row>
    <row r="15" spans="1:8">
      <c r="A15" s="12"/>
      <c r="B15" s="12"/>
      <c r="C15" s="12"/>
      <c r="D15" s="12"/>
      <c r="E15" s="12"/>
      <c r="F15" s="12"/>
      <c r="G15" s="12"/>
      <c r="H15" s="12"/>
    </row>
    <row r="16" ht="14.4" spans="1:8">
      <c r="A16" s="25" t="s">
        <v>34</v>
      </c>
      <c r="B16" s="25" t="s">
        <v>23</v>
      </c>
      <c r="C16" s="25" t="s">
        <v>22</v>
      </c>
      <c r="D16" s="25" t="s">
        <v>25</v>
      </c>
      <c r="E16" s="25" t="s">
        <v>38</v>
      </c>
      <c r="F16" s="25" t="s">
        <v>44</v>
      </c>
      <c r="G16" s="25" t="s">
        <v>42</v>
      </c>
      <c r="H16" s="12" t="s">
        <v>45</v>
      </c>
    </row>
    <row r="17" spans="1:8">
      <c r="A17" s="25"/>
      <c r="B17" s="12">
        <v>0.402</v>
      </c>
      <c r="C17" s="12">
        <v>0.655</v>
      </c>
      <c r="D17" s="25">
        <f>C17-B17</f>
        <v>0.253</v>
      </c>
      <c r="E17" s="25">
        <v>0.5</v>
      </c>
      <c r="F17" s="25">
        <v>67</v>
      </c>
      <c r="G17" s="25">
        <v>5.395</v>
      </c>
      <c r="H17" s="25">
        <f>D17/C17/E17*F17/G17</f>
        <v>9.59384219202117</v>
      </c>
    </row>
    <row r="18" spans="1:8">
      <c r="A18" s="25"/>
      <c r="B18" s="12">
        <v>0.502</v>
      </c>
      <c r="C18" s="12"/>
      <c r="D18" s="25">
        <f>C17-B18</f>
        <v>0.153</v>
      </c>
      <c r="E18" s="25"/>
      <c r="F18" s="25"/>
      <c r="G18" s="25"/>
      <c r="H18" s="25">
        <f>D18/C17/E17*F17/G17</f>
        <v>5.80180970505628</v>
      </c>
    </row>
    <row r="19" spans="1:8">
      <c r="A19" s="25"/>
      <c r="B19" s="12">
        <v>0.425</v>
      </c>
      <c r="C19" s="12"/>
      <c r="D19" s="25">
        <f>C17-B19</f>
        <v>0.23</v>
      </c>
      <c r="E19" s="25"/>
      <c r="F19" s="25"/>
      <c r="G19" s="25"/>
      <c r="H19" s="25">
        <f>D19/C17/E17*F17/G17</f>
        <v>8.72167472001924</v>
      </c>
    </row>
    <row r="20" spans="1:8">
      <c r="A20" s="25"/>
      <c r="B20" s="12">
        <v>0.458</v>
      </c>
      <c r="C20" s="12"/>
      <c r="D20" s="25">
        <f>C17-B20</f>
        <v>0.197</v>
      </c>
      <c r="E20" s="25"/>
      <c r="F20" s="25"/>
      <c r="G20" s="25"/>
      <c r="H20" s="25">
        <f>D20/C17/E17*F17/G17</f>
        <v>7.47030399932083</v>
      </c>
    </row>
    <row r="21" spans="1:8">
      <c r="A21" s="25"/>
      <c r="B21" s="12"/>
      <c r="C21" s="12"/>
      <c r="D21" s="12"/>
      <c r="E21" s="12"/>
      <c r="F21" s="12"/>
      <c r="G21" s="12"/>
      <c r="H21" s="9">
        <f>AVERAGE(H17:H20)</f>
        <v>7.89690765410438</v>
      </c>
    </row>
    <row r="22" ht="14.4" spans="1:8">
      <c r="A22" s="25">
        <v>0.5</v>
      </c>
      <c r="B22" s="25" t="s">
        <v>23</v>
      </c>
      <c r="C22" s="25" t="s">
        <v>22</v>
      </c>
      <c r="D22" s="25" t="s">
        <v>25</v>
      </c>
      <c r="E22" s="25" t="s">
        <v>38</v>
      </c>
      <c r="F22" s="25" t="s">
        <v>44</v>
      </c>
      <c r="G22" s="25" t="s">
        <v>42</v>
      </c>
      <c r="H22" s="12" t="s">
        <v>45</v>
      </c>
    </row>
    <row r="23" spans="1:8">
      <c r="A23" s="25"/>
      <c r="B23" s="12">
        <v>0.137</v>
      </c>
      <c r="C23" s="12">
        <v>0.398</v>
      </c>
      <c r="D23" s="25">
        <f>C23-B23</f>
        <v>0.261</v>
      </c>
      <c r="E23" s="25">
        <v>0.5</v>
      </c>
      <c r="F23" s="25">
        <v>67</v>
      </c>
      <c r="G23" s="25">
        <v>4.308</v>
      </c>
      <c r="H23" s="25">
        <f>D23/C23/E23*F23/G23</f>
        <v>20.3979507565684</v>
      </c>
    </row>
    <row r="24" spans="1:8">
      <c r="A24" s="25"/>
      <c r="B24" s="12">
        <v>0.14</v>
      </c>
      <c r="C24" s="12"/>
      <c r="D24" s="25">
        <f>C23-B24</f>
        <v>0.258</v>
      </c>
      <c r="E24" s="25"/>
      <c r="F24" s="25"/>
      <c r="G24" s="25"/>
      <c r="H24" s="25">
        <f>D24/C23/E23*F23/G23</f>
        <v>20.1634915524699</v>
      </c>
    </row>
    <row r="25" spans="1:8">
      <c r="A25" s="25"/>
      <c r="B25" s="12">
        <v>0.145</v>
      </c>
      <c r="C25" s="12"/>
      <c r="D25" s="25">
        <f>C23-B25</f>
        <v>0.253</v>
      </c>
      <c r="E25" s="25"/>
      <c r="F25" s="25"/>
      <c r="G25" s="25"/>
      <c r="H25" s="25">
        <f>D25/C23/E23*F23/G23</f>
        <v>19.7727262123057</v>
      </c>
    </row>
    <row r="26" spans="1:8">
      <c r="A26" s="25"/>
      <c r="B26" s="26"/>
      <c r="C26" s="12"/>
      <c r="D26" s="25"/>
      <c r="E26" s="25"/>
      <c r="F26" s="25"/>
      <c r="G26" s="25"/>
      <c r="H26" s="9">
        <f>AVERAGE(H23:H25)</f>
        <v>20.1113895071147</v>
      </c>
    </row>
    <row r="27" ht="14.4" spans="1:8">
      <c r="A27" s="25">
        <v>1</v>
      </c>
      <c r="B27" s="25" t="s">
        <v>23</v>
      </c>
      <c r="C27" s="25" t="s">
        <v>22</v>
      </c>
      <c r="D27" s="25" t="s">
        <v>25</v>
      </c>
      <c r="E27" s="25" t="s">
        <v>38</v>
      </c>
      <c r="F27" s="25" t="s">
        <v>44</v>
      </c>
      <c r="G27" s="25" t="s">
        <v>42</v>
      </c>
      <c r="H27" s="12" t="s">
        <v>45</v>
      </c>
    </row>
    <row r="28" spans="1:8">
      <c r="A28" s="25"/>
      <c r="B28" s="12">
        <v>0.178</v>
      </c>
      <c r="C28" s="12">
        <v>0.453</v>
      </c>
      <c r="D28" s="25">
        <f>C28-B28</f>
        <v>0.275</v>
      </c>
      <c r="E28" s="25">
        <v>0.5</v>
      </c>
      <c r="F28" s="25">
        <v>67</v>
      </c>
      <c r="G28" s="25">
        <v>2.562</v>
      </c>
      <c r="H28" s="25">
        <f>D28/C28/E28*F28/G28</f>
        <v>31.7512015481834</v>
      </c>
    </row>
    <row r="29" spans="1:8">
      <c r="A29" s="25"/>
      <c r="B29" s="12">
        <v>0.164</v>
      </c>
      <c r="C29" s="12"/>
      <c r="D29" s="12">
        <f>C28-B29</f>
        <v>0.289</v>
      </c>
      <c r="E29" s="12"/>
      <c r="F29" s="12"/>
      <c r="G29" s="12"/>
      <c r="H29" s="25">
        <f>D29/C28/E28*F28/G28</f>
        <v>33.3676263542728</v>
      </c>
    </row>
    <row r="30" spans="1:8">
      <c r="A30" s="25"/>
      <c r="B30" s="12">
        <v>0.17</v>
      </c>
      <c r="C30" s="12"/>
      <c r="D30" s="12">
        <f>C28-B30</f>
        <v>0.283</v>
      </c>
      <c r="E30" s="12"/>
      <c r="F30" s="12"/>
      <c r="G30" s="12"/>
      <c r="H30" s="25">
        <f>D30/C28/E28*F28/G28</f>
        <v>32.6748728659488</v>
      </c>
    </row>
    <row r="31" spans="1:8">
      <c r="A31" s="25"/>
      <c r="B31" s="12">
        <v>0.238</v>
      </c>
      <c r="C31" s="12"/>
      <c r="D31" s="12">
        <f>C28-B31</f>
        <v>0.215</v>
      </c>
      <c r="E31" s="12"/>
      <c r="F31" s="12"/>
      <c r="G31" s="12"/>
      <c r="H31" s="25">
        <f>D31/C28/E28*F28/G28</f>
        <v>24.8236666649434</v>
      </c>
    </row>
    <row r="32" spans="1:8">
      <c r="A32" s="25"/>
      <c r="B32" s="12"/>
      <c r="C32" s="12"/>
      <c r="D32" s="12"/>
      <c r="E32" s="12"/>
      <c r="F32" s="12"/>
      <c r="G32" s="12"/>
      <c r="H32" s="9">
        <f>AVERAGE(H28:H31)</f>
        <v>30.6543418583371</v>
      </c>
    </row>
    <row r="33" ht="14.4" spans="1:8">
      <c r="A33" s="25">
        <v>5</v>
      </c>
      <c r="B33" s="25" t="s">
        <v>23</v>
      </c>
      <c r="C33" s="25" t="s">
        <v>22</v>
      </c>
      <c r="D33" s="25" t="s">
        <v>25</v>
      </c>
      <c r="E33" s="25" t="s">
        <v>38</v>
      </c>
      <c r="F33" s="25" t="s">
        <v>44</v>
      </c>
      <c r="G33" s="25" t="s">
        <v>42</v>
      </c>
      <c r="H33" s="12" t="s">
        <v>45</v>
      </c>
    </row>
    <row r="34" spans="1:8">
      <c r="A34" s="25"/>
      <c r="B34" s="12">
        <v>0.27</v>
      </c>
      <c r="C34" s="12">
        <v>0.377</v>
      </c>
      <c r="D34" s="25">
        <f>C34-B34</f>
        <v>0.107</v>
      </c>
      <c r="E34" s="25">
        <v>0.5</v>
      </c>
      <c r="F34" s="25">
        <v>67</v>
      </c>
      <c r="G34" s="25">
        <v>3.338</v>
      </c>
      <c r="H34" s="25">
        <f>D34/C34/E34*F34/G34</f>
        <v>11.3935980343699</v>
      </c>
    </row>
    <row r="35" spans="1:8">
      <c r="A35" s="25"/>
      <c r="B35" s="12">
        <v>0.237</v>
      </c>
      <c r="C35" s="12"/>
      <c r="D35" s="12">
        <f>C34-B35</f>
        <v>0.14</v>
      </c>
      <c r="E35" s="12"/>
      <c r="F35" s="12"/>
      <c r="G35" s="12"/>
      <c r="H35" s="25">
        <f>D35/C34/E34*F34/G34</f>
        <v>14.9075114468392</v>
      </c>
    </row>
    <row r="36" spans="1:8">
      <c r="A36" s="25"/>
      <c r="B36" s="12">
        <v>0.245</v>
      </c>
      <c r="C36" s="12"/>
      <c r="D36" s="12">
        <f>C34-B36</f>
        <v>0.132</v>
      </c>
      <c r="E36" s="12"/>
      <c r="F36" s="12"/>
      <c r="G36" s="12"/>
      <c r="H36" s="25">
        <f>D36/C34/E34*F34/G34</f>
        <v>14.0556536498769</v>
      </c>
    </row>
    <row r="37" spans="1:8">
      <c r="A37" s="25"/>
      <c r="B37" s="12">
        <v>0.216</v>
      </c>
      <c r="C37" s="12"/>
      <c r="D37" s="12">
        <f>C34-B37</f>
        <v>0.161</v>
      </c>
      <c r="E37" s="12"/>
      <c r="F37" s="12"/>
      <c r="G37" s="12"/>
      <c r="H37" s="25">
        <f>D37/C34/E34*F34/G34</f>
        <v>17.143638163865</v>
      </c>
    </row>
    <row r="38" spans="1:8">
      <c r="A38" s="25"/>
      <c r="B38" s="12"/>
      <c r="C38" s="12"/>
      <c r="D38" s="12"/>
      <c r="E38" s="12"/>
      <c r="F38" s="12"/>
      <c r="G38" s="12"/>
      <c r="H38" s="9">
        <f>AVERAGE(H34:H37)</f>
        <v>14.3751003237377</v>
      </c>
    </row>
    <row r="39" spans="1:8">
      <c r="A39" s="2"/>
      <c r="B39" s="2"/>
      <c r="C39" s="2"/>
      <c r="D39" s="2"/>
      <c r="E39" s="2"/>
      <c r="F39" s="2"/>
      <c r="G39" s="2"/>
      <c r="H39" s="2"/>
    </row>
  </sheetData>
  <mergeCells count="12">
    <mergeCell ref="A1:B1"/>
    <mergeCell ref="C1:D1"/>
    <mergeCell ref="E1:F1"/>
    <mergeCell ref="G1:H1"/>
    <mergeCell ref="A2:B2"/>
    <mergeCell ref="C2:D2"/>
    <mergeCell ref="E2:F2"/>
    <mergeCell ref="G2:H2"/>
    <mergeCell ref="A16:A21"/>
    <mergeCell ref="A22:A26"/>
    <mergeCell ref="A27:A32"/>
    <mergeCell ref="A33:A3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"/>
  <sheetViews>
    <sheetView workbookViewId="0">
      <selection activeCell="M24" sqref="M24"/>
    </sheetView>
  </sheetViews>
  <sheetFormatPr defaultColWidth="8.88888888888889" defaultRowHeight="13.8"/>
  <cols>
    <col min="6" max="6" width="14.4444444444444" customWidth="1"/>
    <col min="7" max="7" width="12.4444444444444" customWidth="1"/>
    <col min="8" max="8" width="19.1111111111111" customWidth="1"/>
    <col min="11" max="11" width="24.5555555555556" customWidth="1"/>
  </cols>
  <sheetData>
    <row r="1" spans="1:18">
      <c r="A1" s="5" t="s">
        <v>34</v>
      </c>
      <c r="B1" s="5"/>
      <c r="C1" s="5"/>
      <c r="D1" s="5"/>
      <c r="E1" s="12" t="s">
        <v>2</v>
      </c>
      <c r="F1" s="12"/>
      <c r="G1" s="12"/>
      <c r="H1" s="12"/>
      <c r="I1" s="12" t="s">
        <v>3</v>
      </c>
      <c r="J1" s="12"/>
      <c r="K1" s="12"/>
      <c r="L1" s="12"/>
      <c r="M1" s="12" t="s">
        <v>4</v>
      </c>
      <c r="N1" s="12"/>
      <c r="O1" s="12"/>
      <c r="P1" s="12"/>
      <c r="Q1" s="2"/>
      <c r="R1" s="2"/>
    </row>
    <row r="2" spans="1:18">
      <c r="A2" s="5" t="s">
        <v>46</v>
      </c>
      <c r="B2" s="5"/>
      <c r="C2" s="5" t="s">
        <v>47</v>
      </c>
      <c r="D2" s="5"/>
      <c r="E2" s="5" t="s">
        <v>46</v>
      </c>
      <c r="F2" s="5"/>
      <c r="G2" s="12" t="s">
        <v>47</v>
      </c>
      <c r="H2" s="12"/>
      <c r="I2" s="5" t="s">
        <v>46</v>
      </c>
      <c r="J2" s="5"/>
      <c r="K2" s="12" t="s">
        <v>47</v>
      </c>
      <c r="L2" s="12"/>
      <c r="M2" s="5" t="s">
        <v>46</v>
      </c>
      <c r="N2" s="5"/>
      <c r="O2" s="12" t="s">
        <v>47</v>
      </c>
      <c r="P2" s="12"/>
      <c r="Q2" s="2"/>
      <c r="R2" s="2"/>
    </row>
    <row r="3" spans="1:18">
      <c r="A3" s="5" t="s">
        <v>48</v>
      </c>
      <c r="B3" s="5" t="s">
        <v>49</v>
      </c>
      <c r="C3" s="5" t="s">
        <v>50</v>
      </c>
      <c r="D3" s="5" t="s">
        <v>51</v>
      </c>
      <c r="E3" s="12" t="s">
        <v>48</v>
      </c>
      <c r="F3" s="12" t="s">
        <v>49</v>
      </c>
      <c r="G3" s="12" t="s">
        <v>52</v>
      </c>
      <c r="H3" s="12" t="s">
        <v>51</v>
      </c>
      <c r="I3" s="12" t="s">
        <v>48</v>
      </c>
      <c r="J3" s="12" t="s">
        <v>49</v>
      </c>
      <c r="K3" s="12" t="s">
        <v>52</v>
      </c>
      <c r="L3" s="12" t="s">
        <v>51</v>
      </c>
      <c r="M3" s="12" t="s">
        <v>48</v>
      </c>
      <c r="N3" s="12" t="s">
        <v>49</v>
      </c>
      <c r="O3" s="12" t="s">
        <v>50</v>
      </c>
      <c r="P3" s="12" t="s">
        <v>51</v>
      </c>
      <c r="Q3" s="2"/>
      <c r="R3" s="2"/>
    </row>
    <row r="4" spans="1:18">
      <c r="A4" s="5">
        <v>0.385</v>
      </c>
      <c r="B4" s="5">
        <v>0.372</v>
      </c>
      <c r="C4" s="5">
        <v>0.537</v>
      </c>
      <c r="D4" s="5">
        <v>0.687</v>
      </c>
      <c r="E4" s="12">
        <v>0.385</v>
      </c>
      <c r="F4" s="12">
        <v>0.372</v>
      </c>
      <c r="G4" s="12">
        <v>0.402</v>
      </c>
      <c r="H4" s="12">
        <v>0.516</v>
      </c>
      <c r="I4" s="12">
        <v>0.385</v>
      </c>
      <c r="J4" s="12">
        <v>0.372</v>
      </c>
      <c r="K4" s="12">
        <v>0.227</v>
      </c>
      <c r="L4" s="12">
        <v>0.354</v>
      </c>
      <c r="M4" s="12">
        <v>0.385</v>
      </c>
      <c r="N4" s="12">
        <v>0.372</v>
      </c>
      <c r="O4" s="12">
        <v>0.27</v>
      </c>
      <c r="P4" s="12">
        <v>0.312</v>
      </c>
      <c r="Q4" s="2"/>
      <c r="R4" s="2"/>
    </row>
    <row r="5" spans="1:18">
      <c r="A5" s="5">
        <v>0.557</v>
      </c>
      <c r="B5" s="5">
        <v>0.546</v>
      </c>
      <c r="C5" s="5">
        <v>0.524</v>
      </c>
      <c r="D5" s="5">
        <v>0.702</v>
      </c>
      <c r="E5" s="12">
        <v>0.557</v>
      </c>
      <c r="F5" s="12">
        <v>0.546</v>
      </c>
      <c r="G5" s="12">
        <v>0.443</v>
      </c>
      <c r="H5" s="12">
        <v>0.587</v>
      </c>
      <c r="I5" s="12">
        <v>0.557</v>
      </c>
      <c r="J5" s="12">
        <v>0.546</v>
      </c>
      <c r="K5" s="12">
        <v>0.214</v>
      </c>
      <c r="L5" s="12">
        <v>0.289</v>
      </c>
      <c r="M5" s="12">
        <v>0.557</v>
      </c>
      <c r="N5" s="12">
        <v>0.546</v>
      </c>
      <c r="O5" s="12">
        <v>0.261</v>
      </c>
      <c r="P5" s="12">
        <v>0.297</v>
      </c>
      <c r="Q5" s="2"/>
      <c r="R5" s="2"/>
    </row>
    <row r="6" spans="1:18">
      <c r="A6" s="5"/>
      <c r="B6" s="5"/>
      <c r="C6" s="5">
        <v>0.574</v>
      </c>
      <c r="D6" s="5">
        <v>0.807</v>
      </c>
      <c r="E6" s="12"/>
      <c r="F6" s="12"/>
      <c r="G6" s="12">
        <v>0.49</v>
      </c>
      <c r="H6" s="12">
        <v>0.579</v>
      </c>
      <c r="I6" s="12"/>
      <c r="J6" s="12"/>
      <c r="K6" s="12">
        <v>0.208</v>
      </c>
      <c r="L6" s="12">
        <v>0.276</v>
      </c>
      <c r="M6" s="12"/>
      <c r="N6" s="12"/>
      <c r="O6" s="12">
        <v>0.27</v>
      </c>
      <c r="P6" s="12">
        <v>0.308</v>
      </c>
      <c r="Q6" s="2"/>
      <c r="R6" s="2"/>
    </row>
    <row r="7" spans="1:18">
      <c r="A7" s="5"/>
      <c r="B7" s="5"/>
      <c r="C7" s="5">
        <v>0.363</v>
      </c>
      <c r="D7" s="5">
        <v>0.519</v>
      </c>
      <c r="E7" s="12"/>
      <c r="F7" s="12"/>
      <c r="G7" s="12">
        <v>0.632</v>
      </c>
      <c r="H7" s="12">
        <v>0.706</v>
      </c>
      <c r="I7" s="12"/>
      <c r="J7" s="12"/>
      <c r="K7" s="12">
        <v>0.196</v>
      </c>
      <c r="L7" s="12">
        <v>0.262</v>
      </c>
      <c r="M7" s="12"/>
      <c r="N7" s="12"/>
      <c r="O7" s="12">
        <v>0.261</v>
      </c>
      <c r="P7" s="12">
        <v>0.291</v>
      </c>
      <c r="Q7" s="2"/>
      <c r="R7" s="2"/>
    </row>
    <row r="8" spans="1:18">
      <c r="A8" s="5"/>
      <c r="B8" s="5"/>
      <c r="C8" s="5">
        <v>0.357</v>
      </c>
      <c r="D8" s="5">
        <v>0.546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2"/>
      <c r="R8" s="2"/>
    </row>
    <row r="9" spans="1:18">
      <c r="A9" s="9">
        <f t="shared" ref="A9:F9" si="0">AVERAGE(A4:A5)</f>
        <v>0.471</v>
      </c>
      <c r="B9" s="9">
        <f t="shared" si="0"/>
        <v>0.459</v>
      </c>
      <c r="C9" s="9">
        <f>AVERAGE(C4:C8)</f>
        <v>0.471</v>
      </c>
      <c r="D9" s="9">
        <f>AVERAGE(D4:D8)</f>
        <v>0.6522</v>
      </c>
      <c r="E9" s="9">
        <f t="shared" si="0"/>
        <v>0.471</v>
      </c>
      <c r="F9" s="9">
        <f t="shared" si="0"/>
        <v>0.459</v>
      </c>
      <c r="G9" s="9">
        <f t="shared" ref="G9:L9" si="1">AVERAGE(G4:G7)</f>
        <v>0.49175</v>
      </c>
      <c r="H9" s="9">
        <f t="shared" si="1"/>
        <v>0.597</v>
      </c>
      <c r="I9" s="9">
        <f t="shared" ref="I9:N9" si="2">AVERAGE(I4:I5)</f>
        <v>0.471</v>
      </c>
      <c r="J9" s="9">
        <f t="shared" si="2"/>
        <v>0.459</v>
      </c>
      <c r="K9" s="9">
        <f t="shared" si="1"/>
        <v>0.21125</v>
      </c>
      <c r="L9" s="9">
        <f t="shared" si="1"/>
        <v>0.29525</v>
      </c>
      <c r="M9" s="13">
        <f t="shared" si="2"/>
        <v>0.471</v>
      </c>
      <c r="N9" s="13">
        <f t="shared" si="2"/>
        <v>0.459</v>
      </c>
      <c r="O9" s="9">
        <f>AVERAGE(O4:O7)</f>
        <v>0.2655</v>
      </c>
      <c r="P9" s="9">
        <f>AVERAGE(P4:P7)</f>
        <v>0.302</v>
      </c>
      <c r="Q9" s="2"/>
      <c r="R9" s="2"/>
    </row>
    <row r="10" spans="1:18">
      <c r="A10" s="12">
        <f>B9-A9</f>
        <v>-0.012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2"/>
    </row>
    <row r="11" spans="1:18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"/>
      <c r="R11" s="2"/>
    </row>
    <row r="12" spans="1:18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</row>
    <row r="13" spans="1:18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"/>
      <c r="R13" s="2"/>
    </row>
    <row r="14" spans="1:18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"/>
      <c r="R14" s="2"/>
    </row>
    <row r="15" spans="1:18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"/>
      <c r="R15" s="2"/>
    </row>
    <row r="16" ht="14.4" spans="1:18">
      <c r="A16" s="12" t="s">
        <v>20</v>
      </c>
      <c r="B16" s="12" t="s">
        <v>53</v>
      </c>
      <c r="C16" s="12" t="s">
        <v>54</v>
      </c>
      <c r="D16" s="12" t="s">
        <v>55</v>
      </c>
      <c r="E16" s="12" t="s">
        <v>56</v>
      </c>
      <c r="F16" s="23" t="s">
        <v>46</v>
      </c>
      <c r="G16" s="25" t="s">
        <v>57</v>
      </c>
      <c r="H16" s="12" t="s">
        <v>37</v>
      </c>
      <c r="I16" s="12" t="s">
        <v>58</v>
      </c>
      <c r="J16" s="12" t="s">
        <v>42</v>
      </c>
      <c r="K16" s="12" t="s">
        <v>45</v>
      </c>
      <c r="L16" s="12"/>
      <c r="M16" s="12"/>
      <c r="N16" s="12"/>
      <c r="O16" s="12"/>
      <c r="P16" s="12"/>
      <c r="Q16" s="2"/>
      <c r="R16" s="2"/>
    </row>
    <row r="17" spans="1:18">
      <c r="A17" s="12"/>
      <c r="B17" s="5">
        <v>0.471</v>
      </c>
      <c r="C17" s="5">
        <v>0.459</v>
      </c>
      <c r="D17" s="5">
        <v>0.537</v>
      </c>
      <c r="E17" s="5">
        <v>0.687</v>
      </c>
      <c r="F17" s="12">
        <f>C17-B17</f>
        <v>-0.012</v>
      </c>
      <c r="G17" s="12">
        <f t="shared" ref="G17:G21" si="3">E17-D17</f>
        <v>0.15</v>
      </c>
      <c r="H17" s="12">
        <f>G17-F17</f>
        <v>0.162</v>
      </c>
      <c r="I17" s="12">
        <v>67</v>
      </c>
      <c r="J17" s="12">
        <v>5.395</v>
      </c>
      <c r="K17" s="25">
        <f>I17*H17/J17</f>
        <v>2.01186283595922</v>
      </c>
      <c r="L17" s="12"/>
      <c r="M17" s="12"/>
      <c r="N17" s="12"/>
      <c r="O17" s="12"/>
      <c r="P17" s="12"/>
      <c r="Q17" s="2"/>
      <c r="R17" s="2"/>
    </row>
    <row r="18" spans="1:18">
      <c r="A18" s="12"/>
      <c r="B18" s="5"/>
      <c r="C18" s="5"/>
      <c r="D18" s="5">
        <v>0.524</v>
      </c>
      <c r="E18" s="5">
        <v>0.702</v>
      </c>
      <c r="F18" s="12"/>
      <c r="G18" s="12">
        <f t="shared" si="3"/>
        <v>0.178</v>
      </c>
      <c r="H18" s="12">
        <f>G18-F17</f>
        <v>0.19</v>
      </c>
      <c r="I18" s="12"/>
      <c r="J18" s="12"/>
      <c r="K18" s="25">
        <f>I17*H18/J17</f>
        <v>2.3595922150139</v>
      </c>
      <c r="L18" s="12"/>
      <c r="M18" s="12"/>
      <c r="N18" s="12"/>
      <c r="O18" s="12"/>
      <c r="P18" s="12"/>
      <c r="Q18" s="2"/>
      <c r="R18" s="2"/>
    </row>
    <row r="19" spans="1:18">
      <c r="A19" s="12"/>
      <c r="B19" s="12"/>
      <c r="C19" s="12"/>
      <c r="D19" s="5">
        <v>0.574</v>
      </c>
      <c r="E19" s="5">
        <v>0.807</v>
      </c>
      <c r="F19" s="12"/>
      <c r="G19" s="12">
        <f t="shared" si="3"/>
        <v>0.233</v>
      </c>
      <c r="H19" s="12">
        <f>G19-F17</f>
        <v>0.245</v>
      </c>
      <c r="I19" s="12"/>
      <c r="J19" s="12"/>
      <c r="K19" s="25">
        <f>I17*H19/J17</f>
        <v>3.04263206672845</v>
      </c>
      <c r="L19" s="12"/>
      <c r="M19" s="12"/>
      <c r="N19" s="12"/>
      <c r="O19" s="12"/>
      <c r="P19" s="12"/>
      <c r="Q19" s="2"/>
      <c r="R19" s="2"/>
    </row>
    <row r="20" spans="1:18">
      <c r="A20" s="12"/>
      <c r="B20" s="12"/>
      <c r="C20" s="12"/>
      <c r="D20" s="5">
        <v>0.363</v>
      </c>
      <c r="E20" s="5">
        <v>0.519</v>
      </c>
      <c r="F20" s="12"/>
      <c r="G20" s="12">
        <f t="shared" si="3"/>
        <v>0.156</v>
      </c>
      <c r="H20" s="12">
        <f>G20-F17</f>
        <v>0.168</v>
      </c>
      <c r="I20" s="12"/>
      <c r="J20" s="12"/>
      <c r="K20" s="25">
        <f>H20*I17/J17</f>
        <v>2.08637627432808</v>
      </c>
      <c r="L20" s="12"/>
      <c r="M20" s="12"/>
      <c r="N20" s="12"/>
      <c r="O20" s="12"/>
      <c r="P20" s="12"/>
      <c r="Q20" s="2"/>
      <c r="R20" s="2"/>
    </row>
    <row r="21" spans="1:18">
      <c r="A21" s="12"/>
      <c r="B21" s="12"/>
      <c r="C21" s="12"/>
      <c r="D21" s="5">
        <v>0.357</v>
      </c>
      <c r="E21" s="5">
        <v>0.546</v>
      </c>
      <c r="F21" s="12"/>
      <c r="G21" s="12">
        <f t="shared" si="3"/>
        <v>0.189</v>
      </c>
      <c r="H21" s="12">
        <f>G21-F17</f>
        <v>0.201</v>
      </c>
      <c r="I21" s="12"/>
      <c r="J21" s="12"/>
      <c r="K21" s="25">
        <f>H21*I17/J17</f>
        <v>2.49620018535681</v>
      </c>
      <c r="L21" s="12"/>
      <c r="M21" s="12"/>
      <c r="N21" s="12"/>
      <c r="O21" s="12"/>
      <c r="P21" s="12"/>
      <c r="Q21" s="2"/>
      <c r="R21" s="2"/>
    </row>
    <row r="22" spans="1:18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9">
        <f>AVERAGE(K17:K21)</f>
        <v>2.39933271547729</v>
      </c>
      <c r="L22" s="12"/>
      <c r="M22" s="12"/>
      <c r="N22" s="12"/>
      <c r="O22" s="12"/>
      <c r="P22" s="12"/>
      <c r="Q22" s="2"/>
      <c r="R22" s="2"/>
    </row>
    <row r="23" ht="14.4" spans="1:18">
      <c r="A23" s="12" t="s">
        <v>2</v>
      </c>
      <c r="B23" s="12" t="s">
        <v>53</v>
      </c>
      <c r="C23" s="12" t="s">
        <v>54</v>
      </c>
      <c r="D23" s="12" t="s">
        <v>55</v>
      </c>
      <c r="E23" s="12" t="s">
        <v>56</v>
      </c>
      <c r="F23" s="23" t="s">
        <v>46</v>
      </c>
      <c r="G23" s="12" t="s">
        <v>57</v>
      </c>
      <c r="H23" s="12" t="s">
        <v>37</v>
      </c>
      <c r="I23" s="12" t="s">
        <v>58</v>
      </c>
      <c r="J23" s="12" t="s">
        <v>42</v>
      </c>
      <c r="K23" s="12" t="s">
        <v>45</v>
      </c>
      <c r="L23" s="12"/>
      <c r="M23" s="12"/>
      <c r="N23" s="12"/>
      <c r="O23" s="12"/>
      <c r="P23" s="12"/>
      <c r="Q23" s="2"/>
      <c r="R23" s="2"/>
    </row>
    <row r="24" spans="1:18">
      <c r="A24" s="12"/>
      <c r="B24" s="5">
        <v>0.471</v>
      </c>
      <c r="C24" s="5">
        <v>0.459</v>
      </c>
      <c r="D24" s="12">
        <v>0.402</v>
      </c>
      <c r="E24" s="12">
        <v>0.516</v>
      </c>
      <c r="F24" s="12">
        <f>C24-B24</f>
        <v>-0.012</v>
      </c>
      <c r="G24" s="12">
        <f t="shared" ref="G24:G27" si="4">E24-D24</f>
        <v>0.114</v>
      </c>
      <c r="H24" s="12">
        <f>G24-F24</f>
        <v>0.126</v>
      </c>
      <c r="I24" s="12">
        <v>67</v>
      </c>
      <c r="J24" s="12">
        <v>4.308</v>
      </c>
      <c r="K24" s="25">
        <f>I24*H24/J24</f>
        <v>1.95961002785515</v>
      </c>
      <c r="L24" s="12"/>
      <c r="M24" s="12"/>
      <c r="N24" s="12"/>
      <c r="O24" s="12"/>
      <c r="P24" s="12"/>
      <c r="Q24" s="2"/>
      <c r="R24" s="2"/>
    </row>
    <row r="25" spans="1:18">
      <c r="A25" s="12"/>
      <c r="B25" s="5"/>
      <c r="C25" s="5"/>
      <c r="D25" s="12">
        <v>0.443</v>
      </c>
      <c r="E25" s="12">
        <v>0.587</v>
      </c>
      <c r="F25" s="12"/>
      <c r="G25" s="12">
        <f t="shared" si="4"/>
        <v>0.144</v>
      </c>
      <c r="H25" s="12">
        <f>G25-F24</f>
        <v>0.156</v>
      </c>
      <c r="I25" s="12"/>
      <c r="J25" s="12"/>
      <c r="K25" s="25">
        <f>I24*H25/J24</f>
        <v>2.42618384401114</v>
      </c>
      <c r="L25" s="12"/>
      <c r="M25" s="12"/>
      <c r="N25" s="12"/>
      <c r="O25" s="12"/>
      <c r="P25" s="12"/>
      <c r="Q25" s="2"/>
      <c r="R25" s="2"/>
    </row>
    <row r="26" spans="1:18">
      <c r="A26" s="12"/>
      <c r="B26" s="12"/>
      <c r="C26" s="12"/>
      <c r="D26" s="12">
        <v>0.49</v>
      </c>
      <c r="E26" s="12">
        <v>0.579</v>
      </c>
      <c r="F26" s="12"/>
      <c r="G26" s="12">
        <f t="shared" si="4"/>
        <v>0.089</v>
      </c>
      <c r="H26" s="12">
        <f>G26-F24</f>
        <v>0.101</v>
      </c>
      <c r="I26" s="12"/>
      <c r="J26" s="12"/>
      <c r="K26" s="25">
        <f>I24*H26/J24</f>
        <v>1.57079851439183</v>
      </c>
      <c r="L26" s="12"/>
      <c r="M26" s="12"/>
      <c r="N26" s="12"/>
      <c r="O26" s="12"/>
      <c r="P26" s="12"/>
      <c r="Q26" s="2"/>
      <c r="R26" s="2"/>
    </row>
    <row r="27" spans="1:18">
      <c r="A27" s="12"/>
      <c r="B27" s="12"/>
      <c r="C27" s="12"/>
      <c r="D27" s="12">
        <v>0.632</v>
      </c>
      <c r="E27" s="12">
        <v>0.706</v>
      </c>
      <c r="F27" s="12"/>
      <c r="G27" s="12">
        <f t="shared" si="4"/>
        <v>0.074</v>
      </c>
      <c r="H27" s="12">
        <f>G27-F24</f>
        <v>0.0859999999999999</v>
      </c>
      <c r="I27" s="12"/>
      <c r="J27" s="12"/>
      <c r="K27" s="25">
        <f>H27*I24/J24</f>
        <v>1.33751160631383</v>
      </c>
      <c r="L27" s="12"/>
      <c r="M27" s="12"/>
      <c r="N27" s="12"/>
      <c r="O27" s="12"/>
      <c r="P27" s="12"/>
      <c r="Q27" s="2"/>
      <c r="R27" s="2"/>
    </row>
    <row r="28" spans="1:18">
      <c r="A28" s="12"/>
      <c r="B28" s="12"/>
      <c r="C28" s="12"/>
      <c r="D28" s="5"/>
      <c r="E28" s="5"/>
      <c r="F28" s="12"/>
      <c r="G28" s="12"/>
      <c r="H28" s="12"/>
      <c r="I28" s="12"/>
      <c r="J28" s="12"/>
      <c r="K28" s="25"/>
      <c r="L28" s="12"/>
      <c r="M28" s="12"/>
      <c r="N28" s="12"/>
      <c r="O28" s="12"/>
      <c r="P28" s="12"/>
      <c r="Q28" s="2"/>
      <c r="R28" s="2"/>
    </row>
    <row r="29" spans="1:18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9">
        <f>AVERAGE(K24:K28)</f>
        <v>1.82352599814299</v>
      </c>
      <c r="L29" s="12"/>
      <c r="M29" s="12"/>
      <c r="N29" s="12"/>
      <c r="O29" s="12"/>
      <c r="P29" s="12"/>
      <c r="Q29" s="2"/>
      <c r="R29" s="2"/>
    </row>
    <row r="30" ht="14.4" spans="1:18">
      <c r="A30" s="12" t="s">
        <v>3</v>
      </c>
      <c r="B30" s="12" t="s">
        <v>53</v>
      </c>
      <c r="C30" s="12" t="s">
        <v>54</v>
      </c>
      <c r="D30" s="12" t="s">
        <v>55</v>
      </c>
      <c r="E30" s="12" t="s">
        <v>56</v>
      </c>
      <c r="F30" s="23" t="s">
        <v>46</v>
      </c>
      <c r="G30" s="12" t="s">
        <v>57</v>
      </c>
      <c r="H30" s="12" t="s">
        <v>37</v>
      </c>
      <c r="I30" s="12" t="s">
        <v>58</v>
      </c>
      <c r="J30" s="12" t="s">
        <v>42</v>
      </c>
      <c r="K30" s="12" t="s">
        <v>45</v>
      </c>
      <c r="L30" s="12"/>
      <c r="M30" s="12"/>
      <c r="N30" s="12"/>
      <c r="O30" s="12"/>
      <c r="P30" s="12"/>
      <c r="Q30" s="2"/>
      <c r="R30" s="2"/>
    </row>
    <row r="31" spans="1:18">
      <c r="A31" s="12"/>
      <c r="B31" s="5">
        <v>0.471</v>
      </c>
      <c r="C31" s="5">
        <v>0.459</v>
      </c>
      <c r="D31" s="12">
        <v>0.227</v>
      </c>
      <c r="E31" s="12">
        <v>0.354</v>
      </c>
      <c r="F31" s="12">
        <f>C31-B31</f>
        <v>-0.012</v>
      </c>
      <c r="G31" s="12">
        <f t="shared" ref="G31:G34" si="5">E31-D31</f>
        <v>0.127</v>
      </c>
      <c r="H31" s="12">
        <f>G31-F31</f>
        <v>0.139</v>
      </c>
      <c r="I31" s="12">
        <v>67</v>
      </c>
      <c r="J31" s="12">
        <v>4.308</v>
      </c>
      <c r="K31" s="25">
        <f>I31*H31/J31</f>
        <v>2.16179201485608</v>
      </c>
      <c r="L31" s="12"/>
      <c r="M31" s="12"/>
      <c r="N31" s="12"/>
      <c r="O31" s="12"/>
      <c r="P31" s="12"/>
      <c r="Q31" s="2"/>
      <c r="R31" s="2"/>
    </row>
    <row r="32" spans="1:18">
      <c r="A32" s="12"/>
      <c r="B32" s="5"/>
      <c r="C32" s="5"/>
      <c r="D32" s="12">
        <v>0.214</v>
      </c>
      <c r="E32" s="12">
        <v>0.289</v>
      </c>
      <c r="F32" s="12"/>
      <c r="G32" s="12">
        <f t="shared" si="5"/>
        <v>0.075</v>
      </c>
      <c r="H32" s="12">
        <f>G32-F31</f>
        <v>0.0869999999999999</v>
      </c>
      <c r="I32" s="12"/>
      <c r="J32" s="12"/>
      <c r="K32" s="25">
        <f>I31*H32/J31</f>
        <v>1.35306406685237</v>
      </c>
      <c r="L32" s="12"/>
      <c r="M32" s="12"/>
      <c r="N32" s="12"/>
      <c r="O32" s="12"/>
      <c r="P32" s="12"/>
      <c r="Q32" s="2"/>
      <c r="R32" s="2"/>
    </row>
    <row r="33" spans="1:18">
      <c r="A33" s="12"/>
      <c r="B33" s="12"/>
      <c r="C33" s="12"/>
      <c r="D33" s="12">
        <v>0.208</v>
      </c>
      <c r="E33" s="12">
        <v>0.276</v>
      </c>
      <c r="F33" s="12"/>
      <c r="G33" s="12">
        <f t="shared" si="5"/>
        <v>0.068</v>
      </c>
      <c r="H33" s="12">
        <f>G33-F31</f>
        <v>0.08</v>
      </c>
      <c r="I33" s="12"/>
      <c r="J33" s="12"/>
      <c r="K33" s="25">
        <f>I31*H33/J31</f>
        <v>1.24419684308264</v>
      </c>
      <c r="L33" s="12"/>
      <c r="M33" s="12"/>
      <c r="N33" s="12"/>
      <c r="O33" s="12"/>
      <c r="P33" s="12"/>
      <c r="Q33" s="2"/>
      <c r="R33" s="2"/>
    </row>
    <row r="34" spans="1:18">
      <c r="A34" s="12"/>
      <c r="B34" s="12"/>
      <c r="C34" s="12"/>
      <c r="D34" s="12">
        <v>0.196</v>
      </c>
      <c r="E34" s="12">
        <v>0.262</v>
      </c>
      <c r="F34" s="12"/>
      <c r="G34" s="12">
        <f t="shared" si="5"/>
        <v>0.066</v>
      </c>
      <c r="H34" s="12">
        <f>G34-F31</f>
        <v>0.078</v>
      </c>
      <c r="I34" s="12"/>
      <c r="J34" s="12"/>
      <c r="K34" s="25">
        <f>H34*I31/J31</f>
        <v>1.21309192200557</v>
      </c>
      <c r="L34" s="12"/>
      <c r="M34" s="12"/>
      <c r="N34" s="12"/>
      <c r="O34" s="12"/>
      <c r="P34" s="12"/>
      <c r="Q34" s="2"/>
      <c r="R34" s="2"/>
    </row>
    <row r="35" spans="1:18">
      <c r="A35" s="12"/>
      <c r="B35" s="12"/>
      <c r="C35" s="12"/>
      <c r="D35" s="5"/>
      <c r="E35" s="5"/>
      <c r="F35" s="12"/>
      <c r="G35" s="12"/>
      <c r="H35" s="12"/>
      <c r="I35" s="12"/>
      <c r="J35" s="12"/>
      <c r="K35" s="25"/>
      <c r="L35" s="12"/>
      <c r="M35" s="12"/>
      <c r="N35" s="12"/>
      <c r="O35" s="12"/>
      <c r="P35" s="12"/>
      <c r="Q35" s="2"/>
      <c r="R35" s="2"/>
    </row>
    <row r="36" spans="1:18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9">
        <f>AVERAGE(K31:K35)</f>
        <v>1.49303621169916</v>
      </c>
      <c r="L36" s="12"/>
      <c r="M36" s="12"/>
      <c r="N36" s="12"/>
      <c r="O36" s="12"/>
      <c r="P36" s="12"/>
      <c r="Q36" s="2"/>
      <c r="R36" s="2"/>
    </row>
    <row r="37" ht="14.4" spans="1:18">
      <c r="A37" s="12" t="s">
        <v>4</v>
      </c>
      <c r="B37" s="12" t="s">
        <v>53</v>
      </c>
      <c r="C37" s="12" t="s">
        <v>54</v>
      </c>
      <c r="D37" s="12" t="s">
        <v>55</v>
      </c>
      <c r="E37" s="12" t="s">
        <v>56</v>
      </c>
      <c r="F37" s="23" t="s">
        <v>46</v>
      </c>
      <c r="G37" s="12" t="s">
        <v>57</v>
      </c>
      <c r="H37" s="12" t="s">
        <v>37</v>
      </c>
      <c r="I37" s="12" t="s">
        <v>58</v>
      </c>
      <c r="J37" s="12" t="s">
        <v>42</v>
      </c>
      <c r="K37" s="12" t="s">
        <v>45</v>
      </c>
      <c r="L37" s="12"/>
      <c r="M37" s="12"/>
      <c r="N37" s="12"/>
      <c r="O37" s="12"/>
      <c r="P37" s="12"/>
      <c r="Q37" s="2"/>
      <c r="R37" s="2"/>
    </row>
    <row r="38" spans="1:18">
      <c r="A38" s="12"/>
      <c r="B38" s="5">
        <v>0.471</v>
      </c>
      <c r="C38" s="5">
        <v>0.459</v>
      </c>
      <c r="D38" s="12">
        <v>0.27</v>
      </c>
      <c r="E38" s="12">
        <v>0.312</v>
      </c>
      <c r="F38" s="12">
        <f>C38-B38</f>
        <v>-0.012</v>
      </c>
      <c r="G38" s="12">
        <f t="shared" ref="G38:G41" si="6">E38-D38</f>
        <v>0.042</v>
      </c>
      <c r="H38" s="12">
        <f>G38-F38</f>
        <v>0.0539999999999999</v>
      </c>
      <c r="I38" s="12">
        <v>67</v>
      </c>
      <c r="J38" s="12">
        <v>3.338</v>
      </c>
      <c r="K38" s="25">
        <f>I38*H38/J38</f>
        <v>1.08388256440982</v>
      </c>
      <c r="L38" s="12"/>
      <c r="M38" s="12"/>
      <c r="N38" s="12"/>
      <c r="O38" s="12"/>
      <c r="P38" s="12"/>
      <c r="Q38" s="2"/>
      <c r="R38" s="2"/>
    </row>
    <row r="39" spans="1:18">
      <c r="A39" s="12"/>
      <c r="B39" s="5"/>
      <c r="C39" s="5"/>
      <c r="D39" s="12">
        <v>0.261</v>
      </c>
      <c r="E39" s="12">
        <v>0.297</v>
      </c>
      <c r="F39" s="12"/>
      <c r="G39" s="12">
        <f t="shared" si="6"/>
        <v>0.036</v>
      </c>
      <c r="H39" s="12">
        <f>G39-F38</f>
        <v>0.0479999999999999</v>
      </c>
      <c r="I39" s="12"/>
      <c r="J39" s="12"/>
      <c r="K39" s="25">
        <f>I38*H39/J38</f>
        <v>0.963451168364289</v>
      </c>
      <c r="L39" s="12"/>
      <c r="M39" s="12"/>
      <c r="N39" s="12"/>
      <c r="O39" s="12"/>
      <c r="P39" s="12"/>
      <c r="Q39" s="2"/>
      <c r="R39" s="2"/>
    </row>
    <row r="40" spans="1:18">
      <c r="A40" s="12"/>
      <c r="B40" s="12"/>
      <c r="C40" s="12"/>
      <c r="D40" s="12">
        <v>0.27</v>
      </c>
      <c r="E40" s="12">
        <v>0.308</v>
      </c>
      <c r="F40" s="12"/>
      <c r="G40" s="12">
        <f t="shared" si="6"/>
        <v>0.038</v>
      </c>
      <c r="H40" s="12">
        <f>G40-F38</f>
        <v>0.0499999999999999</v>
      </c>
      <c r="I40" s="12"/>
      <c r="J40" s="12"/>
      <c r="K40" s="25">
        <f>I38*H40/J38</f>
        <v>1.00359496704613</v>
      </c>
      <c r="L40" s="12"/>
      <c r="M40" s="12"/>
      <c r="N40" s="12"/>
      <c r="O40" s="12"/>
      <c r="P40" s="12"/>
      <c r="Q40" s="2"/>
      <c r="R40" s="2"/>
    </row>
    <row r="41" spans="1:18">
      <c r="A41" s="12"/>
      <c r="B41" s="12"/>
      <c r="C41" s="12"/>
      <c r="D41" s="12">
        <v>0.261</v>
      </c>
      <c r="E41" s="12">
        <v>0.291</v>
      </c>
      <c r="F41" s="12"/>
      <c r="G41" s="12">
        <f t="shared" si="6"/>
        <v>0.03</v>
      </c>
      <c r="H41" s="12">
        <f>G41-F38</f>
        <v>0.0419999999999999</v>
      </c>
      <c r="I41" s="12"/>
      <c r="J41" s="12"/>
      <c r="K41" s="25">
        <f>H41*I38/J38</f>
        <v>0.843019772318752</v>
      </c>
      <c r="L41" s="12"/>
      <c r="M41" s="12"/>
      <c r="N41" s="12"/>
      <c r="O41" s="12"/>
      <c r="P41" s="12"/>
      <c r="Q41" s="2"/>
      <c r="R41" s="2"/>
    </row>
    <row r="42" spans="1:18">
      <c r="A42" s="12"/>
      <c r="B42" s="12"/>
      <c r="C42" s="12"/>
      <c r="D42" s="5"/>
      <c r="E42" s="5"/>
      <c r="F42" s="12"/>
      <c r="G42" s="12"/>
      <c r="H42" s="12"/>
      <c r="I42" s="12"/>
      <c r="J42" s="12"/>
      <c r="K42" s="25"/>
      <c r="L42" s="12"/>
      <c r="M42" s="12"/>
      <c r="N42" s="12"/>
      <c r="O42" s="12"/>
      <c r="P42" s="12"/>
      <c r="Q42" s="2"/>
      <c r="R42" s="2"/>
    </row>
    <row r="43" spans="1:18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9">
        <f>AVERAGE(K38:K42)</f>
        <v>0.97348711803475</v>
      </c>
      <c r="L43" s="12"/>
      <c r="M43" s="12"/>
      <c r="N43" s="12"/>
      <c r="O43" s="12"/>
      <c r="P43" s="12"/>
      <c r="Q43" s="2"/>
      <c r="R43" s="2"/>
    </row>
  </sheetData>
  <mergeCells count="17">
    <mergeCell ref="A1:D1"/>
    <mergeCell ref="E1:H1"/>
    <mergeCell ref="I1:L1"/>
    <mergeCell ref="M1:P1"/>
    <mergeCell ref="A2:B2"/>
    <mergeCell ref="C2:D2"/>
    <mergeCell ref="E2:F2"/>
    <mergeCell ref="G2:H2"/>
    <mergeCell ref="I2:J2"/>
    <mergeCell ref="K2:L2"/>
    <mergeCell ref="M2:N2"/>
    <mergeCell ref="O2:P2"/>
    <mergeCell ref="A10:B10"/>
    <mergeCell ref="A16:A22"/>
    <mergeCell ref="A23:A29"/>
    <mergeCell ref="A30:A36"/>
    <mergeCell ref="A37:A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workbookViewId="0">
      <selection activeCell="L33" sqref="L33"/>
    </sheetView>
  </sheetViews>
  <sheetFormatPr defaultColWidth="8.88888888888889" defaultRowHeight="13.8"/>
  <cols>
    <col min="3" max="3" width="10.3333333333333" style="1" customWidth="1"/>
    <col min="6" max="6" width="14.2222222222222" customWidth="1"/>
    <col min="7" max="7" width="16.5555555555556" customWidth="1"/>
    <col min="12" max="12" width="26.8888888888889" customWidth="1"/>
  </cols>
  <sheetData>
    <row r="1" spans="1:16">
      <c r="A1" s="12" t="s">
        <v>59</v>
      </c>
      <c r="B1" s="12"/>
      <c r="C1" s="12"/>
      <c r="D1" s="12"/>
      <c r="E1" s="12" t="s">
        <v>60</v>
      </c>
      <c r="F1" s="12"/>
      <c r="G1" s="12"/>
      <c r="H1" s="12"/>
      <c r="I1" s="12" t="s">
        <v>61</v>
      </c>
      <c r="J1" s="12"/>
      <c r="K1" s="12"/>
      <c r="L1" s="12"/>
      <c r="M1" s="12" t="s">
        <v>62</v>
      </c>
      <c r="N1" s="12"/>
      <c r="O1" s="12"/>
      <c r="P1" s="12"/>
    </row>
    <row r="2" spans="1:16">
      <c r="A2" s="12" t="s">
        <v>63</v>
      </c>
      <c r="B2" s="12" t="s">
        <v>64</v>
      </c>
      <c r="C2" s="23" t="s">
        <v>65</v>
      </c>
      <c r="D2" s="12" t="s">
        <v>66</v>
      </c>
      <c r="E2" s="12" t="s">
        <v>63</v>
      </c>
      <c r="F2" s="12" t="s">
        <v>64</v>
      </c>
      <c r="G2" s="23" t="s">
        <v>65</v>
      </c>
      <c r="H2" s="12" t="s">
        <v>66</v>
      </c>
      <c r="I2" s="12" t="s">
        <v>63</v>
      </c>
      <c r="J2" s="12" t="s">
        <v>64</v>
      </c>
      <c r="K2" s="23" t="s">
        <v>65</v>
      </c>
      <c r="L2" s="12" t="s">
        <v>66</v>
      </c>
      <c r="M2" s="12" t="s">
        <v>63</v>
      </c>
      <c r="N2" s="12" t="s">
        <v>64</v>
      </c>
      <c r="O2" s="23" t="s">
        <v>65</v>
      </c>
      <c r="P2" s="12" t="s">
        <v>66</v>
      </c>
    </row>
    <row r="3" spans="1:16">
      <c r="A3" s="12">
        <v>0.037</v>
      </c>
      <c r="B3" s="12">
        <v>0.16</v>
      </c>
      <c r="C3" s="12">
        <v>0.322</v>
      </c>
      <c r="D3" s="12">
        <v>0.402</v>
      </c>
      <c r="E3" s="12">
        <v>0.037</v>
      </c>
      <c r="F3" s="12">
        <v>0.16</v>
      </c>
      <c r="G3" s="12">
        <v>0.278</v>
      </c>
      <c r="H3" s="12">
        <v>0.413</v>
      </c>
      <c r="I3" s="12">
        <v>0.037</v>
      </c>
      <c r="J3" s="12">
        <v>0.16</v>
      </c>
      <c r="K3" s="12">
        <v>0.269</v>
      </c>
      <c r="L3" s="12">
        <v>0.414</v>
      </c>
      <c r="M3" s="12">
        <v>0.037</v>
      </c>
      <c r="N3" s="12">
        <v>0.16</v>
      </c>
      <c r="O3" s="12">
        <v>0.271</v>
      </c>
      <c r="P3" s="12">
        <v>0.399</v>
      </c>
    </row>
    <row r="4" spans="1:16">
      <c r="A4" s="12"/>
      <c r="B4" s="12"/>
      <c r="C4" s="12">
        <v>0.284</v>
      </c>
      <c r="D4" s="12">
        <v>0.409</v>
      </c>
      <c r="E4" s="12"/>
      <c r="F4" s="12"/>
      <c r="G4" s="12">
        <v>0.281</v>
      </c>
      <c r="H4" s="12">
        <v>0.405</v>
      </c>
      <c r="I4" s="12"/>
      <c r="J4" s="12"/>
      <c r="K4" s="12">
        <v>0.226</v>
      </c>
      <c r="L4" s="12">
        <v>0.43</v>
      </c>
      <c r="M4" s="12"/>
      <c r="N4" s="12"/>
      <c r="O4" s="12">
        <v>0.278</v>
      </c>
      <c r="P4" s="12">
        <v>0.395</v>
      </c>
    </row>
    <row r="5" spans="1:16">
      <c r="A5" s="12"/>
      <c r="B5" s="12"/>
      <c r="C5" s="12">
        <v>0.292</v>
      </c>
      <c r="D5" s="12">
        <v>0.414</v>
      </c>
      <c r="E5" s="12"/>
      <c r="F5" s="12"/>
      <c r="G5" s="12">
        <v>0.266</v>
      </c>
      <c r="H5" s="12">
        <v>0.396</v>
      </c>
      <c r="I5" s="12"/>
      <c r="J5" s="12"/>
      <c r="K5" s="12">
        <v>0.268</v>
      </c>
      <c r="L5" s="12">
        <v>0.453</v>
      </c>
      <c r="M5" s="12"/>
      <c r="N5" s="12"/>
      <c r="O5" s="12">
        <v>0.274</v>
      </c>
      <c r="P5" s="12">
        <v>0.401</v>
      </c>
    </row>
    <row r="6" spans="1:16">
      <c r="A6" s="12"/>
      <c r="B6" s="12"/>
      <c r="C6" s="12">
        <v>0.309</v>
      </c>
      <c r="D6" s="12"/>
      <c r="E6" s="12"/>
      <c r="F6" s="12"/>
      <c r="G6" s="12">
        <v>0.266</v>
      </c>
      <c r="H6" s="12"/>
      <c r="I6" s="12"/>
      <c r="J6" s="12"/>
      <c r="K6" s="12">
        <v>0.267</v>
      </c>
      <c r="L6" s="12"/>
      <c r="M6" s="12"/>
      <c r="N6" s="12"/>
      <c r="O6" s="12">
        <v>0.274</v>
      </c>
      <c r="P6" s="12"/>
    </row>
    <row r="7" spans="1:1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>
      <c r="A8" s="12"/>
      <c r="B8" s="12"/>
      <c r="C8" s="9">
        <f>AVERAGE(C3:C6)</f>
        <v>0.30175</v>
      </c>
      <c r="D8" s="9">
        <f>AVERAGE(D3:D5)</f>
        <v>0.408333333333333</v>
      </c>
      <c r="E8" s="12"/>
      <c r="F8" s="12"/>
      <c r="G8" s="9">
        <f>AVERAGE(G3:G6)</f>
        <v>0.27275</v>
      </c>
      <c r="H8" s="9">
        <f>AVERAGE(H3:H5)</f>
        <v>0.404666666666667</v>
      </c>
      <c r="I8" s="12"/>
      <c r="J8" s="12"/>
      <c r="K8" s="9">
        <f>AVERAGE(K3:K6)</f>
        <v>0.2575</v>
      </c>
      <c r="L8" s="9">
        <f>AVERAGE(L3:L5)</f>
        <v>0.432333333333333</v>
      </c>
      <c r="M8" s="12"/>
      <c r="N8" s="12"/>
      <c r="O8" s="9">
        <f>AVERAGE(O3:O6)</f>
        <v>0.27425</v>
      </c>
      <c r="P8" s="9">
        <f>AVERAGE(P3:P5)</f>
        <v>0.398333333333333</v>
      </c>
    </row>
    <row r="9" spans="1:16">
      <c r="A9" s="24"/>
      <c r="B9" s="24"/>
      <c r="C9" s="1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24"/>
      <c r="B10" s="24"/>
      <c r="C10" s="15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>
      <c r="A11" s="24"/>
      <c r="B11" s="24"/>
      <c r="C11" s="15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>
      <c r="A12" s="24"/>
      <c r="B12" s="24"/>
      <c r="C12" s="15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>
      <c r="A13" s="24"/>
      <c r="B13" s="24"/>
      <c r="C13" s="1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>
      <c r="A14" s="24"/>
      <c r="B14" s="24"/>
      <c r="C14" s="15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>
      <c r="A15" s="24"/>
      <c r="B15" s="24"/>
      <c r="C15" s="1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>
      <c r="A16" s="24"/>
      <c r="B16" s="24"/>
      <c r="C16" s="1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ht="14.4" spans="1:16">
      <c r="A17" s="12" t="s">
        <v>20</v>
      </c>
      <c r="B17" s="12" t="s">
        <v>66</v>
      </c>
      <c r="C17" s="23" t="s">
        <v>65</v>
      </c>
      <c r="D17" s="12" t="s">
        <v>64</v>
      </c>
      <c r="E17" s="12" t="s">
        <v>63</v>
      </c>
      <c r="F17" s="12" t="s">
        <v>25</v>
      </c>
      <c r="G17" s="12" t="s">
        <v>67</v>
      </c>
      <c r="H17" s="12" t="s">
        <v>44</v>
      </c>
      <c r="I17" s="12" t="s">
        <v>44</v>
      </c>
      <c r="J17" s="12" t="s">
        <v>38</v>
      </c>
      <c r="K17" s="12" t="s">
        <v>38</v>
      </c>
      <c r="L17" s="12" t="s">
        <v>45</v>
      </c>
      <c r="M17" s="24"/>
      <c r="N17" s="24"/>
      <c r="O17" s="24"/>
      <c r="P17" s="24"/>
    </row>
    <row r="18" spans="1:16">
      <c r="A18" s="12"/>
      <c r="B18" s="12">
        <v>0.408</v>
      </c>
      <c r="C18" s="12">
        <v>0.322</v>
      </c>
      <c r="D18" s="12">
        <v>0.16</v>
      </c>
      <c r="E18" s="12">
        <v>0.037</v>
      </c>
      <c r="F18" s="12">
        <f>B18-C18</f>
        <v>0.086</v>
      </c>
      <c r="G18" s="12">
        <f>D18-E18</f>
        <v>0.123</v>
      </c>
      <c r="H18" s="12">
        <v>20</v>
      </c>
      <c r="I18" s="12">
        <v>6</v>
      </c>
      <c r="J18" s="12">
        <v>10</v>
      </c>
      <c r="K18" s="12">
        <v>0.2695</v>
      </c>
      <c r="L18" s="25">
        <f>F18/G18*H18*I18/J18/K18</f>
        <v>31.1326304357663</v>
      </c>
      <c r="M18" s="24"/>
      <c r="N18" s="24"/>
      <c r="O18" s="24"/>
      <c r="P18" s="24"/>
    </row>
    <row r="19" spans="1:16">
      <c r="A19" s="12"/>
      <c r="B19" s="12"/>
      <c r="C19" s="12">
        <v>0.284</v>
      </c>
      <c r="D19" s="12"/>
      <c r="E19" s="12"/>
      <c r="F19" s="12">
        <f>B18-C19</f>
        <v>0.124</v>
      </c>
      <c r="G19" s="12"/>
      <c r="H19" s="12"/>
      <c r="I19" s="12"/>
      <c r="J19" s="12"/>
      <c r="K19" s="12"/>
      <c r="L19" s="25">
        <f>F19/G18*H18*I18/J18/K18</f>
        <v>44.8889090004073</v>
      </c>
      <c r="M19" s="24"/>
      <c r="N19" s="24"/>
      <c r="O19" s="24"/>
      <c r="P19" s="24"/>
    </row>
    <row r="20" spans="1:16">
      <c r="A20" s="12"/>
      <c r="B20" s="12"/>
      <c r="C20" s="12">
        <v>0.292</v>
      </c>
      <c r="D20" s="12"/>
      <c r="E20" s="12"/>
      <c r="F20" s="12">
        <f>B18-C20</f>
        <v>0.116</v>
      </c>
      <c r="G20" s="12"/>
      <c r="H20" s="12"/>
      <c r="I20" s="12"/>
      <c r="J20" s="12"/>
      <c r="K20" s="12"/>
      <c r="L20" s="25">
        <f>F20/G18*H18*I18/J18/K18</f>
        <v>41.9928503552197</v>
      </c>
      <c r="M20" s="24"/>
      <c r="N20" s="24"/>
      <c r="O20" s="24"/>
      <c r="P20" s="24"/>
    </row>
    <row r="21" spans="1:16">
      <c r="A21" s="12"/>
      <c r="B21" s="15"/>
      <c r="C21" s="12">
        <v>0.309</v>
      </c>
      <c r="D21" s="15"/>
      <c r="E21" s="15"/>
      <c r="F21" s="12">
        <f>B18-C21</f>
        <v>0.099</v>
      </c>
      <c r="G21" s="15"/>
      <c r="H21" s="15"/>
      <c r="I21" s="15"/>
      <c r="J21" s="15"/>
      <c r="K21" s="15"/>
      <c r="L21" s="9">
        <f>AVERAGE(L18:L20)</f>
        <v>39.3381299304644</v>
      </c>
      <c r="M21" s="24"/>
      <c r="N21" s="24"/>
      <c r="O21" s="24"/>
      <c r="P21" s="24"/>
    </row>
    <row r="22" ht="14.4" spans="1:16">
      <c r="A22" s="12" t="s">
        <v>2</v>
      </c>
      <c r="B22" s="12" t="s">
        <v>66</v>
      </c>
      <c r="C22" s="23" t="s">
        <v>65</v>
      </c>
      <c r="D22" s="12" t="s">
        <v>64</v>
      </c>
      <c r="E22" s="12" t="s">
        <v>63</v>
      </c>
      <c r="F22" s="12" t="s">
        <v>25</v>
      </c>
      <c r="G22" s="12" t="s">
        <v>67</v>
      </c>
      <c r="H22" s="12" t="s">
        <v>44</v>
      </c>
      <c r="I22" s="12" t="s">
        <v>44</v>
      </c>
      <c r="J22" s="12" t="s">
        <v>38</v>
      </c>
      <c r="K22" s="12" t="s">
        <v>38</v>
      </c>
      <c r="L22" s="12" t="s">
        <v>45</v>
      </c>
      <c r="M22" s="24"/>
      <c r="N22" s="24"/>
      <c r="O22" s="24"/>
      <c r="P22" s="24"/>
    </row>
    <row r="23" spans="1:16">
      <c r="A23" s="12"/>
      <c r="B23" s="12">
        <v>0.405</v>
      </c>
      <c r="C23" s="12">
        <v>0.278</v>
      </c>
      <c r="D23" s="12">
        <v>0.16</v>
      </c>
      <c r="E23" s="12">
        <v>0.037</v>
      </c>
      <c r="F23" s="12">
        <f>B23-C23</f>
        <v>0.127</v>
      </c>
      <c r="G23" s="12">
        <f>D23-E23</f>
        <v>0.123</v>
      </c>
      <c r="H23" s="12">
        <v>20</v>
      </c>
      <c r="I23" s="12">
        <v>6</v>
      </c>
      <c r="J23" s="12">
        <v>10</v>
      </c>
      <c r="K23" s="12">
        <v>0.2154</v>
      </c>
      <c r="L23" s="25">
        <f>F23/G23*H23*I23/J23/K23</f>
        <v>57.5220236882034</v>
      </c>
      <c r="M23" s="24"/>
      <c r="N23" s="24"/>
      <c r="O23" s="24"/>
      <c r="P23" s="24"/>
    </row>
    <row r="24" spans="1:16">
      <c r="A24" s="12"/>
      <c r="B24" s="12"/>
      <c r="C24" s="12">
        <v>0.281</v>
      </c>
      <c r="D24" s="12"/>
      <c r="E24" s="12"/>
      <c r="F24" s="12">
        <f>B23-C24</f>
        <v>0.124</v>
      </c>
      <c r="G24" s="12"/>
      <c r="H24" s="12"/>
      <c r="I24" s="12"/>
      <c r="J24" s="12"/>
      <c r="K24" s="12"/>
      <c r="L24" s="25">
        <f>F24/G23*H23*I23/J23/K23</f>
        <v>56.1632357270648</v>
      </c>
      <c r="M24" s="24"/>
      <c r="N24" s="24"/>
      <c r="O24" s="24"/>
      <c r="P24" s="24"/>
    </row>
    <row r="25" spans="1:16">
      <c r="A25" s="12"/>
      <c r="B25" s="12"/>
      <c r="C25" s="12">
        <v>0.266</v>
      </c>
      <c r="D25" s="12"/>
      <c r="E25" s="12"/>
      <c r="F25" s="12">
        <f>B23-C25</f>
        <v>0.139</v>
      </c>
      <c r="G25" s="12"/>
      <c r="H25" s="12"/>
      <c r="I25" s="12"/>
      <c r="J25" s="12"/>
      <c r="K25" s="12"/>
      <c r="L25" s="25">
        <f>F25/G23*H23*I23/J23/K23</f>
        <v>62.9571755327581</v>
      </c>
      <c r="M25" s="24"/>
      <c r="N25" s="24"/>
      <c r="O25" s="24"/>
      <c r="P25" s="24"/>
    </row>
    <row r="26" spans="1:16">
      <c r="A26" s="12"/>
      <c r="B26" s="12"/>
      <c r="C26" s="12">
        <v>0.266</v>
      </c>
      <c r="D26" s="12"/>
      <c r="E26" s="12"/>
      <c r="F26" s="12">
        <f>B23-C26</f>
        <v>0.139</v>
      </c>
      <c r="G26" s="12"/>
      <c r="H26" s="12"/>
      <c r="I26" s="12"/>
      <c r="J26" s="12"/>
      <c r="K26" s="12"/>
      <c r="L26" s="25">
        <f>F26/G23*H23*I23/J23/K23</f>
        <v>62.9571755327581</v>
      </c>
      <c r="M26" s="24"/>
      <c r="N26" s="24"/>
      <c r="O26" s="24"/>
      <c r="P26" s="24"/>
    </row>
    <row r="27" spans="1:16">
      <c r="A27" s="1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9">
        <f>AVERAGE(L23:L26)</f>
        <v>59.8999026201961</v>
      </c>
      <c r="M27" s="24"/>
      <c r="N27" s="24"/>
      <c r="O27" s="24"/>
      <c r="P27" s="24"/>
    </row>
    <row r="28" ht="14.4" spans="1:16">
      <c r="A28" s="12" t="s">
        <v>3</v>
      </c>
      <c r="B28" s="12" t="s">
        <v>66</v>
      </c>
      <c r="C28" s="23" t="s">
        <v>65</v>
      </c>
      <c r="D28" s="12" t="s">
        <v>64</v>
      </c>
      <c r="E28" s="12" t="s">
        <v>63</v>
      </c>
      <c r="F28" s="12" t="s">
        <v>25</v>
      </c>
      <c r="G28" s="12" t="s">
        <v>67</v>
      </c>
      <c r="H28" s="12" t="s">
        <v>44</v>
      </c>
      <c r="I28" s="12" t="s">
        <v>44</v>
      </c>
      <c r="J28" s="12" t="s">
        <v>38</v>
      </c>
      <c r="K28" s="12" t="s">
        <v>38</v>
      </c>
      <c r="L28" s="12" t="s">
        <v>45</v>
      </c>
      <c r="M28" s="24"/>
      <c r="N28" s="24"/>
      <c r="O28" s="24"/>
      <c r="P28" s="24"/>
    </row>
    <row r="29" spans="1:16">
      <c r="A29" s="12"/>
      <c r="B29" s="12">
        <v>0.432</v>
      </c>
      <c r="C29" s="12">
        <v>0.269</v>
      </c>
      <c r="D29" s="12">
        <v>0.16</v>
      </c>
      <c r="E29" s="12">
        <v>0.037</v>
      </c>
      <c r="F29" s="12">
        <f>B29-C29</f>
        <v>0.163</v>
      </c>
      <c r="G29" s="12">
        <f>D29-E29</f>
        <v>0.123</v>
      </c>
      <c r="H29" s="12">
        <v>20</v>
      </c>
      <c r="I29" s="12">
        <v>6</v>
      </c>
      <c r="J29" s="12">
        <v>10</v>
      </c>
      <c r="K29" s="12">
        <v>0.1669</v>
      </c>
      <c r="L29" s="25">
        <f>F29/G29*H29*I29/J29/K29</f>
        <v>95.2812404097678</v>
      </c>
      <c r="M29" s="24"/>
      <c r="N29" s="24"/>
      <c r="O29" s="24"/>
      <c r="P29" s="24"/>
    </row>
    <row r="30" spans="1:16">
      <c r="A30" s="12"/>
      <c r="B30" s="12"/>
      <c r="C30" s="12">
        <v>0.268</v>
      </c>
      <c r="D30" s="12"/>
      <c r="E30" s="12"/>
      <c r="F30" s="12">
        <f>B29-C30</f>
        <v>0.164</v>
      </c>
      <c r="G30" s="12"/>
      <c r="H30" s="12"/>
      <c r="I30" s="12"/>
      <c r="J30" s="12"/>
      <c r="K30" s="12"/>
      <c r="L30" s="25">
        <f>F30/G29*H29*I29/J29/K29</f>
        <v>95.8657878969443</v>
      </c>
      <c r="M30" s="24"/>
      <c r="N30" s="24"/>
      <c r="O30" s="24"/>
      <c r="P30" s="24"/>
    </row>
    <row r="31" spans="1:16">
      <c r="A31" s="12"/>
      <c r="B31" s="15"/>
      <c r="C31" s="12">
        <v>0.267</v>
      </c>
      <c r="D31" s="15"/>
      <c r="E31" s="15"/>
      <c r="F31" s="12">
        <f>B29-C31</f>
        <v>0.165</v>
      </c>
      <c r="G31" s="15"/>
      <c r="H31" s="15"/>
      <c r="I31" s="15"/>
      <c r="J31" s="15"/>
      <c r="K31" s="15"/>
      <c r="L31" s="25">
        <f>F31/G29*H29*I29/J29/K29</f>
        <v>96.4503353841208</v>
      </c>
      <c r="M31" s="24"/>
      <c r="N31" s="24"/>
      <c r="O31" s="24"/>
      <c r="P31" s="24"/>
    </row>
    <row r="32" spans="1:16">
      <c r="A32" s="12"/>
      <c r="B32" s="15"/>
      <c r="C32" s="12"/>
      <c r="D32" s="15"/>
      <c r="E32" s="15"/>
      <c r="F32" s="15"/>
      <c r="G32" s="15"/>
      <c r="H32" s="15"/>
      <c r="I32" s="15"/>
      <c r="J32" s="15"/>
      <c r="K32" s="15"/>
      <c r="L32" s="9">
        <f>AVERAGE(L29:L31)</f>
        <v>95.8657878969443</v>
      </c>
      <c r="M32" s="24"/>
      <c r="N32" s="24"/>
      <c r="O32" s="24"/>
      <c r="P32" s="24"/>
    </row>
    <row r="33" ht="14.4" spans="1:16">
      <c r="A33" s="12" t="s">
        <v>4</v>
      </c>
      <c r="B33" s="12" t="s">
        <v>66</v>
      </c>
      <c r="C33" s="23" t="s">
        <v>65</v>
      </c>
      <c r="D33" s="12" t="s">
        <v>64</v>
      </c>
      <c r="E33" s="12" t="s">
        <v>63</v>
      </c>
      <c r="F33" s="12" t="s">
        <v>25</v>
      </c>
      <c r="G33" s="12" t="s">
        <v>67</v>
      </c>
      <c r="H33" s="12" t="s">
        <v>44</v>
      </c>
      <c r="I33" s="12" t="s">
        <v>44</v>
      </c>
      <c r="J33" s="12" t="s">
        <v>38</v>
      </c>
      <c r="K33" s="12" t="s">
        <v>38</v>
      </c>
      <c r="L33" s="12" t="s">
        <v>45</v>
      </c>
      <c r="M33" s="24"/>
      <c r="N33" s="24"/>
      <c r="O33" s="24"/>
      <c r="P33" s="24"/>
    </row>
    <row r="34" spans="1:16">
      <c r="A34" s="12"/>
      <c r="B34" s="12">
        <v>0.398</v>
      </c>
      <c r="C34" s="12">
        <v>0.271</v>
      </c>
      <c r="D34" s="12">
        <v>0.16</v>
      </c>
      <c r="E34" s="12">
        <v>0.037</v>
      </c>
      <c r="F34" s="12">
        <f>B34-C34</f>
        <v>0.127</v>
      </c>
      <c r="G34" s="12">
        <f>D34-E34</f>
        <v>0.123</v>
      </c>
      <c r="H34" s="12">
        <v>20</v>
      </c>
      <c r="I34" s="12">
        <v>6</v>
      </c>
      <c r="J34" s="12">
        <v>10</v>
      </c>
      <c r="K34" s="12">
        <v>0.1669</v>
      </c>
      <c r="L34" s="25">
        <f>F34/G34*H34*I34/J34/K34</f>
        <v>74.2375308714142</v>
      </c>
      <c r="M34" s="24"/>
      <c r="N34" s="24"/>
      <c r="O34" s="24"/>
      <c r="P34" s="24"/>
    </row>
    <row r="35" spans="1:16">
      <c r="A35" s="12"/>
      <c r="B35" s="12"/>
      <c r="C35" s="12">
        <v>0.278</v>
      </c>
      <c r="D35" s="12"/>
      <c r="E35" s="12"/>
      <c r="F35" s="12">
        <f>B34-C35</f>
        <v>0.12</v>
      </c>
      <c r="G35" s="12"/>
      <c r="H35" s="12"/>
      <c r="I35" s="12"/>
      <c r="J35" s="12"/>
      <c r="K35" s="12"/>
      <c r="L35" s="25">
        <f>F35/G34*H34*I34/J34/K34</f>
        <v>70.1456984611787</v>
      </c>
      <c r="M35" s="24"/>
      <c r="N35" s="24"/>
      <c r="O35" s="24"/>
      <c r="P35" s="24"/>
    </row>
    <row r="36" spans="1:16">
      <c r="A36" s="12"/>
      <c r="B36" s="15"/>
      <c r="C36" s="12">
        <v>0.274</v>
      </c>
      <c r="D36" s="15"/>
      <c r="E36" s="15"/>
      <c r="F36" s="12">
        <f>B34-C36</f>
        <v>0.124</v>
      </c>
      <c r="G36" s="15"/>
      <c r="H36" s="15"/>
      <c r="I36" s="15"/>
      <c r="J36" s="15"/>
      <c r="K36" s="15"/>
      <c r="L36" s="25">
        <f>F36/G34*H34*I34/J34/K34</f>
        <v>72.4838884098847</v>
      </c>
      <c r="M36" s="24"/>
      <c r="N36" s="24"/>
      <c r="O36" s="24"/>
      <c r="P36" s="24"/>
    </row>
    <row r="37" spans="1:16">
      <c r="A37" s="12"/>
      <c r="B37" s="15"/>
      <c r="C37" s="12">
        <v>0.274</v>
      </c>
      <c r="D37" s="15"/>
      <c r="E37" s="15"/>
      <c r="F37" s="12">
        <f>B34-C37</f>
        <v>0.124</v>
      </c>
      <c r="G37" s="15"/>
      <c r="H37" s="15"/>
      <c r="I37" s="15"/>
      <c r="J37" s="15"/>
      <c r="K37" s="15"/>
      <c r="L37" s="26">
        <f>F36/G34*H34*I34/J34/K34</f>
        <v>72.4838884098847</v>
      </c>
      <c r="M37" s="24"/>
      <c r="N37" s="24"/>
      <c r="O37" s="24"/>
      <c r="P37" s="24"/>
    </row>
    <row r="38" spans="1:16">
      <c r="A38" s="12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9">
        <f>AVERAGE(L34:L37)</f>
        <v>72.3377515380906</v>
      </c>
      <c r="M38" s="24"/>
      <c r="N38" s="24"/>
      <c r="O38" s="24"/>
      <c r="P38" s="24"/>
    </row>
  </sheetData>
  <mergeCells count="8">
    <mergeCell ref="A1:D1"/>
    <mergeCell ref="E1:H1"/>
    <mergeCell ref="I1:L1"/>
    <mergeCell ref="M1:P1"/>
    <mergeCell ref="A17:A21"/>
    <mergeCell ref="A22:A27"/>
    <mergeCell ref="A28:A32"/>
    <mergeCell ref="A33:A3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topLeftCell="A25" workbookViewId="0">
      <selection activeCell="F15" sqref="F15"/>
    </sheetView>
  </sheetViews>
  <sheetFormatPr defaultColWidth="8.88888888888889" defaultRowHeight="13.8"/>
  <cols>
    <col min="1" max="1" width="28.3333333333333" customWidth="1"/>
    <col min="2" max="2" width="19.6666666666667" customWidth="1"/>
    <col min="3" max="3" width="20.1111111111111" customWidth="1"/>
    <col min="4" max="4" width="16.1111111111111" customWidth="1"/>
    <col min="5" max="5" width="13.2222222222222" customWidth="1"/>
    <col min="6" max="6" width="15.2222222222222" customWidth="1"/>
    <col min="7" max="7" width="16.1111111111111" customWidth="1"/>
    <col min="8" max="8" width="14.1111111111111"/>
    <col min="9" max="9" width="12.8888888888889"/>
    <col min="11" max="11" width="15.7777777777778" customWidth="1"/>
    <col min="13" max="13" width="13.6666666666667" customWidth="1"/>
  </cols>
  <sheetData>
    <row r="1" spans="1:9">
      <c r="A1" s="1"/>
      <c r="B1" s="1"/>
      <c r="C1" s="1"/>
      <c r="D1" s="1"/>
      <c r="E1" s="1"/>
      <c r="F1" s="2" t="s">
        <v>68</v>
      </c>
      <c r="G1" s="2"/>
      <c r="H1" s="2"/>
      <c r="I1" s="2"/>
    </row>
    <row r="2" spans="1:9">
      <c r="A2" s="3" t="s">
        <v>69</v>
      </c>
      <c r="B2" s="4"/>
      <c r="C2" s="4"/>
      <c r="D2" s="4"/>
      <c r="E2" s="4"/>
      <c r="F2" s="5" t="s">
        <v>1</v>
      </c>
      <c r="G2" s="5" t="s">
        <v>2</v>
      </c>
      <c r="H2" s="5" t="s">
        <v>3</v>
      </c>
      <c r="I2" s="5" t="s">
        <v>4</v>
      </c>
    </row>
    <row r="3" spans="1:11">
      <c r="A3" s="4"/>
      <c r="B3" s="4"/>
      <c r="C3" s="4"/>
      <c r="D3" s="4"/>
      <c r="E3" s="4"/>
      <c r="F3" s="5">
        <v>30</v>
      </c>
      <c r="G3" s="5">
        <v>15</v>
      </c>
      <c r="H3" s="5">
        <v>16</v>
      </c>
      <c r="I3" s="5">
        <v>10</v>
      </c>
      <c r="K3" s="20"/>
    </row>
    <row r="4" spans="1:11">
      <c r="A4" s="6"/>
      <c r="B4" s="5" t="s">
        <v>70</v>
      </c>
      <c r="C4" s="5" t="s">
        <v>71</v>
      </c>
      <c r="D4" s="7" t="s">
        <v>72</v>
      </c>
      <c r="E4" s="8"/>
      <c r="F4" s="5">
        <v>38</v>
      </c>
      <c r="G4" s="5">
        <v>29</v>
      </c>
      <c r="H4" s="5">
        <v>12</v>
      </c>
      <c r="I4" s="5">
        <v>11</v>
      </c>
      <c r="K4" s="20"/>
    </row>
    <row r="5" spans="1:11">
      <c r="A5" s="5" t="s">
        <v>20</v>
      </c>
      <c r="B5" s="6">
        <v>58</v>
      </c>
      <c r="C5" s="6">
        <v>10</v>
      </c>
      <c r="D5" s="6">
        <v>17.24</v>
      </c>
      <c r="E5" s="1"/>
      <c r="F5" s="5">
        <v>20</v>
      </c>
      <c r="G5" s="5">
        <v>23</v>
      </c>
      <c r="H5" s="5">
        <v>10</v>
      </c>
      <c r="I5" s="5">
        <v>9</v>
      </c>
      <c r="K5" s="20"/>
    </row>
    <row r="6" spans="1:11">
      <c r="A6" s="5" t="s">
        <v>2</v>
      </c>
      <c r="B6" s="6">
        <v>60</v>
      </c>
      <c r="C6" s="6">
        <v>19</v>
      </c>
      <c r="D6" s="6">
        <v>31.66</v>
      </c>
      <c r="E6" s="1"/>
      <c r="F6" s="5">
        <v>24</v>
      </c>
      <c r="G6" s="5">
        <v>16</v>
      </c>
      <c r="H6" s="5">
        <v>19</v>
      </c>
      <c r="I6" s="5">
        <v>7</v>
      </c>
      <c r="K6" s="20"/>
    </row>
    <row r="7" spans="1:11">
      <c r="A7" s="5" t="s">
        <v>3</v>
      </c>
      <c r="B7" s="6">
        <v>64</v>
      </c>
      <c r="C7" s="6">
        <v>34</v>
      </c>
      <c r="D7" s="6">
        <v>53.12</v>
      </c>
      <c r="E7" s="1"/>
      <c r="F7" s="5">
        <v>25</v>
      </c>
      <c r="G7" s="5">
        <v>16</v>
      </c>
      <c r="H7" s="5">
        <v>12</v>
      </c>
      <c r="I7" s="5"/>
      <c r="K7" s="20"/>
    </row>
    <row r="8" spans="1:11">
      <c r="A8" s="5" t="s">
        <v>4</v>
      </c>
      <c r="B8" s="6">
        <v>56</v>
      </c>
      <c r="C8" s="6">
        <v>39</v>
      </c>
      <c r="D8" s="6">
        <v>69.64</v>
      </c>
      <c r="E8" s="1"/>
      <c r="F8" s="5">
        <v>27</v>
      </c>
      <c r="G8" s="5">
        <v>10</v>
      </c>
      <c r="H8" s="5"/>
      <c r="I8" s="5"/>
      <c r="K8" s="20"/>
    </row>
    <row r="9" spans="1:11">
      <c r="A9" s="1"/>
      <c r="B9" s="1"/>
      <c r="C9" s="1"/>
      <c r="D9" s="1"/>
      <c r="E9" s="1"/>
      <c r="F9" s="5">
        <v>17</v>
      </c>
      <c r="G9" s="5">
        <v>21</v>
      </c>
      <c r="H9" s="5"/>
      <c r="I9" s="5"/>
      <c r="K9" s="20"/>
    </row>
    <row r="10" spans="1:11">
      <c r="A10" s="1"/>
      <c r="B10" s="1"/>
      <c r="C10" s="1"/>
      <c r="D10" s="1"/>
      <c r="E10" s="1"/>
      <c r="F10" s="5">
        <v>26</v>
      </c>
      <c r="G10" s="5">
        <v>18</v>
      </c>
      <c r="H10" s="5"/>
      <c r="I10" s="5"/>
      <c r="K10" s="20"/>
    </row>
    <row r="11" spans="1:11">
      <c r="A11" s="1"/>
      <c r="B11" s="1"/>
      <c r="C11" s="1"/>
      <c r="D11" s="1"/>
      <c r="E11" s="1"/>
      <c r="F11" s="5">
        <v>46</v>
      </c>
      <c r="G11" s="5">
        <v>10</v>
      </c>
      <c r="H11" s="5"/>
      <c r="I11" s="5"/>
      <c r="K11" s="20"/>
    </row>
    <row r="12" spans="1:11">
      <c r="A12" s="1"/>
      <c r="B12" s="1"/>
      <c r="C12" s="1"/>
      <c r="D12" s="1"/>
      <c r="E12" s="1"/>
      <c r="F12" s="5">
        <v>20</v>
      </c>
      <c r="G12" s="5">
        <v>11</v>
      </c>
      <c r="H12" s="6"/>
      <c r="I12" s="6"/>
      <c r="K12" s="20"/>
    </row>
    <row r="13" spans="1:11">
      <c r="A13" s="1"/>
      <c r="B13" s="1"/>
      <c r="C13" s="1"/>
      <c r="D13" s="1"/>
      <c r="E13" s="1"/>
      <c r="F13" s="5">
        <v>32</v>
      </c>
      <c r="G13" s="5">
        <v>8</v>
      </c>
      <c r="H13" s="6"/>
      <c r="I13" s="6"/>
      <c r="K13" s="20"/>
    </row>
    <row r="14" spans="1:11">
      <c r="A14" s="1"/>
      <c r="B14" s="1"/>
      <c r="C14" s="1"/>
      <c r="D14" s="1"/>
      <c r="E14" s="1"/>
      <c r="F14" s="5">
        <v>36</v>
      </c>
      <c r="G14" s="6"/>
      <c r="H14" s="6"/>
      <c r="I14" s="6"/>
      <c r="K14" s="20"/>
    </row>
    <row r="15" spans="1:11">
      <c r="A15" s="1"/>
      <c r="B15" s="1"/>
      <c r="C15" s="1"/>
      <c r="D15" s="1"/>
      <c r="E15" s="1"/>
      <c r="F15" s="5">
        <v>30</v>
      </c>
      <c r="G15" s="6"/>
      <c r="H15" s="6"/>
      <c r="I15" s="6"/>
      <c r="K15" s="20"/>
    </row>
    <row r="16" spans="1:11">
      <c r="A16" s="1"/>
      <c r="B16" s="1"/>
      <c r="C16" s="1"/>
      <c r="D16" s="1"/>
      <c r="E16" s="1"/>
      <c r="F16" s="5">
        <v>25</v>
      </c>
      <c r="G16" s="6"/>
      <c r="H16" s="6"/>
      <c r="I16" s="6"/>
      <c r="K16" s="20"/>
    </row>
    <row r="17" spans="1:11">
      <c r="A17" s="1"/>
      <c r="B17" s="1"/>
      <c r="C17" s="1"/>
      <c r="D17" s="1"/>
      <c r="E17" s="1"/>
      <c r="F17" s="5">
        <v>38</v>
      </c>
      <c r="G17" s="6"/>
      <c r="H17" s="6"/>
      <c r="I17" s="6"/>
      <c r="K17" s="20"/>
    </row>
    <row r="18" spans="1:11">
      <c r="A18" s="1"/>
      <c r="B18" s="1"/>
      <c r="C18" s="1"/>
      <c r="D18" s="1"/>
      <c r="E18" s="1"/>
      <c r="F18" s="5">
        <v>40</v>
      </c>
      <c r="G18" s="6"/>
      <c r="H18" s="6"/>
      <c r="I18" s="6"/>
      <c r="K18" s="20"/>
    </row>
    <row r="19" spans="1:11">
      <c r="A19" s="1"/>
      <c r="B19" s="1"/>
      <c r="C19" s="1"/>
      <c r="D19" s="1"/>
      <c r="E19" s="1"/>
      <c r="F19" s="5">
        <v>24</v>
      </c>
      <c r="G19" s="6"/>
      <c r="H19" s="6"/>
      <c r="I19" s="6"/>
      <c r="K19" s="20"/>
    </row>
    <row r="20" spans="1:11">
      <c r="A20" s="1"/>
      <c r="B20" s="1"/>
      <c r="C20" s="1"/>
      <c r="D20" s="1"/>
      <c r="E20" s="1"/>
      <c r="F20" s="5">
        <v>28</v>
      </c>
      <c r="G20" s="6"/>
      <c r="H20" s="6"/>
      <c r="I20" s="6"/>
      <c r="K20" s="20"/>
    </row>
    <row r="21" spans="1:11">
      <c r="A21" s="1"/>
      <c r="B21" s="1"/>
      <c r="C21" s="1"/>
      <c r="D21" s="1"/>
      <c r="E21" s="1"/>
      <c r="F21" s="5">
        <v>36</v>
      </c>
      <c r="G21" s="6"/>
      <c r="H21" s="6"/>
      <c r="I21" s="6"/>
      <c r="K21" s="20"/>
    </row>
    <row r="22" spans="1:11">
      <c r="A22" s="1"/>
      <c r="B22" s="1"/>
      <c r="C22" s="1"/>
      <c r="D22" s="1"/>
      <c r="E22" s="1"/>
      <c r="F22" s="5">
        <v>27</v>
      </c>
      <c r="G22" s="6"/>
      <c r="H22" s="6"/>
      <c r="I22" s="6"/>
      <c r="K22" s="20"/>
    </row>
    <row r="23" spans="1:11">
      <c r="A23" s="1"/>
      <c r="B23" s="1"/>
      <c r="C23" s="1"/>
      <c r="D23" s="1"/>
      <c r="E23" s="1"/>
      <c r="F23" s="5">
        <v>30</v>
      </c>
      <c r="G23" s="6"/>
      <c r="H23" s="6"/>
      <c r="I23" s="6"/>
      <c r="K23" s="20"/>
    </row>
    <row r="24" spans="1:11">
      <c r="A24" s="1"/>
      <c r="B24" s="1"/>
      <c r="C24" s="1"/>
      <c r="D24" s="1"/>
      <c r="E24" s="1"/>
      <c r="F24" s="5">
        <v>32</v>
      </c>
      <c r="G24" s="6"/>
      <c r="H24" s="6"/>
      <c r="I24" s="6"/>
      <c r="K24" s="20"/>
    </row>
    <row r="25" spans="1:11">
      <c r="A25" s="1"/>
      <c r="B25" s="1"/>
      <c r="C25" s="1"/>
      <c r="D25" s="1"/>
      <c r="E25" s="1"/>
      <c r="F25" s="5">
        <v>40</v>
      </c>
      <c r="G25" s="6"/>
      <c r="H25" s="6"/>
      <c r="I25" s="6"/>
      <c r="K25" s="20"/>
    </row>
    <row r="26" spans="1:11">
      <c r="A26" s="1"/>
      <c r="B26" s="1"/>
      <c r="C26" s="1"/>
      <c r="D26" s="1"/>
      <c r="E26" s="1"/>
      <c r="F26" s="5">
        <v>27</v>
      </c>
      <c r="G26" s="6"/>
      <c r="H26" s="6"/>
      <c r="I26" s="6"/>
      <c r="K26" s="20"/>
    </row>
    <row r="27" spans="1:11">
      <c r="A27" s="1"/>
      <c r="B27" s="1"/>
      <c r="C27" s="1"/>
      <c r="D27" s="1"/>
      <c r="E27" s="1"/>
      <c r="F27" s="5"/>
      <c r="G27" s="6"/>
      <c r="H27" s="6"/>
      <c r="I27" s="6"/>
      <c r="K27" s="20"/>
    </row>
    <row r="28" spans="1:11">
      <c r="A28" s="1"/>
      <c r="B28" s="1"/>
      <c r="C28" s="1"/>
      <c r="D28" s="1"/>
      <c r="E28" s="1"/>
      <c r="F28" s="9">
        <f>AVERAGE(F3:F26)</f>
        <v>29.9166666666667</v>
      </c>
      <c r="G28" s="10">
        <f>AVERAGE(G3:G13)</f>
        <v>16.0909090909091</v>
      </c>
      <c r="H28" s="11">
        <f>AVERAGE(H3:H7)</f>
        <v>13.8</v>
      </c>
      <c r="I28" s="11">
        <f>AVERAGE(I3:I6)</f>
        <v>9.25</v>
      </c>
      <c r="K28" s="20"/>
    </row>
    <row r="29" spans="11:11">
      <c r="K29" s="20"/>
    </row>
    <row r="31" spans="1:16">
      <c r="A31" s="12" t="s">
        <v>20</v>
      </c>
      <c r="B31" s="12"/>
      <c r="C31" s="12"/>
      <c r="D31" s="12"/>
      <c r="E31" s="12"/>
      <c r="F31" s="12" t="s">
        <v>2</v>
      </c>
      <c r="G31" s="12"/>
      <c r="H31" s="12"/>
      <c r="I31" s="12"/>
      <c r="J31" s="12"/>
      <c r="K31" s="12" t="s">
        <v>3</v>
      </c>
      <c r="L31" s="12"/>
      <c r="M31" s="12"/>
      <c r="N31" s="12"/>
      <c r="O31" s="12"/>
      <c r="P31" s="1"/>
    </row>
    <row r="32" spans="1:16">
      <c r="A32" s="13" t="s">
        <v>73</v>
      </c>
      <c r="B32" s="13" t="s">
        <v>74</v>
      </c>
      <c r="C32" s="13" t="s">
        <v>75</v>
      </c>
      <c r="D32" s="13" t="s">
        <v>76</v>
      </c>
      <c r="E32" s="13" t="s">
        <v>77</v>
      </c>
      <c r="F32" s="13" t="s">
        <v>73</v>
      </c>
      <c r="G32" s="13" t="s">
        <v>74</v>
      </c>
      <c r="H32" s="13" t="s">
        <v>75</v>
      </c>
      <c r="I32" s="13" t="s">
        <v>76</v>
      </c>
      <c r="J32" s="13" t="s">
        <v>77</v>
      </c>
      <c r="K32" s="13" t="s">
        <v>73</v>
      </c>
      <c r="L32" s="13" t="s">
        <v>74</v>
      </c>
      <c r="M32" s="13" t="s">
        <v>75</v>
      </c>
      <c r="N32" s="13" t="s">
        <v>76</v>
      </c>
      <c r="O32" s="13" t="s">
        <v>77</v>
      </c>
      <c r="P32" s="1"/>
    </row>
    <row r="33" spans="1:16">
      <c r="A33" s="5">
        <v>30</v>
      </c>
      <c r="B33" s="5">
        <v>17</v>
      </c>
      <c r="C33" s="5">
        <f t="shared" ref="C33:C54" si="0">B33/A33</f>
        <v>0.566666666666667</v>
      </c>
      <c r="D33" s="5">
        <v>1</v>
      </c>
      <c r="E33" s="5">
        <f t="shared" ref="E33:E54" si="1">B33-D33</f>
        <v>16</v>
      </c>
      <c r="F33" s="5">
        <v>29</v>
      </c>
      <c r="G33" s="5">
        <v>10</v>
      </c>
      <c r="H33" s="5">
        <f t="shared" ref="H33:H43" si="2">G33/F33</f>
        <v>0.344827586206897</v>
      </c>
      <c r="I33" s="5">
        <v>0</v>
      </c>
      <c r="J33" s="5">
        <f t="shared" ref="J33:J43" si="3">G33-I33</f>
        <v>10</v>
      </c>
      <c r="K33" s="5">
        <v>10</v>
      </c>
      <c r="L33" s="5">
        <v>5</v>
      </c>
      <c r="M33" s="5">
        <f t="shared" ref="M33:M36" si="4">L33/K33</f>
        <v>0.5</v>
      </c>
      <c r="N33" s="5">
        <v>1</v>
      </c>
      <c r="O33" s="6">
        <f t="shared" ref="O33:O36" si="5">L33-N33</f>
        <v>4</v>
      </c>
      <c r="P33" s="1"/>
    </row>
    <row r="34" spans="1:16">
      <c r="A34" s="5">
        <v>38</v>
      </c>
      <c r="B34" s="5">
        <v>22</v>
      </c>
      <c r="C34" s="5">
        <f t="shared" si="0"/>
        <v>0.578947368421053</v>
      </c>
      <c r="D34" s="5">
        <v>1</v>
      </c>
      <c r="E34" s="5">
        <f t="shared" si="1"/>
        <v>21</v>
      </c>
      <c r="F34" s="5">
        <v>23</v>
      </c>
      <c r="G34" s="5">
        <v>12</v>
      </c>
      <c r="H34" s="5">
        <f t="shared" si="2"/>
        <v>0.521739130434783</v>
      </c>
      <c r="I34" s="5">
        <v>2</v>
      </c>
      <c r="J34" s="5">
        <f t="shared" si="3"/>
        <v>10</v>
      </c>
      <c r="K34" s="5">
        <v>19</v>
      </c>
      <c r="L34" s="5">
        <v>11</v>
      </c>
      <c r="M34" s="5">
        <f t="shared" si="4"/>
        <v>0.578947368421053</v>
      </c>
      <c r="N34" s="5">
        <v>0</v>
      </c>
      <c r="O34" s="6">
        <f t="shared" si="5"/>
        <v>11</v>
      </c>
      <c r="P34" s="1"/>
    </row>
    <row r="35" spans="1:16">
      <c r="A35" s="5">
        <v>20</v>
      </c>
      <c r="B35" s="5">
        <v>9</v>
      </c>
      <c r="C35" s="5">
        <f t="shared" si="0"/>
        <v>0.45</v>
      </c>
      <c r="D35" s="5">
        <v>1</v>
      </c>
      <c r="E35" s="5">
        <f t="shared" si="1"/>
        <v>8</v>
      </c>
      <c r="F35" s="5">
        <v>21</v>
      </c>
      <c r="G35" s="5">
        <v>10</v>
      </c>
      <c r="H35" s="5">
        <f t="shared" si="2"/>
        <v>0.476190476190476</v>
      </c>
      <c r="I35" s="5">
        <v>0</v>
      </c>
      <c r="J35" s="5">
        <f t="shared" si="3"/>
        <v>10</v>
      </c>
      <c r="K35" s="5">
        <v>12</v>
      </c>
      <c r="L35" s="5">
        <v>5</v>
      </c>
      <c r="M35" s="5">
        <f t="shared" si="4"/>
        <v>0.416666666666667</v>
      </c>
      <c r="N35" s="5">
        <v>2</v>
      </c>
      <c r="O35" s="6">
        <f t="shared" si="5"/>
        <v>3</v>
      </c>
      <c r="P35" s="1"/>
    </row>
    <row r="36" spans="1:16">
      <c r="A36" s="5">
        <v>24</v>
      </c>
      <c r="B36" s="5">
        <v>15</v>
      </c>
      <c r="C36" s="5">
        <f t="shared" si="0"/>
        <v>0.625</v>
      </c>
      <c r="D36" s="5">
        <v>1</v>
      </c>
      <c r="E36" s="5">
        <f t="shared" si="1"/>
        <v>14</v>
      </c>
      <c r="F36" s="5">
        <v>18</v>
      </c>
      <c r="G36" s="5">
        <v>7</v>
      </c>
      <c r="H36" s="5">
        <f t="shared" si="2"/>
        <v>0.388888888888889</v>
      </c>
      <c r="I36" s="5">
        <v>0</v>
      </c>
      <c r="J36" s="5">
        <f t="shared" si="3"/>
        <v>7</v>
      </c>
      <c r="K36" s="5">
        <v>16</v>
      </c>
      <c r="L36" s="5">
        <v>7</v>
      </c>
      <c r="M36" s="5">
        <f t="shared" si="4"/>
        <v>0.4375</v>
      </c>
      <c r="N36" s="5">
        <v>2</v>
      </c>
      <c r="O36" s="6">
        <f t="shared" si="5"/>
        <v>5</v>
      </c>
      <c r="P36" s="1"/>
    </row>
    <row r="37" spans="1:16">
      <c r="A37" s="5">
        <v>25</v>
      </c>
      <c r="B37" s="5">
        <v>25</v>
      </c>
      <c r="C37" s="5">
        <f t="shared" si="0"/>
        <v>1</v>
      </c>
      <c r="D37" s="5">
        <v>0</v>
      </c>
      <c r="E37" s="5">
        <f t="shared" si="1"/>
        <v>25</v>
      </c>
      <c r="F37" s="5">
        <v>16</v>
      </c>
      <c r="G37" s="5">
        <v>8</v>
      </c>
      <c r="H37" s="5">
        <f t="shared" si="2"/>
        <v>0.5</v>
      </c>
      <c r="I37" s="5">
        <v>1</v>
      </c>
      <c r="J37" s="5">
        <f t="shared" si="3"/>
        <v>7</v>
      </c>
      <c r="K37" s="14">
        <v>12</v>
      </c>
      <c r="L37" s="14">
        <v>0</v>
      </c>
      <c r="M37" s="14">
        <v>0</v>
      </c>
      <c r="N37" s="14">
        <v>0</v>
      </c>
      <c r="O37" s="16">
        <v>0</v>
      </c>
      <c r="P37" s="1"/>
    </row>
    <row r="38" spans="1:16">
      <c r="A38" s="5">
        <v>27</v>
      </c>
      <c r="B38" s="5">
        <v>26</v>
      </c>
      <c r="C38" s="5">
        <f t="shared" si="0"/>
        <v>0.962962962962963</v>
      </c>
      <c r="D38" s="5">
        <v>0</v>
      </c>
      <c r="E38" s="5">
        <f t="shared" si="1"/>
        <v>26</v>
      </c>
      <c r="F38" s="5">
        <v>16</v>
      </c>
      <c r="G38" s="5">
        <v>9</v>
      </c>
      <c r="H38" s="5">
        <f t="shared" si="2"/>
        <v>0.5625</v>
      </c>
      <c r="I38" s="5">
        <v>1</v>
      </c>
      <c r="J38" s="5">
        <f t="shared" si="3"/>
        <v>8</v>
      </c>
      <c r="K38" s="12"/>
      <c r="L38" s="12"/>
      <c r="M38" s="12"/>
      <c r="N38" s="12"/>
      <c r="O38" s="15"/>
      <c r="P38" s="1"/>
    </row>
    <row r="39" spans="1:16">
      <c r="A39" s="5">
        <v>17</v>
      </c>
      <c r="B39" s="5">
        <v>10</v>
      </c>
      <c r="C39" s="5">
        <f t="shared" si="0"/>
        <v>0.588235294117647</v>
      </c>
      <c r="D39" s="5">
        <v>2</v>
      </c>
      <c r="E39" s="5">
        <f t="shared" si="1"/>
        <v>8</v>
      </c>
      <c r="F39" s="5">
        <v>15</v>
      </c>
      <c r="G39" s="5">
        <v>10</v>
      </c>
      <c r="H39" s="5">
        <f t="shared" si="2"/>
        <v>0.666666666666667</v>
      </c>
      <c r="I39" s="5">
        <v>1</v>
      </c>
      <c r="J39" s="5">
        <f t="shared" si="3"/>
        <v>9</v>
      </c>
      <c r="K39" s="12"/>
      <c r="L39" s="12"/>
      <c r="M39" s="12"/>
      <c r="N39" s="12"/>
      <c r="O39" s="15"/>
      <c r="P39" s="1"/>
    </row>
    <row r="40" spans="1:16">
      <c r="A40" s="5">
        <v>26</v>
      </c>
      <c r="B40" s="5">
        <v>26</v>
      </c>
      <c r="C40" s="5">
        <f t="shared" si="0"/>
        <v>1</v>
      </c>
      <c r="D40" s="5">
        <v>2</v>
      </c>
      <c r="E40" s="5">
        <f t="shared" si="1"/>
        <v>24</v>
      </c>
      <c r="F40" s="5">
        <v>8</v>
      </c>
      <c r="G40" s="5">
        <v>5</v>
      </c>
      <c r="H40" s="5">
        <f t="shared" si="2"/>
        <v>0.625</v>
      </c>
      <c r="I40" s="5">
        <v>2</v>
      </c>
      <c r="J40" s="5">
        <f t="shared" si="3"/>
        <v>3</v>
      </c>
      <c r="K40" s="12"/>
      <c r="L40" s="12"/>
      <c r="M40" s="12"/>
      <c r="N40" s="12"/>
      <c r="O40" s="15"/>
      <c r="P40" s="1"/>
    </row>
    <row r="41" spans="1:16">
      <c r="A41" s="5">
        <v>46</v>
      </c>
      <c r="B41" s="5">
        <v>40</v>
      </c>
      <c r="C41" s="5">
        <f t="shared" si="0"/>
        <v>0.869565217391304</v>
      </c>
      <c r="D41" s="5">
        <v>4</v>
      </c>
      <c r="E41" s="5">
        <f t="shared" si="1"/>
        <v>36</v>
      </c>
      <c r="F41" s="14">
        <v>10</v>
      </c>
      <c r="G41" s="14">
        <v>0</v>
      </c>
      <c r="H41" s="14">
        <f t="shared" si="2"/>
        <v>0</v>
      </c>
      <c r="I41" s="14">
        <v>0</v>
      </c>
      <c r="J41" s="14">
        <f t="shared" si="3"/>
        <v>0</v>
      </c>
      <c r="K41" s="12"/>
      <c r="L41" s="12"/>
      <c r="M41" s="12"/>
      <c r="N41" s="12"/>
      <c r="O41" s="15"/>
      <c r="P41" s="1"/>
    </row>
    <row r="42" spans="1:16">
      <c r="A42" s="5">
        <v>20</v>
      </c>
      <c r="B42" s="5">
        <v>20</v>
      </c>
      <c r="C42" s="5">
        <f t="shared" si="0"/>
        <v>1</v>
      </c>
      <c r="D42" s="5">
        <v>2</v>
      </c>
      <c r="E42" s="5">
        <f t="shared" si="1"/>
        <v>18</v>
      </c>
      <c r="F42" s="14">
        <v>10</v>
      </c>
      <c r="G42" s="14">
        <v>0</v>
      </c>
      <c r="H42" s="14">
        <f t="shared" si="2"/>
        <v>0</v>
      </c>
      <c r="I42" s="14">
        <v>0</v>
      </c>
      <c r="J42" s="14">
        <f t="shared" si="3"/>
        <v>0</v>
      </c>
      <c r="K42" s="12"/>
      <c r="L42" s="12"/>
      <c r="M42" s="12"/>
      <c r="N42" s="12"/>
      <c r="O42" s="15"/>
      <c r="P42" s="1"/>
    </row>
    <row r="43" spans="1:16">
      <c r="A43" s="5">
        <v>32</v>
      </c>
      <c r="B43" s="5">
        <v>28</v>
      </c>
      <c r="C43" s="5">
        <f t="shared" si="0"/>
        <v>0.875</v>
      </c>
      <c r="D43" s="5">
        <v>3</v>
      </c>
      <c r="E43" s="5">
        <f t="shared" si="1"/>
        <v>25</v>
      </c>
      <c r="F43" s="14">
        <v>11</v>
      </c>
      <c r="G43" s="14">
        <v>0</v>
      </c>
      <c r="H43" s="14">
        <f t="shared" si="2"/>
        <v>0</v>
      </c>
      <c r="I43" s="14">
        <v>0</v>
      </c>
      <c r="J43" s="14">
        <f t="shared" si="3"/>
        <v>0</v>
      </c>
      <c r="K43" s="12"/>
      <c r="L43" s="12"/>
      <c r="M43" s="12"/>
      <c r="N43" s="12"/>
      <c r="O43" s="15"/>
      <c r="P43" s="1"/>
    </row>
    <row r="44" spans="1:16">
      <c r="A44" s="5">
        <v>36</v>
      </c>
      <c r="B44" s="5">
        <v>34</v>
      </c>
      <c r="C44" s="5">
        <f t="shared" si="0"/>
        <v>0.944444444444444</v>
      </c>
      <c r="D44" s="5">
        <v>2</v>
      </c>
      <c r="E44" s="5">
        <f t="shared" si="1"/>
        <v>32</v>
      </c>
      <c r="F44" s="5"/>
      <c r="G44" s="12"/>
      <c r="H44" s="12"/>
      <c r="I44" s="12"/>
      <c r="J44" s="12"/>
      <c r="K44" s="12"/>
      <c r="L44" s="12"/>
      <c r="M44" s="12"/>
      <c r="N44" s="12"/>
      <c r="O44" s="15"/>
      <c r="P44" s="1"/>
    </row>
    <row r="45" spans="1:16">
      <c r="A45" s="5">
        <v>30</v>
      </c>
      <c r="B45" s="5">
        <v>22</v>
      </c>
      <c r="C45" s="5">
        <f t="shared" si="0"/>
        <v>0.733333333333333</v>
      </c>
      <c r="D45" s="5">
        <v>1</v>
      </c>
      <c r="E45" s="5">
        <f t="shared" si="1"/>
        <v>21</v>
      </c>
      <c r="F45" s="5"/>
      <c r="G45" s="12"/>
      <c r="H45" s="12"/>
      <c r="I45" s="12"/>
      <c r="J45" s="12"/>
      <c r="K45" s="12"/>
      <c r="L45" s="12"/>
      <c r="M45" s="12"/>
      <c r="N45" s="12"/>
      <c r="O45" s="15"/>
      <c r="P45" s="1"/>
    </row>
    <row r="46" spans="1:16">
      <c r="A46" s="5">
        <v>25</v>
      </c>
      <c r="B46" s="5">
        <v>11</v>
      </c>
      <c r="C46" s="5">
        <f t="shared" si="0"/>
        <v>0.44</v>
      </c>
      <c r="D46" s="5">
        <v>1</v>
      </c>
      <c r="E46" s="5">
        <f t="shared" si="1"/>
        <v>10</v>
      </c>
      <c r="F46" s="5"/>
      <c r="G46" s="12">
        <f t="shared" ref="G46:J46" si="6">AVERAGE(G33:G40)</f>
        <v>8.875</v>
      </c>
      <c r="H46" s="12">
        <f>AVERAGE(H33:H43)</f>
        <v>0.371437522580701</v>
      </c>
      <c r="I46" s="15">
        <f t="shared" si="6"/>
        <v>0.875</v>
      </c>
      <c r="J46" s="15">
        <f t="shared" si="6"/>
        <v>8</v>
      </c>
      <c r="K46" s="15"/>
      <c r="L46" s="15">
        <f t="shared" ref="L46:O46" si="7">AVERAGE(L33:L36)</f>
        <v>7</v>
      </c>
      <c r="M46" s="15">
        <f>AVERAGE(M33:M37)</f>
        <v>0.386622807017544</v>
      </c>
      <c r="N46" s="15">
        <f t="shared" si="7"/>
        <v>1.25</v>
      </c>
      <c r="O46" s="15">
        <f t="shared" si="7"/>
        <v>5.75</v>
      </c>
      <c r="P46" s="1"/>
    </row>
    <row r="47" spans="1:16">
      <c r="A47" s="5">
        <v>38</v>
      </c>
      <c r="B47" s="5">
        <v>32</v>
      </c>
      <c r="C47" s="5">
        <f t="shared" si="0"/>
        <v>0.842105263157895</v>
      </c>
      <c r="D47" s="5">
        <v>1</v>
      </c>
      <c r="E47" s="5">
        <f t="shared" si="1"/>
        <v>31</v>
      </c>
      <c r="F47" s="5"/>
      <c r="G47" s="12"/>
      <c r="H47" s="12"/>
      <c r="I47" s="13">
        <f>J46/I46</f>
        <v>9.14285714285714</v>
      </c>
      <c r="J47" s="13"/>
      <c r="K47" s="15"/>
      <c r="L47" s="15"/>
      <c r="M47" s="15"/>
      <c r="N47" s="13">
        <f>O46/N46</f>
        <v>4.6</v>
      </c>
      <c r="O47" s="13"/>
      <c r="P47" s="1"/>
    </row>
    <row r="48" spans="1:16">
      <c r="A48" s="5">
        <v>40</v>
      </c>
      <c r="B48" s="5">
        <v>34</v>
      </c>
      <c r="C48" s="5">
        <f t="shared" si="0"/>
        <v>0.85</v>
      </c>
      <c r="D48" s="5">
        <v>2</v>
      </c>
      <c r="E48" s="5">
        <f t="shared" si="1"/>
        <v>32</v>
      </c>
      <c r="F48" s="5"/>
      <c r="G48" s="12"/>
      <c r="H48" s="12"/>
      <c r="I48" s="15"/>
      <c r="J48" s="15"/>
      <c r="K48" s="15"/>
      <c r="L48" s="15"/>
      <c r="M48" s="15"/>
      <c r="N48" s="15"/>
      <c r="O48" s="15"/>
      <c r="P48" s="1"/>
    </row>
    <row r="49" spans="1:16">
      <c r="A49" s="5">
        <v>24</v>
      </c>
      <c r="B49" s="5">
        <v>16</v>
      </c>
      <c r="C49" s="6">
        <f t="shared" si="0"/>
        <v>0.666666666666667</v>
      </c>
      <c r="D49" s="5">
        <v>3</v>
      </c>
      <c r="E49" s="5">
        <f t="shared" si="1"/>
        <v>13</v>
      </c>
      <c r="F49" s="5"/>
      <c r="G49" s="15"/>
      <c r="H49" s="15"/>
      <c r="I49" s="15"/>
      <c r="J49" s="15"/>
      <c r="K49" s="15"/>
      <c r="L49" s="15"/>
      <c r="M49" s="15"/>
      <c r="N49" s="15"/>
      <c r="O49" s="15"/>
      <c r="P49" s="1"/>
    </row>
    <row r="50" spans="1:16">
      <c r="A50" s="5">
        <v>28</v>
      </c>
      <c r="B50" s="5">
        <v>15</v>
      </c>
      <c r="C50" s="5">
        <f t="shared" si="0"/>
        <v>0.535714285714286</v>
      </c>
      <c r="D50" s="5">
        <v>1</v>
      </c>
      <c r="E50" s="5">
        <f t="shared" si="1"/>
        <v>14</v>
      </c>
      <c r="F50" s="5"/>
      <c r="G50" s="15"/>
      <c r="H50" s="15"/>
      <c r="I50" s="15"/>
      <c r="J50" s="15"/>
      <c r="K50" s="15"/>
      <c r="L50" s="15"/>
      <c r="M50" s="15"/>
      <c r="N50" s="15"/>
      <c r="O50" s="15"/>
      <c r="P50" s="1"/>
    </row>
    <row r="51" spans="1:16">
      <c r="A51" s="5">
        <v>27</v>
      </c>
      <c r="B51" s="5">
        <v>18</v>
      </c>
      <c r="C51" s="5">
        <f t="shared" si="0"/>
        <v>0.666666666666667</v>
      </c>
      <c r="D51" s="5">
        <v>2</v>
      </c>
      <c r="E51" s="5">
        <f t="shared" si="1"/>
        <v>16</v>
      </c>
      <c r="F51" s="5"/>
      <c r="G51" s="15"/>
      <c r="H51" s="15"/>
      <c r="I51" s="15"/>
      <c r="J51" s="15"/>
      <c r="K51" s="15"/>
      <c r="L51" s="15"/>
      <c r="M51" s="15">
        <f>M50/C58</f>
        <v>0</v>
      </c>
      <c r="N51" s="15"/>
      <c r="O51" s="15"/>
      <c r="P51" s="1"/>
    </row>
    <row r="52" spans="1:16">
      <c r="A52" s="5">
        <v>30</v>
      </c>
      <c r="B52" s="5">
        <v>20</v>
      </c>
      <c r="C52" s="5">
        <f t="shared" si="0"/>
        <v>0.666666666666667</v>
      </c>
      <c r="D52" s="5">
        <v>1</v>
      </c>
      <c r="E52" s="5">
        <f t="shared" si="1"/>
        <v>19</v>
      </c>
      <c r="F52" s="5"/>
      <c r="G52" s="15"/>
      <c r="H52" s="15"/>
      <c r="I52" s="15"/>
      <c r="J52" s="15"/>
      <c r="K52" s="15"/>
      <c r="L52" s="15"/>
      <c r="M52" s="15"/>
      <c r="N52" s="15"/>
      <c r="O52" s="15"/>
      <c r="P52" s="1"/>
    </row>
    <row r="53" spans="1:16">
      <c r="A53" s="5">
        <v>32</v>
      </c>
      <c r="B53" s="5">
        <v>24</v>
      </c>
      <c r="C53" s="5">
        <f t="shared" si="0"/>
        <v>0.75</v>
      </c>
      <c r="D53" s="5">
        <v>2</v>
      </c>
      <c r="E53" s="5">
        <f t="shared" si="1"/>
        <v>22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"/>
    </row>
    <row r="54" spans="1:16">
      <c r="A54" s="5">
        <v>27</v>
      </c>
      <c r="B54" s="5">
        <v>25</v>
      </c>
      <c r="C54" s="5">
        <f t="shared" si="0"/>
        <v>0.925925925925926</v>
      </c>
      <c r="D54" s="5">
        <v>1</v>
      </c>
      <c r="E54" s="5">
        <f t="shared" si="1"/>
        <v>24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"/>
    </row>
    <row r="55" spans="1:16">
      <c r="A55" s="14">
        <v>36</v>
      </c>
      <c r="B55" s="14">
        <v>0</v>
      </c>
      <c r="C55" s="16">
        <v>0</v>
      </c>
      <c r="D55" s="12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"/>
    </row>
    <row r="56" spans="1:16">
      <c r="A56" s="14">
        <v>40</v>
      </c>
      <c r="B56" s="14">
        <v>0</v>
      </c>
      <c r="C56" s="16">
        <v>0</v>
      </c>
      <c r="D56" s="12"/>
      <c r="E56" s="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"/>
    </row>
    <row r="57" spans="1:16">
      <c r="A57" s="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"/>
    </row>
    <row r="58" spans="1:16">
      <c r="A58" s="15"/>
      <c r="B58" s="15">
        <f>AVERAGE(B33:B54)</f>
        <v>22.2272727272727</v>
      </c>
      <c r="C58" s="17">
        <f>AVERAGE(C33:C56)</f>
        <v>0.689079198422313</v>
      </c>
      <c r="D58" s="15">
        <f>AVERAGE(D33:D56)</f>
        <v>1.54545454545455</v>
      </c>
      <c r="E58" s="15">
        <f>AVERAGE(E33:E54)</f>
        <v>20.6818181818182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"/>
    </row>
    <row r="59" spans="1:16">
      <c r="A59" s="15"/>
      <c r="B59" s="15"/>
      <c r="C59" s="15"/>
      <c r="D59" s="13">
        <f>E58/D58</f>
        <v>13.3823529411765</v>
      </c>
      <c r="E59" s="1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"/>
    </row>
    <row r="61" spans="1:6">
      <c r="A61" s="18"/>
      <c r="B61" s="18" t="s">
        <v>20</v>
      </c>
      <c r="C61" s="18" t="s">
        <v>2</v>
      </c>
      <c r="D61" s="18" t="s">
        <v>3</v>
      </c>
      <c r="E61" s="18" t="s">
        <v>4</v>
      </c>
      <c r="F61" s="19"/>
    </row>
    <row r="62" spans="1:6">
      <c r="A62" s="5" t="s">
        <v>78</v>
      </c>
      <c r="B62" s="18">
        <v>22</v>
      </c>
      <c r="C62" s="18">
        <v>8</v>
      </c>
      <c r="D62" s="18">
        <v>4</v>
      </c>
      <c r="E62" s="18">
        <v>0</v>
      </c>
      <c r="F62" s="19"/>
    </row>
    <row r="63" spans="1:6">
      <c r="A63" s="5" t="s">
        <v>79</v>
      </c>
      <c r="B63" s="18">
        <v>7</v>
      </c>
      <c r="C63" s="18">
        <v>22</v>
      </c>
      <c r="D63" s="18">
        <v>28</v>
      </c>
      <c r="E63" s="18">
        <v>28</v>
      </c>
      <c r="F63" s="19"/>
    </row>
    <row r="64" spans="1:6">
      <c r="A64" s="5" t="s">
        <v>80</v>
      </c>
      <c r="B64" s="18">
        <v>29</v>
      </c>
      <c r="C64" s="18">
        <v>30</v>
      </c>
      <c r="D64" s="18">
        <v>32</v>
      </c>
      <c r="E64" s="18">
        <v>28</v>
      </c>
      <c r="F64" s="19"/>
    </row>
    <row r="65" spans="1:6">
      <c r="A65" s="21" t="s">
        <v>81</v>
      </c>
      <c r="B65" s="18">
        <f>B62/B64</f>
        <v>0.758620689655172</v>
      </c>
      <c r="C65" s="18">
        <f>C62/C64</f>
        <v>0.266666666666667</v>
      </c>
      <c r="D65" s="18">
        <f>D62/D64</f>
        <v>0.125</v>
      </c>
      <c r="E65" s="18">
        <f>E62/E64</f>
        <v>0</v>
      </c>
      <c r="F65" s="19"/>
    </row>
    <row r="66" spans="1:6">
      <c r="A66" s="22" t="s">
        <v>82</v>
      </c>
      <c r="B66" s="18">
        <f>1-B65</f>
        <v>0.241379310344828</v>
      </c>
      <c r="C66" s="18">
        <f>C63/C64</f>
        <v>0.733333333333333</v>
      </c>
      <c r="D66" s="18">
        <f>D63/D64</f>
        <v>0.875</v>
      </c>
      <c r="E66" s="18">
        <f>E63/E64</f>
        <v>1</v>
      </c>
      <c r="F66" s="19"/>
    </row>
  </sheetData>
  <mergeCells count="8">
    <mergeCell ref="F1:I1"/>
    <mergeCell ref="A31:E31"/>
    <mergeCell ref="F31:J31"/>
    <mergeCell ref="K31:O31"/>
    <mergeCell ref="I47:J47"/>
    <mergeCell ref="N47:O47"/>
    <mergeCell ref="D59:E59"/>
    <mergeCell ref="A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Aromia bungii Faldermann adults</vt:lpstr>
      <vt:lpstr>CAT Enzymatic activity</vt:lpstr>
      <vt:lpstr>POD Enzymatic activity</vt:lpstr>
      <vt:lpstr>SOD Enzymatic activity</vt:lpstr>
      <vt:lpstr>CarE  Enzymatic activity</vt:lpstr>
      <vt:lpstr>GST CAT Enzymatic activity</vt:lpstr>
      <vt:lpstr>Sclerodermus guani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李</dc:creator>
  <cp:lastModifiedBy>WPS_1615126205</cp:lastModifiedBy>
  <dcterms:created xsi:type="dcterms:W3CDTF">2024-03-06T12:01:00Z</dcterms:created>
  <dcterms:modified xsi:type="dcterms:W3CDTF">2024-03-08T06:08:26Z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0513CC9EA3D54E3AA3B09B9C2366103A_12</vt:lpwstr>
  </property>
  <property fmtid="{D5CDD505-2E9C-101B-9397-08002B2CF9AE}" pid="3" name="KSOProductBuildVer">
    <vt:lpwstr>2052-12.1.0.16388</vt:lpwstr>
  </property>
</Properties>
</file>