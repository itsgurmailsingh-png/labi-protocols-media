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h/Desktop/Arid3B PLOS 1 paper data/PLOS One/"/>
    </mc:Choice>
  </mc:AlternateContent>
  <xr:revisionPtr revIDLastSave="0" documentId="13_ncr:1_{90FC4E27-C96F-7240-B6DC-6CC179027054}" xr6:coauthVersionLast="47" xr6:coauthVersionMax="47" xr10:uidLastSave="{00000000-0000-0000-0000-000000000000}"/>
  <bookViews>
    <workbookView xWindow="480" yWindow="740" windowWidth="20820" windowHeight="172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1" l="1"/>
  <c r="J64" i="1" s="1"/>
  <c r="I70" i="1"/>
  <c r="J70" i="1" s="1"/>
  <c r="I72" i="1"/>
  <c r="J72" i="1" s="1"/>
  <c r="I78" i="1"/>
  <c r="J78" i="1" s="1"/>
  <c r="I80" i="1"/>
  <c r="J80" i="1" s="1"/>
  <c r="K82" i="1" s="1"/>
  <c r="I63" i="1"/>
  <c r="J63" i="1" s="1"/>
  <c r="K64" i="1" s="1"/>
  <c r="H65" i="1"/>
  <c r="G64" i="1"/>
  <c r="G65" i="1"/>
  <c r="I65" i="1" s="1"/>
  <c r="J65" i="1" s="1"/>
  <c r="G66" i="1"/>
  <c r="I66" i="1" s="1"/>
  <c r="J66" i="1" s="1"/>
  <c r="G67" i="1"/>
  <c r="I67" i="1" s="1"/>
  <c r="J67" i="1" s="1"/>
  <c r="G68" i="1"/>
  <c r="I68" i="1" s="1"/>
  <c r="J68" i="1" s="1"/>
  <c r="G69" i="1"/>
  <c r="I69" i="1" s="1"/>
  <c r="J69" i="1" s="1"/>
  <c r="G70" i="1"/>
  <c r="G71" i="1"/>
  <c r="I71" i="1" s="1"/>
  <c r="J71" i="1" s="1"/>
  <c r="K73" i="1" s="1"/>
  <c r="G72" i="1"/>
  <c r="G73" i="1"/>
  <c r="I73" i="1" s="1"/>
  <c r="J73" i="1" s="1"/>
  <c r="G74" i="1"/>
  <c r="I74" i="1" s="1"/>
  <c r="J74" i="1" s="1"/>
  <c r="G75" i="1"/>
  <c r="I75" i="1" s="1"/>
  <c r="J75" i="1" s="1"/>
  <c r="G76" i="1"/>
  <c r="I76" i="1" s="1"/>
  <c r="J76" i="1" s="1"/>
  <c r="G77" i="1"/>
  <c r="G78" i="1"/>
  <c r="G79" i="1"/>
  <c r="I79" i="1" s="1"/>
  <c r="J79" i="1" s="1"/>
  <c r="G80" i="1"/>
  <c r="G81" i="1"/>
  <c r="I81" i="1" s="1"/>
  <c r="J81" i="1" s="1"/>
  <c r="G82" i="1"/>
  <c r="I82" i="1" s="1"/>
  <c r="J82" i="1" s="1"/>
  <c r="G83" i="1"/>
  <c r="I83" i="1" s="1"/>
  <c r="J83" i="1" s="1"/>
  <c r="G84" i="1"/>
  <c r="I84" i="1" s="1"/>
  <c r="J84" i="1" s="1"/>
  <c r="G85" i="1"/>
  <c r="I85" i="1" s="1"/>
  <c r="J85" i="1" s="1"/>
  <c r="G63" i="1"/>
  <c r="K70" i="1" l="1"/>
  <c r="K76" i="1"/>
  <c r="K85" i="1"/>
  <c r="K67" i="1"/>
  <c r="H77" i="1"/>
  <c r="I77" i="1" s="1"/>
  <c r="J77" i="1" s="1"/>
  <c r="K79" i="1" s="1"/>
  <c r="I15" i="1"/>
  <c r="J15" i="1" s="1"/>
  <c r="I16" i="1"/>
  <c r="J16" i="1" s="1"/>
  <c r="I21" i="1"/>
  <c r="J21" i="1" s="1"/>
  <c r="I22" i="1"/>
  <c r="J22" i="1" s="1"/>
  <c r="I23" i="1"/>
  <c r="J23" i="1" s="1"/>
  <c r="I24" i="1"/>
  <c r="J24" i="1" s="1"/>
  <c r="I30" i="1"/>
  <c r="J30" i="1" s="1"/>
  <c r="I31" i="1"/>
  <c r="J31" i="1" s="1"/>
  <c r="I32" i="1"/>
  <c r="J32" i="1" s="1"/>
  <c r="I37" i="1"/>
  <c r="J37" i="1" s="1"/>
  <c r="I38" i="1"/>
  <c r="J38" i="1" s="1"/>
  <c r="K40" i="1" s="1"/>
  <c r="I39" i="1"/>
  <c r="J39" i="1" s="1"/>
  <c r="I40" i="1"/>
  <c r="J40" i="1" s="1"/>
  <c r="I45" i="1"/>
  <c r="J45" i="1" s="1"/>
  <c r="I46" i="1"/>
  <c r="J46" i="1" s="1"/>
  <c r="I47" i="1"/>
  <c r="J47" i="1" s="1"/>
  <c r="I48" i="1"/>
  <c r="J48" i="1" s="1"/>
  <c r="I54" i="1"/>
  <c r="J54" i="1" s="1"/>
  <c r="I55" i="1"/>
  <c r="J55" i="1" s="1"/>
  <c r="I56" i="1"/>
  <c r="J56" i="1" s="1"/>
  <c r="I61" i="1"/>
  <c r="J61" i="1" s="1"/>
  <c r="I14" i="1"/>
  <c r="J14" i="1" s="1"/>
  <c r="H53" i="1"/>
  <c r="I53" i="1" s="1"/>
  <c r="J53" i="1" s="1"/>
  <c r="H41" i="1"/>
  <c r="G15" i="1"/>
  <c r="G16" i="1"/>
  <c r="G17" i="1"/>
  <c r="G18" i="1"/>
  <c r="I18" i="1" s="1"/>
  <c r="J18" i="1" s="1"/>
  <c r="G19" i="1"/>
  <c r="I19" i="1" s="1"/>
  <c r="J19" i="1" s="1"/>
  <c r="G20" i="1"/>
  <c r="I20" i="1" s="1"/>
  <c r="J20" i="1" s="1"/>
  <c r="G21" i="1"/>
  <c r="G22" i="1"/>
  <c r="G23" i="1"/>
  <c r="G24" i="1"/>
  <c r="G25" i="1"/>
  <c r="I25" i="1" s="1"/>
  <c r="J25" i="1" s="1"/>
  <c r="G26" i="1"/>
  <c r="I26" i="1" s="1"/>
  <c r="J26" i="1" s="1"/>
  <c r="G27" i="1"/>
  <c r="I27" i="1" s="1"/>
  <c r="J27" i="1" s="1"/>
  <c r="G28" i="1"/>
  <c r="I28" i="1" s="1"/>
  <c r="J28" i="1" s="1"/>
  <c r="G29" i="1"/>
  <c r="H29" i="1" s="1"/>
  <c r="I29" i="1" s="1"/>
  <c r="J29" i="1" s="1"/>
  <c r="K31" i="1" s="1"/>
  <c r="G30" i="1"/>
  <c r="G31" i="1"/>
  <c r="G32" i="1"/>
  <c r="G33" i="1"/>
  <c r="I33" i="1" s="1"/>
  <c r="J33" i="1" s="1"/>
  <c r="G34" i="1"/>
  <c r="I34" i="1" s="1"/>
  <c r="J34" i="1" s="1"/>
  <c r="G35" i="1"/>
  <c r="I35" i="1" s="1"/>
  <c r="J35" i="1" s="1"/>
  <c r="G36" i="1"/>
  <c r="I36" i="1" s="1"/>
  <c r="J36" i="1" s="1"/>
  <c r="G37" i="1"/>
  <c r="G38" i="1"/>
  <c r="G39" i="1"/>
  <c r="G40" i="1"/>
  <c r="G41" i="1"/>
  <c r="I41" i="1" s="1"/>
  <c r="J41" i="1" s="1"/>
  <c r="K43" i="1" s="1"/>
  <c r="G42" i="1"/>
  <c r="I42" i="1" s="1"/>
  <c r="J42" i="1" s="1"/>
  <c r="G43" i="1"/>
  <c r="I43" i="1" s="1"/>
  <c r="J43" i="1" s="1"/>
  <c r="G44" i="1"/>
  <c r="I44" i="1" s="1"/>
  <c r="J44" i="1" s="1"/>
  <c r="G45" i="1"/>
  <c r="G46" i="1"/>
  <c r="G47" i="1"/>
  <c r="G48" i="1"/>
  <c r="G49" i="1"/>
  <c r="I49" i="1" s="1"/>
  <c r="J49" i="1" s="1"/>
  <c r="G50" i="1"/>
  <c r="I50" i="1" s="1"/>
  <c r="J50" i="1" s="1"/>
  <c r="G51" i="1"/>
  <c r="I51" i="1" s="1"/>
  <c r="J51" i="1" s="1"/>
  <c r="G52" i="1"/>
  <c r="I52" i="1" s="1"/>
  <c r="J52" i="1" s="1"/>
  <c r="G53" i="1"/>
  <c r="G54" i="1"/>
  <c r="G55" i="1"/>
  <c r="G56" i="1"/>
  <c r="G57" i="1"/>
  <c r="I57" i="1" s="1"/>
  <c r="J57" i="1" s="1"/>
  <c r="G58" i="1"/>
  <c r="I58" i="1" s="1"/>
  <c r="J58" i="1" s="1"/>
  <c r="G59" i="1"/>
  <c r="I59" i="1" s="1"/>
  <c r="J59" i="1" s="1"/>
  <c r="G60" i="1"/>
  <c r="I60" i="1" s="1"/>
  <c r="J60" i="1" s="1"/>
  <c r="G61" i="1"/>
  <c r="G14" i="1"/>
  <c r="F7" i="1"/>
  <c r="F10" i="1"/>
  <c r="F13" i="1"/>
  <c r="F4" i="1"/>
  <c r="K46" i="1" l="1"/>
  <c r="K22" i="1"/>
  <c r="K16" i="1"/>
  <c r="K34" i="1"/>
  <c r="K55" i="1"/>
  <c r="K61" i="1"/>
  <c r="K37" i="1"/>
  <c r="K25" i="1"/>
  <c r="K49" i="1"/>
  <c r="K52" i="1"/>
  <c r="K28" i="1"/>
  <c r="K58" i="1"/>
  <c r="H17" i="1"/>
  <c r="I17" i="1" s="1"/>
  <c r="J17" i="1" s="1"/>
  <c r="K19" i="1" s="1"/>
</calcChain>
</file>

<file path=xl/sharedStrings.xml><?xml version="1.0" encoding="utf-8"?>
<sst xmlns="http://schemas.openxmlformats.org/spreadsheetml/2006/main" count="1100" uniqueCount="134">
  <si>
    <t>Well</t>
  </si>
  <si>
    <t>Fluor</t>
  </si>
  <si>
    <t>Target</t>
  </si>
  <si>
    <t>Sample</t>
  </si>
  <si>
    <t>Cq</t>
  </si>
  <si>
    <t>A01</t>
  </si>
  <si>
    <t>N/A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</si>
  <si>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</si>
  <si>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</si>
  <si>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</si>
  <si>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</si>
  <si>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</si>
  <si>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</si>
  <si>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</si>
  <si>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</si>
  <si>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</si>
  <si>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</si>
  <si>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</si>
  <si>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</si>
  <si>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</si>
  <si>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</si>
  <si>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</si>
  <si>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</si>
  <si>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</si>
  <si>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</si>
  <si>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</si>
  <si>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</si>
  <si>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</si>
  <si>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</si>
  <si>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</si>
  <si>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</si>
  <si>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</si>
  <si>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</si>
  <si>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</si>
  <si>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</si>
  <si>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</si>
  <si>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</si>
  <si>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</si>
  <si>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</si>
  <si>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</si>
  <si>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</si>
  <si>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</si>
  <si>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</si>
  <si>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</si>
  <si>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</si>
  <si>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</si>
  <si>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</si>
  <si>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</si>
  <si>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</si>
  <si>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</si>
  <si>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</si>
  <si>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</si>
  <si>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</si>
  <si>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</si>
  <si>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</si>
  <si>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</si>
  <si>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</si>
  <si>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</si>
  <si>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</si>
  <si>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</si>
  <si>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</si>
  <si>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</si>
  <si>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</si>
  <si>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</si>
  <si>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</si>
  <si>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</si>
  <si>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</si>
  <si>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</si>
  <si>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</si>
  <si>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</si>
  <si>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</si>
  <si>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</si>
  <si>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</si>
  <si>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</si>
  <si>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</si>
  <si>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</si>
  <si>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</si>
  <si>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</si>
  <si>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</si>
  <si>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</si>
  <si>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</si>
  <si>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</si>
  <si>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</si>
  <si>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</si>
  <si>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</si>
  <si>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</si>
  <si>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</si>
  <si>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</si>
  <si>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</si>
  <si>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</si>
  <si>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</si>
  <si>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</si>
  <si>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</si>
  <si>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</si>
  <si>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</si>
  <si>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</si>
  <si>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</si>
  <si>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</si>
  <si>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</si>
  <si>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</si>
  <si>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</si>
  <si>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</si>
  <si>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FAM</t>
  </si>
  <si>
    <t>HEX</t>
  </si>
  <si>
    <t>Quasar 705</t>
  </si>
  <si>
    <t>Texas Red</t>
  </si>
  <si>
    <t>GAPDH</t>
  </si>
  <si>
    <t>TLE4</t>
  </si>
  <si>
    <t>TLE5</t>
  </si>
  <si>
    <t>TLE6</t>
  </si>
  <si>
    <t>TLE7</t>
  </si>
  <si>
    <t>TLE8</t>
  </si>
  <si>
    <t>TLE9</t>
  </si>
  <si>
    <t>TLE10</t>
  </si>
  <si>
    <t>TLE11</t>
  </si>
  <si>
    <t>TLE12</t>
  </si>
  <si>
    <t>TLE13</t>
  </si>
  <si>
    <t>TLE14</t>
  </si>
  <si>
    <t>TLE15</t>
  </si>
  <si>
    <t>NFKb</t>
  </si>
  <si>
    <t>NFKbi</t>
  </si>
  <si>
    <t>SMAD3</t>
  </si>
  <si>
    <t>ATCC</t>
  </si>
  <si>
    <t>MSCV L2</t>
  </si>
  <si>
    <t>Arid 3A</t>
  </si>
  <si>
    <t>Arid3A/B</t>
  </si>
  <si>
    <t>Avg. GAPDH</t>
  </si>
  <si>
    <t>dCT</t>
  </si>
  <si>
    <t>dCT CTRL</t>
  </si>
  <si>
    <t>ddCT</t>
  </si>
  <si>
    <t>Power</t>
  </si>
  <si>
    <t>Avg. Power</t>
  </si>
  <si>
    <t>Arid3A</t>
  </si>
  <si>
    <t>Arid3B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</si>
</sst>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topLeftCell="A25" workbookViewId="0">
      <selection activeCell="C50" sqref="C50:C61"/>
    </sheetView>
  </sheetViews>
  <sheetFormatPr baseColWidth="10" defaultColWidth="8.83203125" defaultRowHeight="15" x14ac:dyDescent="0.2"/>
  <cols>
    <col min="6" max="6" width="11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</row>
    <row r="2" spans="1:11" x14ac:dyDescent="0.2">
      <c r="A2" t="s">
        <v>5</v>
      </c>
      <c r="B2" t="s">
        <v>103</v>
      </c>
      <c r="C2" t="s">
        <v>106</v>
      </c>
      <c r="D2" t="s">
        <v>122</v>
      </c>
      <c r="E2">
        <v>18.079999999999998</v>
      </c>
    </row>
    <row r="3" spans="1:11" x14ac:dyDescent="0.2">
      <c r="A3" t="s">
        <v>7</v>
      </c>
      <c r="B3" t="s">
        <v>103</v>
      </c>
      <c r="C3" t="s">
        <v>106</v>
      </c>
      <c r="D3" t="s">
        <v>122</v>
      </c>
      <c r="E3">
        <v>18.739999999999998</v>
      </c>
    </row>
    <row r="4" spans="1:11" x14ac:dyDescent="0.2">
      <c r="A4" t="s">
        <v>8</v>
      </c>
      <c r="B4" t="s">
        <v>103</v>
      </c>
      <c r="C4" t="s">
        <v>106</v>
      </c>
      <c r="D4" t="s">
        <v>122</v>
      </c>
      <c r="E4">
        <v>18.190000000000001</v>
      </c>
      <c r="F4">
        <f>AVERAGE(E2:E4)</f>
        <v>18.336666666666662</v>
      </c>
    </row>
    <row r="5" spans="1:11" x14ac:dyDescent="0.2">
      <c r="A5" t="s">
        <v>9</v>
      </c>
      <c r="B5" t="s">
        <v>103</v>
      </c>
      <c r="C5" t="s">
        <v>106</v>
      </c>
      <c r="D5" t="s">
        <v>123</v>
      </c>
      <c r="E5">
        <v>18.38</v>
      </c>
    </row>
    <row r="6" spans="1:11" x14ac:dyDescent="0.2">
      <c r="A6" t="s">
        <v>10</v>
      </c>
      <c r="B6" t="s">
        <v>103</v>
      </c>
      <c r="C6" t="s">
        <v>106</v>
      </c>
      <c r="D6" t="s">
        <v>123</v>
      </c>
      <c r="E6">
        <v>18.2</v>
      </c>
    </row>
    <row r="7" spans="1:11" x14ac:dyDescent="0.2">
      <c r="A7" t="s">
        <v>11</v>
      </c>
      <c r="B7" t="s">
        <v>103</v>
      </c>
      <c r="C7" t="s">
        <v>106</v>
      </c>
      <c r="D7" t="s">
        <v>123</v>
      </c>
      <c r="E7">
        <v>18.34</v>
      </c>
      <c r="F7">
        <f t="shared" ref="F7" si="0">AVERAGE(E5:E7)</f>
        <v>18.306666666666668</v>
      </c>
    </row>
    <row r="8" spans="1:11" x14ac:dyDescent="0.2">
      <c r="A8" t="s">
        <v>12</v>
      </c>
      <c r="B8" t="s">
        <v>103</v>
      </c>
      <c r="C8" t="s">
        <v>106</v>
      </c>
      <c r="D8" t="s">
        <v>124</v>
      </c>
      <c r="E8">
        <v>20.260000000000002</v>
      </c>
    </row>
    <row r="9" spans="1:11" x14ac:dyDescent="0.2">
      <c r="A9" t="s">
        <v>13</v>
      </c>
      <c r="B9" t="s">
        <v>103</v>
      </c>
      <c r="C9" t="s">
        <v>106</v>
      </c>
      <c r="D9" t="s">
        <v>124</v>
      </c>
      <c r="E9">
        <v>20.03</v>
      </c>
    </row>
    <row r="10" spans="1:11" x14ac:dyDescent="0.2">
      <c r="A10" t="s">
        <v>14</v>
      </c>
      <c r="B10" t="s">
        <v>103</v>
      </c>
      <c r="C10" t="s">
        <v>106</v>
      </c>
      <c r="D10" t="s">
        <v>124</v>
      </c>
      <c r="E10">
        <v>19.96</v>
      </c>
      <c r="F10">
        <f t="shared" ref="F10" si="1">AVERAGE(E8:E10)</f>
        <v>20.083333333333336</v>
      </c>
    </row>
    <row r="11" spans="1:11" x14ac:dyDescent="0.2">
      <c r="A11" t="s">
        <v>15</v>
      </c>
      <c r="B11" t="s">
        <v>103</v>
      </c>
      <c r="C11" t="s">
        <v>106</v>
      </c>
      <c r="D11" t="s">
        <v>125</v>
      </c>
      <c r="E11">
        <v>18.010000000000002</v>
      </c>
    </row>
    <row r="12" spans="1:11" x14ac:dyDescent="0.2">
      <c r="A12" t="s">
        <v>16</v>
      </c>
      <c r="B12" t="s">
        <v>103</v>
      </c>
      <c r="C12" t="s">
        <v>106</v>
      </c>
      <c r="D12" t="s">
        <v>125</v>
      </c>
      <c r="E12">
        <v>18.079999999999998</v>
      </c>
    </row>
    <row r="13" spans="1:11" x14ac:dyDescent="0.2">
      <c r="A13" t="s">
        <v>17</v>
      </c>
      <c r="B13" t="s">
        <v>103</v>
      </c>
      <c r="C13" t="s">
        <v>106</v>
      </c>
      <c r="D13" t="s">
        <v>125</v>
      </c>
      <c r="E13">
        <v>18.059999999999999</v>
      </c>
      <c r="F13">
        <f t="shared" ref="F13" si="2">AVERAGE(E11:E13)</f>
        <v>18.05</v>
      </c>
    </row>
    <row r="14" spans="1:11" x14ac:dyDescent="0.2">
      <c r="A14" t="s">
        <v>18</v>
      </c>
      <c r="B14" t="s">
        <v>103</v>
      </c>
      <c r="C14" t="s">
        <v>107</v>
      </c>
      <c r="D14" t="s">
        <v>122</v>
      </c>
      <c r="E14">
        <v>24.45</v>
      </c>
      <c r="F14">
        <v>18.34</v>
      </c>
      <c r="G14">
        <f>E14-F14</f>
        <v>6.1099999999999994</v>
      </c>
      <c r="H14">
        <v>6.48</v>
      </c>
      <c r="I14">
        <f>G14-H14</f>
        <v>-0.37000000000000099</v>
      </c>
      <c r="J14">
        <f>POWER(2,-I14)</f>
        <v>1.2923528306374932</v>
      </c>
    </row>
    <row r="15" spans="1:11" x14ac:dyDescent="0.2">
      <c r="A15" t="s">
        <v>19</v>
      </c>
      <c r="B15" t="s">
        <v>103</v>
      </c>
      <c r="C15" t="s">
        <v>108</v>
      </c>
      <c r="D15" t="s">
        <v>122</v>
      </c>
      <c r="E15">
        <v>24.39</v>
      </c>
      <c r="F15">
        <v>18.34</v>
      </c>
      <c r="G15">
        <f t="shared" ref="G15:G61" si="3">E15-F15</f>
        <v>6.0500000000000007</v>
      </c>
      <c r="H15">
        <v>6.48</v>
      </c>
      <c r="I15">
        <f t="shared" ref="I15:I61" si="4">G15-H15</f>
        <v>-0.42999999999999972</v>
      </c>
      <c r="J15">
        <f t="shared" ref="J15:J78" si="5">POWER(2,-I15)</f>
        <v>1.34723357686569</v>
      </c>
    </row>
    <row r="16" spans="1:11" x14ac:dyDescent="0.2">
      <c r="A16" t="s">
        <v>20</v>
      </c>
      <c r="B16" t="s">
        <v>103</v>
      </c>
      <c r="C16" t="s">
        <v>109</v>
      </c>
      <c r="D16" t="s">
        <v>122</v>
      </c>
      <c r="E16">
        <v>24.17</v>
      </c>
      <c r="F16">
        <v>18.34</v>
      </c>
      <c r="G16">
        <f t="shared" si="3"/>
        <v>5.8300000000000018</v>
      </c>
      <c r="H16">
        <v>6.48</v>
      </c>
      <c r="I16">
        <f t="shared" si="4"/>
        <v>-0.64999999999999858</v>
      </c>
      <c r="J16">
        <f t="shared" si="5"/>
        <v>1.5691681957935</v>
      </c>
      <c r="K16">
        <f>AVERAGE(J14:J16)</f>
        <v>1.4029182010988943</v>
      </c>
    </row>
    <row r="17" spans="1:11" x14ac:dyDescent="0.2">
      <c r="A17" t="s">
        <v>21</v>
      </c>
      <c r="B17" t="s">
        <v>103</v>
      </c>
      <c r="C17" t="s">
        <v>110</v>
      </c>
      <c r="D17" t="s">
        <v>123</v>
      </c>
      <c r="E17">
        <v>24.76</v>
      </c>
      <c r="F17">
        <v>18.309999999999999</v>
      </c>
      <c r="G17">
        <f t="shared" si="3"/>
        <v>6.4500000000000028</v>
      </c>
      <c r="H17">
        <f>AVERAGE(G17:G19)</f>
        <v>6.4833333333333352</v>
      </c>
      <c r="I17">
        <f t="shared" si="4"/>
        <v>-3.3333333333332327E-2</v>
      </c>
      <c r="J17">
        <f t="shared" si="5"/>
        <v>1.0233738919967741</v>
      </c>
    </row>
    <row r="18" spans="1:11" x14ac:dyDescent="0.2">
      <c r="A18" t="s">
        <v>22</v>
      </c>
      <c r="B18" t="s">
        <v>103</v>
      </c>
      <c r="C18" t="s">
        <v>111</v>
      </c>
      <c r="D18" t="s">
        <v>123</v>
      </c>
      <c r="E18">
        <v>24.8</v>
      </c>
      <c r="F18">
        <v>18.309999999999999</v>
      </c>
      <c r="G18">
        <f t="shared" si="3"/>
        <v>6.490000000000002</v>
      </c>
      <c r="H18">
        <v>6.48</v>
      </c>
      <c r="I18">
        <f t="shared" si="4"/>
        <v>1.0000000000001563E-2</v>
      </c>
      <c r="J18">
        <f t="shared" si="5"/>
        <v>0.99309249543703471</v>
      </c>
    </row>
    <row r="19" spans="1:11" x14ac:dyDescent="0.2">
      <c r="A19" t="s">
        <v>23</v>
      </c>
      <c r="B19" t="s">
        <v>103</v>
      </c>
      <c r="C19" t="s">
        <v>112</v>
      </c>
      <c r="D19" t="s">
        <v>123</v>
      </c>
      <c r="E19">
        <v>24.82</v>
      </c>
      <c r="F19">
        <v>18.309999999999999</v>
      </c>
      <c r="G19">
        <f t="shared" si="3"/>
        <v>6.5100000000000016</v>
      </c>
      <c r="H19">
        <v>6.48</v>
      </c>
      <c r="I19">
        <f t="shared" si="4"/>
        <v>3.0000000000001137E-2</v>
      </c>
      <c r="J19">
        <f t="shared" si="5"/>
        <v>0.97942029758692617</v>
      </c>
      <c r="K19">
        <f t="shared" ref="K19" si="6">AVERAGE(J17:J19)</f>
        <v>0.99862889500691165</v>
      </c>
    </row>
    <row r="20" spans="1:11" x14ac:dyDescent="0.2">
      <c r="A20" t="s">
        <v>24</v>
      </c>
      <c r="B20" t="s">
        <v>103</v>
      </c>
      <c r="C20" t="s">
        <v>113</v>
      </c>
      <c r="D20" t="s">
        <v>124</v>
      </c>
      <c r="E20">
        <v>23.88</v>
      </c>
      <c r="F20">
        <v>20.079999999999998</v>
      </c>
      <c r="G20">
        <f t="shared" si="3"/>
        <v>3.8000000000000007</v>
      </c>
      <c r="H20">
        <v>6.48</v>
      </c>
      <c r="I20">
        <f t="shared" si="4"/>
        <v>-2.6799999999999997</v>
      </c>
      <c r="J20">
        <f t="shared" si="5"/>
        <v>6.4085590207169751</v>
      </c>
    </row>
    <row r="21" spans="1:11" x14ac:dyDescent="0.2">
      <c r="A21" t="s">
        <v>25</v>
      </c>
      <c r="B21" t="s">
        <v>103</v>
      </c>
      <c r="C21" t="s">
        <v>114</v>
      </c>
      <c r="D21" t="s">
        <v>124</v>
      </c>
      <c r="E21">
        <v>24.02</v>
      </c>
      <c r="F21">
        <v>20.079999999999998</v>
      </c>
      <c r="G21">
        <f t="shared" si="3"/>
        <v>3.9400000000000013</v>
      </c>
      <c r="H21">
        <v>6.48</v>
      </c>
      <c r="I21">
        <f t="shared" si="4"/>
        <v>-2.5399999999999991</v>
      </c>
      <c r="J21">
        <f t="shared" si="5"/>
        <v>5.8158900692812381</v>
      </c>
    </row>
    <row r="22" spans="1:11" x14ac:dyDescent="0.2">
      <c r="A22" t="s">
        <v>26</v>
      </c>
      <c r="B22" t="s">
        <v>103</v>
      </c>
      <c r="C22" t="s">
        <v>115</v>
      </c>
      <c r="D22" t="s">
        <v>124</v>
      </c>
      <c r="E22">
        <v>23.66</v>
      </c>
      <c r="F22">
        <v>20.079999999999998</v>
      </c>
      <c r="G22">
        <f t="shared" si="3"/>
        <v>3.5800000000000018</v>
      </c>
      <c r="H22">
        <v>6.48</v>
      </c>
      <c r="I22">
        <f t="shared" si="4"/>
        <v>-2.8999999999999986</v>
      </c>
      <c r="J22">
        <f t="shared" si="5"/>
        <v>7.4642639322944513</v>
      </c>
      <c r="K22">
        <f t="shared" ref="K22" si="7">AVERAGE(J20:J22)</f>
        <v>6.5629043407642209</v>
      </c>
    </row>
    <row r="23" spans="1:11" x14ac:dyDescent="0.2">
      <c r="A23" t="s">
        <v>27</v>
      </c>
      <c r="B23" t="s">
        <v>103</v>
      </c>
      <c r="C23" t="s">
        <v>116</v>
      </c>
      <c r="D23" t="s">
        <v>125</v>
      </c>
      <c r="E23">
        <v>24.24</v>
      </c>
      <c r="F23">
        <v>18.05</v>
      </c>
      <c r="G23">
        <f t="shared" si="3"/>
        <v>6.1899999999999977</v>
      </c>
      <c r="H23">
        <v>6.48</v>
      </c>
      <c r="I23">
        <f t="shared" si="4"/>
        <v>-0.2900000000000027</v>
      </c>
      <c r="J23">
        <f t="shared" si="5"/>
        <v>1.2226402776920708</v>
      </c>
    </row>
    <row r="24" spans="1:11" x14ac:dyDescent="0.2">
      <c r="A24" t="s">
        <v>28</v>
      </c>
      <c r="B24" t="s">
        <v>103</v>
      </c>
      <c r="C24" t="s">
        <v>117</v>
      </c>
      <c r="D24" t="s">
        <v>125</v>
      </c>
      <c r="E24">
        <v>24.36</v>
      </c>
      <c r="F24">
        <v>18.05</v>
      </c>
      <c r="G24">
        <f t="shared" si="3"/>
        <v>6.3099999999999987</v>
      </c>
      <c r="H24">
        <v>6.48</v>
      </c>
      <c r="I24">
        <f t="shared" si="4"/>
        <v>-0.17000000000000171</v>
      </c>
      <c r="J24">
        <f t="shared" si="5"/>
        <v>1.1250584846888108</v>
      </c>
    </row>
    <row r="25" spans="1:11" x14ac:dyDescent="0.2">
      <c r="A25" t="s">
        <v>29</v>
      </c>
      <c r="B25" t="s">
        <v>103</v>
      </c>
      <c r="C25" t="s">
        <v>118</v>
      </c>
      <c r="D25" t="s">
        <v>125</v>
      </c>
      <c r="E25">
        <v>24.33</v>
      </c>
      <c r="F25">
        <v>18.05</v>
      </c>
      <c r="G25">
        <f t="shared" si="3"/>
        <v>6.2799999999999976</v>
      </c>
      <c r="H25">
        <v>6.48</v>
      </c>
      <c r="I25">
        <f t="shared" si="4"/>
        <v>-0.20000000000000284</v>
      </c>
      <c r="J25">
        <f t="shared" si="5"/>
        <v>1.1486983549970373</v>
      </c>
      <c r="K25">
        <f t="shared" ref="K25" si="8">AVERAGE(J23:J25)</f>
        <v>1.1654657057926396</v>
      </c>
    </row>
    <row r="26" spans="1:11" x14ac:dyDescent="0.2">
      <c r="A26" t="s">
        <v>30</v>
      </c>
      <c r="B26" t="s">
        <v>102</v>
      </c>
      <c r="C26" t="s">
        <v>119</v>
      </c>
      <c r="D26" t="s">
        <v>122</v>
      </c>
      <c r="E26">
        <v>23.19</v>
      </c>
      <c r="F26">
        <v>18.34</v>
      </c>
      <c r="G26">
        <f t="shared" si="3"/>
        <v>4.8500000000000014</v>
      </c>
      <c r="H26">
        <v>5.46</v>
      </c>
      <c r="I26">
        <f t="shared" si="4"/>
        <v>-0.60999999999999854</v>
      </c>
      <c r="J26">
        <f t="shared" si="5"/>
        <v>1.5262592089605576</v>
      </c>
    </row>
    <row r="27" spans="1:11" x14ac:dyDescent="0.2">
      <c r="A27" t="s">
        <v>31</v>
      </c>
      <c r="B27" t="s">
        <v>102</v>
      </c>
      <c r="C27" t="s">
        <v>119</v>
      </c>
      <c r="D27" t="s">
        <v>122</v>
      </c>
      <c r="E27">
        <v>23.06</v>
      </c>
      <c r="F27">
        <v>18.34</v>
      </c>
      <c r="G27">
        <f t="shared" si="3"/>
        <v>4.7199999999999989</v>
      </c>
      <c r="H27">
        <v>5.46</v>
      </c>
      <c r="I27">
        <f t="shared" si="4"/>
        <v>-0.7400000000000011</v>
      </c>
      <c r="J27">
        <f t="shared" si="5"/>
        <v>1.67017583885674</v>
      </c>
    </row>
    <row r="28" spans="1:11" x14ac:dyDescent="0.2">
      <c r="A28" t="s">
        <v>32</v>
      </c>
      <c r="B28" t="s">
        <v>102</v>
      </c>
      <c r="C28" t="s">
        <v>119</v>
      </c>
      <c r="D28" t="s">
        <v>122</v>
      </c>
      <c r="E28">
        <v>22.84</v>
      </c>
      <c r="F28">
        <v>18.34</v>
      </c>
      <c r="G28">
        <f t="shared" si="3"/>
        <v>4.5</v>
      </c>
      <c r="H28">
        <v>5.46</v>
      </c>
      <c r="I28">
        <f t="shared" si="4"/>
        <v>-0.96</v>
      </c>
      <c r="J28">
        <f t="shared" si="5"/>
        <v>1.9453098948245708</v>
      </c>
      <c r="K28">
        <f t="shared" ref="K28" si="9">AVERAGE(J26:J28)</f>
        <v>1.7139149808806229</v>
      </c>
    </row>
    <row r="29" spans="1:11" x14ac:dyDescent="0.2">
      <c r="A29" t="s">
        <v>33</v>
      </c>
      <c r="B29" t="s">
        <v>102</v>
      </c>
      <c r="C29" t="s">
        <v>119</v>
      </c>
      <c r="D29" t="s">
        <v>123</v>
      </c>
      <c r="E29">
        <v>23.75</v>
      </c>
      <c r="F29">
        <v>18.309999999999999</v>
      </c>
      <c r="G29">
        <f t="shared" si="3"/>
        <v>5.4400000000000013</v>
      </c>
      <c r="H29">
        <f>AVERAGE(G29:G31)</f>
        <v>5.456666666666667</v>
      </c>
      <c r="I29">
        <f t="shared" si="4"/>
        <v>-1.6666666666665719E-2</v>
      </c>
      <c r="J29">
        <f t="shared" si="5"/>
        <v>1.0116194403019219</v>
      </c>
    </row>
    <row r="30" spans="1:11" x14ac:dyDescent="0.2">
      <c r="A30" t="s">
        <v>34</v>
      </c>
      <c r="B30" t="s">
        <v>102</v>
      </c>
      <c r="C30" t="s">
        <v>119</v>
      </c>
      <c r="D30" t="s">
        <v>123</v>
      </c>
      <c r="E30">
        <v>23.81</v>
      </c>
      <c r="F30">
        <v>18.309999999999999</v>
      </c>
      <c r="G30">
        <f t="shared" si="3"/>
        <v>5.5</v>
      </c>
      <c r="H30">
        <v>5.46</v>
      </c>
      <c r="I30">
        <f t="shared" si="4"/>
        <v>4.0000000000000036E-2</v>
      </c>
      <c r="J30">
        <f t="shared" si="5"/>
        <v>0.97265494741228553</v>
      </c>
    </row>
    <row r="31" spans="1:11" x14ac:dyDescent="0.2">
      <c r="A31" t="s">
        <v>35</v>
      </c>
      <c r="B31" t="s">
        <v>102</v>
      </c>
      <c r="C31" t="s">
        <v>119</v>
      </c>
      <c r="D31" t="s">
        <v>123</v>
      </c>
      <c r="E31">
        <v>23.74</v>
      </c>
      <c r="F31">
        <v>18.309999999999999</v>
      </c>
      <c r="G31">
        <f t="shared" si="3"/>
        <v>5.43</v>
      </c>
      <c r="H31">
        <v>5.46</v>
      </c>
      <c r="I31">
        <f t="shared" si="4"/>
        <v>-3.0000000000000249E-2</v>
      </c>
      <c r="J31">
        <f t="shared" si="5"/>
        <v>1.0210121257071934</v>
      </c>
      <c r="K31">
        <f t="shared" ref="K31" si="10">AVERAGE(J29:J31)</f>
        <v>1.001762171140467</v>
      </c>
    </row>
    <row r="32" spans="1:11" x14ac:dyDescent="0.2">
      <c r="A32" t="s">
        <v>36</v>
      </c>
      <c r="B32" t="s">
        <v>102</v>
      </c>
      <c r="C32" t="s">
        <v>119</v>
      </c>
      <c r="D32" t="s">
        <v>124</v>
      </c>
      <c r="E32">
        <v>22.56</v>
      </c>
      <c r="F32">
        <v>20.079999999999998</v>
      </c>
      <c r="G32">
        <f t="shared" si="3"/>
        <v>2.4800000000000004</v>
      </c>
      <c r="H32">
        <v>5.46</v>
      </c>
      <c r="I32">
        <f t="shared" si="4"/>
        <v>-2.9799999999999995</v>
      </c>
      <c r="J32">
        <f t="shared" si="5"/>
        <v>7.889861635946871</v>
      </c>
    </row>
    <row r="33" spans="1:11" x14ac:dyDescent="0.2">
      <c r="A33" t="s">
        <v>37</v>
      </c>
      <c r="B33" t="s">
        <v>102</v>
      </c>
      <c r="C33" t="s">
        <v>119</v>
      </c>
      <c r="D33" t="s">
        <v>124</v>
      </c>
      <c r="E33">
        <v>22.89</v>
      </c>
      <c r="F33">
        <v>20.079999999999998</v>
      </c>
      <c r="G33">
        <f t="shared" si="3"/>
        <v>2.8100000000000023</v>
      </c>
      <c r="H33">
        <v>5.46</v>
      </c>
      <c r="I33">
        <f t="shared" si="4"/>
        <v>-2.6499999999999977</v>
      </c>
      <c r="J33">
        <f t="shared" si="5"/>
        <v>6.2766727831739946</v>
      </c>
    </row>
    <row r="34" spans="1:11" x14ac:dyDescent="0.2">
      <c r="A34" t="s">
        <v>38</v>
      </c>
      <c r="B34" t="s">
        <v>102</v>
      </c>
      <c r="C34" t="s">
        <v>119</v>
      </c>
      <c r="D34" t="s">
        <v>124</v>
      </c>
      <c r="E34">
        <v>22.73</v>
      </c>
      <c r="F34">
        <v>20.079999999999998</v>
      </c>
      <c r="G34">
        <f t="shared" si="3"/>
        <v>2.6500000000000021</v>
      </c>
      <c r="H34">
        <v>5.46</v>
      </c>
      <c r="I34">
        <f t="shared" si="4"/>
        <v>-2.8099999999999978</v>
      </c>
      <c r="J34">
        <f t="shared" si="5"/>
        <v>7.0128457705282701</v>
      </c>
      <c r="K34">
        <f t="shared" ref="K34" si="11">AVERAGE(J32:J34)</f>
        <v>7.0597933965497113</v>
      </c>
    </row>
    <row r="35" spans="1:11" x14ac:dyDescent="0.2">
      <c r="A35" t="s">
        <v>39</v>
      </c>
      <c r="B35" t="s">
        <v>102</v>
      </c>
      <c r="C35" t="s">
        <v>119</v>
      </c>
      <c r="D35" t="s">
        <v>125</v>
      </c>
      <c r="E35">
        <v>22.93</v>
      </c>
      <c r="F35">
        <v>18.05</v>
      </c>
      <c r="G35">
        <f t="shared" si="3"/>
        <v>4.879999999999999</v>
      </c>
      <c r="H35">
        <v>5.46</v>
      </c>
      <c r="I35">
        <f t="shared" si="4"/>
        <v>-0.58000000000000096</v>
      </c>
      <c r="J35">
        <f t="shared" si="5"/>
        <v>1.4948492486349394</v>
      </c>
    </row>
    <row r="36" spans="1:11" x14ac:dyDescent="0.2">
      <c r="A36" t="s">
        <v>40</v>
      </c>
      <c r="B36" t="s">
        <v>102</v>
      </c>
      <c r="C36" t="s">
        <v>119</v>
      </c>
      <c r="D36" t="s">
        <v>125</v>
      </c>
      <c r="E36">
        <v>23.19</v>
      </c>
      <c r="F36">
        <v>18.05</v>
      </c>
      <c r="G36">
        <f t="shared" si="3"/>
        <v>5.1400000000000006</v>
      </c>
      <c r="H36">
        <v>5.46</v>
      </c>
      <c r="I36">
        <f t="shared" si="4"/>
        <v>-0.3199999999999994</v>
      </c>
      <c r="J36">
        <f t="shared" si="5"/>
        <v>1.2483305489016114</v>
      </c>
    </row>
    <row r="37" spans="1:11" x14ac:dyDescent="0.2">
      <c r="A37" t="s">
        <v>41</v>
      </c>
      <c r="B37" t="s">
        <v>102</v>
      </c>
      <c r="C37" t="s">
        <v>119</v>
      </c>
      <c r="D37" t="s">
        <v>125</v>
      </c>
      <c r="E37">
        <v>23.27</v>
      </c>
      <c r="F37">
        <v>18.05</v>
      </c>
      <c r="G37">
        <f t="shared" si="3"/>
        <v>5.2199999999999989</v>
      </c>
      <c r="H37">
        <v>5.46</v>
      </c>
      <c r="I37">
        <f t="shared" si="4"/>
        <v>-0.2400000000000011</v>
      </c>
      <c r="J37">
        <f t="shared" si="5"/>
        <v>1.1809926614295312</v>
      </c>
      <c r="K37">
        <f t="shared" ref="K37" si="12">AVERAGE(J35:J37)</f>
        <v>1.3080574863220276</v>
      </c>
    </row>
    <row r="38" spans="1:11" x14ac:dyDescent="0.2">
      <c r="A38" t="s">
        <v>42</v>
      </c>
      <c r="B38" t="s">
        <v>102</v>
      </c>
      <c r="C38" t="s">
        <v>120</v>
      </c>
      <c r="D38" t="s">
        <v>122</v>
      </c>
      <c r="E38">
        <v>22.1</v>
      </c>
      <c r="F38">
        <v>18.34</v>
      </c>
      <c r="G38">
        <f t="shared" si="3"/>
        <v>3.7600000000000016</v>
      </c>
      <c r="H38">
        <v>5.13</v>
      </c>
      <c r="I38">
        <f t="shared" si="4"/>
        <v>-1.3699999999999983</v>
      </c>
      <c r="J38">
        <f t="shared" si="5"/>
        <v>2.5847056612749815</v>
      </c>
    </row>
    <row r="39" spans="1:11" x14ac:dyDescent="0.2">
      <c r="A39" t="s">
        <v>43</v>
      </c>
      <c r="B39" t="s">
        <v>102</v>
      </c>
      <c r="C39" t="s">
        <v>120</v>
      </c>
      <c r="D39" t="s">
        <v>122</v>
      </c>
      <c r="E39">
        <v>22.04</v>
      </c>
      <c r="F39">
        <v>18.34</v>
      </c>
      <c r="G39">
        <f t="shared" si="3"/>
        <v>3.6999999999999993</v>
      </c>
      <c r="H39">
        <v>5.13</v>
      </c>
      <c r="I39">
        <f t="shared" si="4"/>
        <v>-1.4300000000000006</v>
      </c>
      <c r="J39">
        <f t="shared" si="5"/>
        <v>2.6944671537313813</v>
      </c>
    </row>
    <row r="40" spans="1:11" x14ac:dyDescent="0.2">
      <c r="A40" t="s">
        <v>44</v>
      </c>
      <c r="B40" t="s">
        <v>102</v>
      </c>
      <c r="C40" t="s">
        <v>120</v>
      </c>
      <c r="D40" t="s">
        <v>122</v>
      </c>
      <c r="E40">
        <v>21.83</v>
      </c>
      <c r="F40">
        <v>18.34</v>
      </c>
      <c r="G40">
        <f t="shared" si="3"/>
        <v>3.4899999999999984</v>
      </c>
      <c r="H40">
        <v>5.13</v>
      </c>
      <c r="I40">
        <f t="shared" si="4"/>
        <v>-1.6400000000000015</v>
      </c>
      <c r="J40">
        <f t="shared" si="5"/>
        <v>3.1166583186420027</v>
      </c>
      <c r="K40">
        <f t="shared" ref="K40" si="13">AVERAGE(J38:J40)</f>
        <v>2.7986103778827882</v>
      </c>
    </row>
    <row r="41" spans="1:11" x14ac:dyDescent="0.2">
      <c r="A41" t="s">
        <v>45</v>
      </c>
      <c r="B41" t="s">
        <v>102</v>
      </c>
      <c r="C41" t="s">
        <v>120</v>
      </c>
      <c r="D41" t="s">
        <v>123</v>
      </c>
      <c r="E41">
        <v>23.46</v>
      </c>
      <c r="F41">
        <v>18.309999999999999</v>
      </c>
      <c r="G41">
        <f t="shared" si="3"/>
        <v>5.1500000000000021</v>
      </c>
      <c r="H41">
        <f>AVERAGE(G41:G43)</f>
        <v>5.1300000000000017</v>
      </c>
      <c r="I41">
        <f t="shared" si="4"/>
        <v>2.0000000000000462E-2</v>
      </c>
      <c r="J41">
        <f t="shared" si="5"/>
        <v>0.98623270449335876</v>
      </c>
    </row>
    <row r="42" spans="1:11" x14ac:dyDescent="0.2">
      <c r="A42" t="s">
        <v>46</v>
      </c>
      <c r="B42" t="s">
        <v>102</v>
      </c>
      <c r="C42" t="s">
        <v>120</v>
      </c>
      <c r="D42" t="s">
        <v>123</v>
      </c>
      <c r="E42">
        <v>23.46</v>
      </c>
      <c r="F42">
        <v>18.309999999999999</v>
      </c>
      <c r="G42">
        <f t="shared" si="3"/>
        <v>5.1500000000000021</v>
      </c>
      <c r="H42">
        <v>5.13</v>
      </c>
      <c r="I42">
        <f t="shared" si="4"/>
        <v>2.0000000000002238E-2</v>
      </c>
      <c r="J42">
        <f t="shared" si="5"/>
        <v>0.98623270449335776</v>
      </c>
    </row>
    <row r="43" spans="1:11" x14ac:dyDescent="0.2">
      <c r="A43" t="s">
        <v>47</v>
      </c>
      <c r="B43" t="s">
        <v>102</v>
      </c>
      <c r="C43" t="s">
        <v>120</v>
      </c>
      <c r="D43" t="s">
        <v>123</v>
      </c>
      <c r="E43">
        <v>23.4</v>
      </c>
      <c r="F43">
        <v>18.309999999999999</v>
      </c>
      <c r="G43">
        <f t="shared" si="3"/>
        <v>5.09</v>
      </c>
      <c r="H43">
        <v>5.13</v>
      </c>
      <c r="I43">
        <f t="shared" si="4"/>
        <v>-4.0000000000000036E-2</v>
      </c>
      <c r="J43">
        <f t="shared" si="5"/>
        <v>1.0281138266560665</v>
      </c>
      <c r="K43">
        <f t="shared" ref="K43" si="14">AVERAGE(J41:J43)</f>
        <v>1.0001930785475943</v>
      </c>
    </row>
    <row r="44" spans="1:11" x14ac:dyDescent="0.2">
      <c r="A44" t="s">
        <v>48</v>
      </c>
      <c r="B44" t="s">
        <v>102</v>
      </c>
      <c r="C44" t="s">
        <v>120</v>
      </c>
      <c r="D44" t="s">
        <v>124</v>
      </c>
      <c r="E44">
        <v>21.81</v>
      </c>
      <c r="F44">
        <v>20.079999999999998</v>
      </c>
      <c r="G44">
        <f t="shared" si="3"/>
        <v>1.7300000000000004</v>
      </c>
      <c r="H44">
        <v>5.13</v>
      </c>
      <c r="I44">
        <f t="shared" si="4"/>
        <v>-3.3999999999999995</v>
      </c>
      <c r="J44">
        <f t="shared" si="5"/>
        <v>10.556063286183148</v>
      </c>
    </row>
    <row r="45" spans="1:11" x14ac:dyDescent="0.2">
      <c r="A45" t="s">
        <v>49</v>
      </c>
      <c r="B45" t="s">
        <v>102</v>
      </c>
      <c r="C45" t="s">
        <v>120</v>
      </c>
      <c r="D45" t="s">
        <v>124</v>
      </c>
      <c r="E45">
        <v>21.63</v>
      </c>
      <c r="F45">
        <v>20.079999999999998</v>
      </c>
      <c r="G45">
        <f t="shared" si="3"/>
        <v>1.5500000000000007</v>
      </c>
      <c r="H45">
        <v>5.13</v>
      </c>
      <c r="I45">
        <f t="shared" si="4"/>
        <v>-3.5799999999999992</v>
      </c>
      <c r="J45">
        <f t="shared" si="5"/>
        <v>11.958793989079499</v>
      </c>
    </row>
    <row r="46" spans="1:11" x14ac:dyDescent="0.2">
      <c r="A46" t="s">
        <v>50</v>
      </c>
      <c r="B46" t="s">
        <v>102</v>
      </c>
      <c r="C46" t="s">
        <v>120</v>
      </c>
      <c r="D46" t="s">
        <v>124</v>
      </c>
      <c r="E46">
        <v>21.73</v>
      </c>
      <c r="F46">
        <v>20.079999999999998</v>
      </c>
      <c r="G46">
        <f t="shared" si="3"/>
        <v>1.6500000000000021</v>
      </c>
      <c r="H46">
        <v>5.13</v>
      </c>
      <c r="I46">
        <f t="shared" si="4"/>
        <v>-3.4799999999999978</v>
      </c>
      <c r="J46">
        <f t="shared" si="5"/>
        <v>11.157949330803225</v>
      </c>
      <c r="K46">
        <f t="shared" ref="K46" si="15">AVERAGE(J44:J46)</f>
        <v>11.224268868688625</v>
      </c>
    </row>
    <row r="47" spans="1:11" x14ac:dyDescent="0.2">
      <c r="A47" t="s">
        <v>51</v>
      </c>
      <c r="B47" t="s">
        <v>102</v>
      </c>
      <c r="C47" t="s">
        <v>120</v>
      </c>
      <c r="D47" t="s">
        <v>125</v>
      </c>
      <c r="E47">
        <v>22.76</v>
      </c>
      <c r="F47">
        <v>18.05</v>
      </c>
      <c r="G47">
        <f t="shared" si="3"/>
        <v>4.7100000000000009</v>
      </c>
      <c r="H47">
        <v>5.13</v>
      </c>
      <c r="I47">
        <f t="shared" si="4"/>
        <v>-0.41999999999999904</v>
      </c>
      <c r="J47">
        <f t="shared" si="5"/>
        <v>1.3379275547861111</v>
      </c>
    </row>
    <row r="48" spans="1:11" x14ac:dyDescent="0.2">
      <c r="A48" t="s">
        <v>52</v>
      </c>
      <c r="B48" t="s">
        <v>102</v>
      </c>
      <c r="C48" t="s">
        <v>120</v>
      </c>
      <c r="D48" t="s">
        <v>125</v>
      </c>
      <c r="E48">
        <v>22.74</v>
      </c>
      <c r="F48">
        <v>18.05</v>
      </c>
      <c r="G48">
        <f t="shared" si="3"/>
        <v>4.6899999999999977</v>
      </c>
      <c r="H48">
        <v>5.13</v>
      </c>
      <c r="I48">
        <f t="shared" si="4"/>
        <v>-0.44000000000000217</v>
      </c>
      <c r="J48">
        <f t="shared" si="5"/>
        <v>1.356604327447674</v>
      </c>
    </row>
    <row r="49" spans="1:11" x14ac:dyDescent="0.2">
      <c r="A49" t="s">
        <v>53</v>
      </c>
      <c r="B49" t="s">
        <v>102</v>
      </c>
      <c r="C49" t="s">
        <v>120</v>
      </c>
      <c r="D49" t="s">
        <v>125</v>
      </c>
      <c r="E49">
        <v>23.14</v>
      </c>
      <c r="F49">
        <v>18.05</v>
      </c>
      <c r="G49">
        <f t="shared" si="3"/>
        <v>5.09</v>
      </c>
      <c r="H49">
        <v>5.13</v>
      </c>
      <c r="I49">
        <f t="shared" si="4"/>
        <v>-4.0000000000000036E-2</v>
      </c>
      <c r="J49">
        <f t="shared" si="5"/>
        <v>1.0281138266560665</v>
      </c>
      <c r="K49">
        <f t="shared" ref="K49" si="16">AVERAGE(J47:J49)</f>
        <v>1.2408819029632838</v>
      </c>
    </row>
    <row r="50" spans="1:11" x14ac:dyDescent="0.2">
      <c r="A50" t="s">
        <v>54</v>
      </c>
      <c r="B50" t="s">
        <v>103</v>
      </c>
      <c r="C50" t="s">
        <v>121</v>
      </c>
      <c r="D50" t="s">
        <v>122</v>
      </c>
      <c r="E50">
        <v>24.32</v>
      </c>
      <c r="F50">
        <v>18.34</v>
      </c>
      <c r="G50">
        <f t="shared" si="3"/>
        <v>5.98</v>
      </c>
      <c r="H50">
        <v>6.68</v>
      </c>
      <c r="I50">
        <f t="shared" si="4"/>
        <v>-0.69999999999999929</v>
      </c>
      <c r="J50">
        <f t="shared" si="5"/>
        <v>1.6245047927124703</v>
      </c>
    </row>
    <row r="51" spans="1:11" x14ac:dyDescent="0.2">
      <c r="A51" t="s">
        <v>55</v>
      </c>
      <c r="B51" t="s">
        <v>103</v>
      </c>
      <c r="C51" t="s">
        <v>121</v>
      </c>
      <c r="D51" t="s">
        <v>122</v>
      </c>
      <c r="E51">
        <v>24.18</v>
      </c>
      <c r="F51">
        <v>18.34</v>
      </c>
      <c r="G51">
        <f t="shared" si="3"/>
        <v>5.84</v>
      </c>
      <c r="H51">
        <v>6.68</v>
      </c>
      <c r="I51">
        <f t="shared" si="4"/>
        <v>-0.83999999999999986</v>
      </c>
      <c r="J51">
        <f t="shared" si="5"/>
        <v>1.7900501418559447</v>
      </c>
    </row>
    <row r="52" spans="1:11" x14ac:dyDescent="0.2">
      <c r="A52" t="s">
        <v>56</v>
      </c>
      <c r="B52" t="s">
        <v>103</v>
      </c>
      <c r="C52" t="s">
        <v>121</v>
      </c>
      <c r="D52" t="s">
        <v>122</v>
      </c>
      <c r="E52">
        <v>24.13</v>
      </c>
      <c r="F52">
        <v>18.34</v>
      </c>
      <c r="G52">
        <f t="shared" si="3"/>
        <v>5.7899999999999991</v>
      </c>
      <c r="H52">
        <v>6.68</v>
      </c>
      <c r="I52">
        <f t="shared" si="4"/>
        <v>-0.89000000000000057</v>
      </c>
      <c r="J52">
        <f t="shared" si="5"/>
        <v>1.8531761237807425</v>
      </c>
      <c r="K52">
        <f t="shared" ref="K52" si="17">AVERAGE(J50:J52)</f>
        <v>1.7559103527830526</v>
      </c>
    </row>
    <row r="53" spans="1:11" x14ac:dyDescent="0.2">
      <c r="A53" t="s">
        <v>57</v>
      </c>
      <c r="B53" t="s">
        <v>103</v>
      </c>
      <c r="C53" t="s">
        <v>121</v>
      </c>
      <c r="D53" t="s">
        <v>123</v>
      </c>
      <c r="E53">
        <v>24.93</v>
      </c>
      <c r="F53">
        <v>18.309999999999999</v>
      </c>
      <c r="G53">
        <f t="shared" si="3"/>
        <v>6.620000000000001</v>
      </c>
      <c r="H53">
        <f>AVERAGE(G53:G55)</f>
        <v>6.6800000000000024</v>
      </c>
      <c r="I53">
        <f t="shared" si="4"/>
        <v>-6.0000000000001386E-2</v>
      </c>
      <c r="J53">
        <f t="shared" si="5"/>
        <v>1.0424657608411223</v>
      </c>
    </row>
    <row r="54" spans="1:11" x14ac:dyDescent="0.2">
      <c r="A54" t="s">
        <v>58</v>
      </c>
      <c r="B54" t="s">
        <v>103</v>
      </c>
      <c r="C54" t="s">
        <v>121</v>
      </c>
      <c r="D54" t="s">
        <v>123</v>
      </c>
      <c r="E54">
        <v>24.94</v>
      </c>
      <c r="F54">
        <v>18.309999999999999</v>
      </c>
      <c r="G54">
        <f t="shared" si="3"/>
        <v>6.6300000000000026</v>
      </c>
      <c r="H54">
        <v>6.68</v>
      </c>
      <c r="I54">
        <f t="shared" si="4"/>
        <v>-4.9999999999997158E-2</v>
      </c>
      <c r="J54">
        <f t="shared" si="5"/>
        <v>1.0352649238413754</v>
      </c>
    </row>
    <row r="55" spans="1:11" x14ac:dyDescent="0.2">
      <c r="A55" t="s">
        <v>59</v>
      </c>
      <c r="B55" t="s">
        <v>103</v>
      </c>
      <c r="C55" t="s">
        <v>121</v>
      </c>
      <c r="D55" t="s">
        <v>123</v>
      </c>
      <c r="E55">
        <v>25.1</v>
      </c>
      <c r="F55">
        <v>18.309999999999999</v>
      </c>
      <c r="G55">
        <f t="shared" si="3"/>
        <v>6.7900000000000027</v>
      </c>
      <c r="H55">
        <v>6.68</v>
      </c>
      <c r="I55">
        <f t="shared" si="4"/>
        <v>0.11000000000000298</v>
      </c>
      <c r="J55">
        <f t="shared" si="5"/>
        <v>0.92658806189036891</v>
      </c>
      <c r="K55">
        <f t="shared" ref="K55" si="18">AVERAGE(J53:J55)</f>
        <v>1.0014395821909556</v>
      </c>
    </row>
    <row r="56" spans="1:11" x14ac:dyDescent="0.2">
      <c r="A56" t="s">
        <v>60</v>
      </c>
      <c r="B56" t="s">
        <v>103</v>
      </c>
      <c r="C56" t="s">
        <v>121</v>
      </c>
      <c r="D56" t="s">
        <v>124</v>
      </c>
      <c r="E56">
        <v>23.94</v>
      </c>
      <c r="F56">
        <v>20.079999999999998</v>
      </c>
      <c r="G56">
        <f t="shared" si="3"/>
        <v>3.860000000000003</v>
      </c>
      <c r="H56">
        <v>6.68</v>
      </c>
      <c r="I56">
        <f t="shared" si="4"/>
        <v>-2.8199999999999967</v>
      </c>
      <c r="J56">
        <f t="shared" si="5"/>
        <v>7.0616239703252228</v>
      </c>
    </row>
    <row r="57" spans="1:11" x14ac:dyDescent="0.2">
      <c r="A57" t="s">
        <v>61</v>
      </c>
      <c r="B57" t="s">
        <v>103</v>
      </c>
      <c r="C57" t="s">
        <v>121</v>
      </c>
      <c r="D57" t="s">
        <v>124</v>
      </c>
      <c r="E57">
        <v>23.85</v>
      </c>
      <c r="F57">
        <v>20.079999999999998</v>
      </c>
      <c r="G57">
        <f t="shared" si="3"/>
        <v>3.7700000000000031</v>
      </c>
      <c r="H57">
        <v>6.68</v>
      </c>
      <c r="I57">
        <f t="shared" si="4"/>
        <v>-2.9099999999999966</v>
      </c>
      <c r="J57">
        <f t="shared" si="5"/>
        <v>7.5161819937120748</v>
      </c>
    </row>
    <row r="58" spans="1:11" x14ac:dyDescent="0.2">
      <c r="A58" t="s">
        <v>62</v>
      </c>
      <c r="B58" t="s">
        <v>103</v>
      </c>
      <c r="C58" t="s">
        <v>121</v>
      </c>
      <c r="D58" t="s">
        <v>124</v>
      </c>
      <c r="E58">
        <v>23.8</v>
      </c>
      <c r="F58">
        <v>20.079999999999998</v>
      </c>
      <c r="G58">
        <f t="shared" si="3"/>
        <v>3.7200000000000024</v>
      </c>
      <c r="H58">
        <v>6.68</v>
      </c>
      <c r="I58">
        <f t="shared" si="4"/>
        <v>-2.9599999999999973</v>
      </c>
      <c r="J58">
        <f t="shared" si="5"/>
        <v>7.7812395792982674</v>
      </c>
      <c r="K58">
        <f t="shared" ref="K58" si="19">AVERAGE(J56:J58)</f>
        <v>7.453015181111855</v>
      </c>
    </row>
    <row r="59" spans="1:11" x14ac:dyDescent="0.2">
      <c r="A59" t="s">
        <v>63</v>
      </c>
      <c r="B59" t="s">
        <v>103</v>
      </c>
      <c r="C59" t="s">
        <v>121</v>
      </c>
      <c r="D59" t="s">
        <v>125</v>
      </c>
      <c r="E59">
        <v>23.84</v>
      </c>
      <c r="F59">
        <v>18.05</v>
      </c>
      <c r="G59">
        <f t="shared" si="3"/>
        <v>5.7899999999999991</v>
      </c>
      <c r="H59">
        <v>6.68</v>
      </c>
      <c r="I59">
        <f t="shared" si="4"/>
        <v>-0.89000000000000057</v>
      </c>
      <c r="J59">
        <f t="shared" si="5"/>
        <v>1.8531761237807425</v>
      </c>
    </row>
    <row r="60" spans="1:11" x14ac:dyDescent="0.2">
      <c r="A60" t="s">
        <v>64</v>
      </c>
      <c r="B60" t="s">
        <v>103</v>
      </c>
      <c r="C60" t="s">
        <v>121</v>
      </c>
      <c r="D60" t="s">
        <v>125</v>
      </c>
      <c r="E60">
        <v>23.94</v>
      </c>
      <c r="F60">
        <v>18.05</v>
      </c>
      <c r="G60">
        <f t="shared" si="3"/>
        <v>5.8900000000000006</v>
      </c>
      <c r="H60">
        <v>6.68</v>
      </c>
      <c r="I60">
        <f t="shared" si="4"/>
        <v>-0.78999999999999915</v>
      </c>
      <c r="J60">
        <f t="shared" si="5"/>
        <v>1.7290744626157293</v>
      </c>
    </row>
    <row r="61" spans="1:11" x14ac:dyDescent="0.2">
      <c r="A61" t="s">
        <v>65</v>
      </c>
      <c r="B61" t="s">
        <v>103</v>
      </c>
      <c r="C61" t="s">
        <v>121</v>
      </c>
      <c r="D61" t="s">
        <v>125</v>
      </c>
      <c r="E61">
        <v>24.04</v>
      </c>
      <c r="F61">
        <v>18.05</v>
      </c>
      <c r="G61">
        <f t="shared" si="3"/>
        <v>5.9899999999999984</v>
      </c>
      <c r="H61">
        <v>6.68</v>
      </c>
      <c r="I61">
        <f t="shared" si="4"/>
        <v>-0.69000000000000128</v>
      </c>
      <c r="J61">
        <f t="shared" si="5"/>
        <v>1.613283518444254</v>
      </c>
      <c r="K61">
        <f t="shared" ref="K61" si="20">AVERAGE(J59:J61)</f>
        <v>1.7318447016135752</v>
      </c>
    </row>
    <row r="62" spans="1:11" x14ac:dyDescent="0.2">
      <c r="A62" t="s">
        <v>5</v>
      </c>
      <c r="B62" t="s">
        <v>102</v>
      </c>
      <c r="C62" t="s">
        <v>132</v>
      </c>
      <c r="D62" t="s">
        <v>122</v>
      </c>
      <c r="E62" t="s">
        <v>6</v>
      </c>
      <c r="F62">
        <v>18.34</v>
      </c>
    </row>
    <row r="63" spans="1:11" x14ac:dyDescent="0.2">
      <c r="A63" t="s">
        <v>7</v>
      </c>
      <c r="B63" t="s">
        <v>102</v>
      </c>
      <c r="C63" t="s">
        <v>132</v>
      </c>
      <c r="D63" t="s">
        <v>122</v>
      </c>
      <c r="E63">
        <v>23.13</v>
      </c>
      <c r="F63">
        <v>18.34</v>
      </c>
      <c r="G63">
        <f>E63-F63</f>
        <v>4.7899999999999991</v>
      </c>
      <c r="H63">
        <v>6.03</v>
      </c>
      <c r="I63">
        <f>G63-H63</f>
        <v>-1.2400000000000011</v>
      </c>
      <c r="J63">
        <f t="shared" si="5"/>
        <v>2.3619853228590624</v>
      </c>
    </row>
    <row r="64" spans="1:11" x14ac:dyDescent="0.2">
      <c r="A64" t="s">
        <v>8</v>
      </c>
      <c r="B64" t="s">
        <v>102</v>
      </c>
      <c r="C64" t="s">
        <v>132</v>
      </c>
      <c r="D64" t="s">
        <v>122</v>
      </c>
      <c r="E64">
        <v>23.11</v>
      </c>
      <c r="F64">
        <v>18.34</v>
      </c>
      <c r="G64">
        <f t="shared" ref="G64:G85" si="21">E64-F64</f>
        <v>4.7699999999999996</v>
      </c>
      <c r="H64">
        <v>6.03</v>
      </c>
      <c r="I64">
        <f t="shared" ref="I64:I85" si="22">G64-H64</f>
        <v>-1.2600000000000007</v>
      </c>
      <c r="J64">
        <f t="shared" si="5"/>
        <v>2.3949574092378585</v>
      </c>
      <c r="K64">
        <f>AVERAGE(J62:J64)</f>
        <v>2.3784713660484602</v>
      </c>
    </row>
    <row r="65" spans="1:11" x14ac:dyDescent="0.2">
      <c r="A65" t="s">
        <v>9</v>
      </c>
      <c r="B65" t="s">
        <v>102</v>
      </c>
      <c r="C65" t="s">
        <v>132</v>
      </c>
      <c r="D65" t="s">
        <v>123</v>
      </c>
      <c r="E65">
        <v>24.27</v>
      </c>
      <c r="F65">
        <v>18.309999999999999</v>
      </c>
      <c r="G65">
        <f t="shared" si="21"/>
        <v>5.9600000000000009</v>
      </c>
      <c r="H65">
        <f>AVERAGE(G65:G67)</f>
        <v>6.0333333333333341</v>
      </c>
      <c r="I65">
        <f t="shared" si="22"/>
        <v>-7.333333333333325E-2</v>
      </c>
      <c r="J65">
        <f t="shared" si="5"/>
        <v>1.0521448482007163</v>
      </c>
    </row>
    <row r="66" spans="1:11" x14ac:dyDescent="0.2">
      <c r="A66" t="s">
        <v>10</v>
      </c>
      <c r="B66" t="s">
        <v>102</v>
      </c>
      <c r="C66" t="s">
        <v>132</v>
      </c>
      <c r="D66" t="s">
        <v>123</v>
      </c>
      <c r="E66">
        <v>24.4</v>
      </c>
      <c r="F66">
        <v>18.309999999999999</v>
      </c>
      <c r="G66">
        <f t="shared" si="21"/>
        <v>6.09</v>
      </c>
      <c r="H66">
        <v>6.03</v>
      </c>
      <c r="I66">
        <f t="shared" si="22"/>
        <v>5.9999999999999609E-2</v>
      </c>
      <c r="J66">
        <f t="shared" si="5"/>
        <v>0.95926411932526456</v>
      </c>
    </row>
    <row r="67" spans="1:11" x14ac:dyDescent="0.2">
      <c r="A67" t="s">
        <v>11</v>
      </c>
      <c r="B67" t="s">
        <v>102</v>
      </c>
      <c r="C67" t="s">
        <v>132</v>
      </c>
      <c r="D67" t="s">
        <v>123</v>
      </c>
      <c r="E67">
        <v>24.36</v>
      </c>
      <c r="F67">
        <v>18.309999999999999</v>
      </c>
      <c r="G67">
        <f t="shared" si="21"/>
        <v>6.0500000000000007</v>
      </c>
      <c r="H67">
        <v>6.03</v>
      </c>
      <c r="I67">
        <f t="shared" si="22"/>
        <v>2.0000000000000462E-2</v>
      </c>
      <c r="J67">
        <f t="shared" si="5"/>
        <v>0.98623270449335876</v>
      </c>
      <c r="K67">
        <f t="shared" ref="K67" si="23">AVERAGE(J65:J67)</f>
        <v>0.99921389067311317</v>
      </c>
    </row>
    <row r="68" spans="1:11" x14ac:dyDescent="0.2">
      <c r="A68" t="s">
        <v>12</v>
      </c>
      <c r="B68" t="s">
        <v>102</v>
      </c>
      <c r="C68" t="s">
        <v>132</v>
      </c>
      <c r="D68" t="s">
        <v>124</v>
      </c>
      <c r="E68">
        <v>22.76</v>
      </c>
      <c r="F68">
        <v>20.079999999999998</v>
      </c>
      <c r="G68">
        <f t="shared" si="21"/>
        <v>2.6800000000000033</v>
      </c>
      <c r="H68">
        <v>6.03</v>
      </c>
      <c r="I68">
        <f t="shared" si="22"/>
        <v>-3.349999999999997</v>
      </c>
      <c r="J68">
        <f t="shared" si="5"/>
        <v>10.196485018554073</v>
      </c>
    </row>
    <row r="69" spans="1:11" x14ac:dyDescent="0.2">
      <c r="A69" t="s">
        <v>13</v>
      </c>
      <c r="B69" t="s">
        <v>102</v>
      </c>
      <c r="C69" t="s">
        <v>132</v>
      </c>
      <c r="D69" t="s">
        <v>124</v>
      </c>
      <c r="E69">
        <v>23.19</v>
      </c>
      <c r="F69">
        <v>20.079999999999998</v>
      </c>
      <c r="G69">
        <f t="shared" si="21"/>
        <v>3.110000000000003</v>
      </c>
      <c r="H69">
        <v>6.03</v>
      </c>
      <c r="I69">
        <f t="shared" si="22"/>
        <v>-2.9199999999999973</v>
      </c>
      <c r="J69">
        <f t="shared" si="5"/>
        <v>7.5684611738047529</v>
      </c>
    </row>
    <row r="70" spans="1:11" x14ac:dyDescent="0.2">
      <c r="A70" t="s">
        <v>14</v>
      </c>
      <c r="B70" t="s">
        <v>102</v>
      </c>
      <c r="C70" t="s">
        <v>132</v>
      </c>
      <c r="D70" t="s">
        <v>124</v>
      </c>
      <c r="E70">
        <v>22.83</v>
      </c>
      <c r="F70">
        <v>20.079999999999998</v>
      </c>
      <c r="G70">
        <f t="shared" si="21"/>
        <v>2.75</v>
      </c>
      <c r="H70">
        <v>6.03</v>
      </c>
      <c r="I70">
        <f t="shared" si="22"/>
        <v>-3.2800000000000002</v>
      </c>
      <c r="J70">
        <f t="shared" si="5"/>
        <v>9.7135590751603775</v>
      </c>
      <c r="K70">
        <f t="shared" ref="K70" si="24">AVERAGE(J68:J70)</f>
        <v>9.1595017558397345</v>
      </c>
    </row>
    <row r="71" spans="1:11" x14ac:dyDescent="0.2">
      <c r="A71" t="s">
        <v>15</v>
      </c>
      <c r="B71" t="s">
        <v>102</v>
      </c>
      <c r="C71" t="s">
        <v>132</v>
      </c>
      <c r="D71" t="s">
        <v>125</v>
      </c>
      <c r="E71">
        <v>22.68</v>
      </c>
      <c r="F71">
        <v>18.05</v>
      </c>
      <c r="G71">
        <f t="shared" si="21"/>
        <v>4.629999999999999</v>
      </c>
      <c r="H71">
        <v>6.03</v>
      </c>
      <c r="I71">
        <f t="shared" si="22"/>
        <v>-1.4000000000000012</v>
      </c>
      <c r="J71">
        <f t="shared" si="5"/>
        <v>2.6390158215457906</v>
      </c>
    </row>
    <row r="72" spans="1:11" x14ac:dyDescent="0.2">
      <c r="A72" t="s">
        <v>16</v>
      </c>
      <c r="B72" t="s">
        <v>102</v>
      </c>
      <c r="C72" t="s">
        <v>132</v>
      </c>
      <c r="D72" t="s">
        <v>125</v>
      </c>
      <c r="E72">
        <v>22.46</v>
      </c>
      <c r="F72">
        <v>18.05</v>
      </c>
      <c r="G72">
        <f t="shared" si="21"/>
        <v>4.41</v>
      </c>
      <c r="H72">
        <v>6.03</v>
      </c>
      <c r="I72">
        <f t="shared" si="22"/>
        <v>-1.62</v>
      </c>
      <c r="J72">
        <f t="shared" si="5"/>
        <v>3.0737503625760247</v>
      </c>
    </row>
    <row r="73" spans="1:11" x14ac:dyDescent="0.2">
      <c r="A73" t="s">
        <v>17</v>
      </c>
      <c r="B73" t="s">
        <v>102</v>
      </c>
      <c r="C73" t="s">
        <v>132</v>
      </c>
      <c r="D73" t="s">
        <v>125</v>
      </c>
      <c r="E73">
        <v>22.57</v>
      </c>
      <c r="F73">
        <v>18.05</v>
      </c>
      <c r="G73">
        <f t="shared" si="21"/>
        <v>4.5199999999999996</v>
      </c>
      <c r="H73">
        <v>6.03</v>
      </c>
      <c r="I73">
        <f t="shared" si="22"/>
        <v>-1.5100000000000007</v>
      </c>
      <c r="J73">
        <f t="shared" si="5"/>
        <v>2.8481003911941447</v>
      </c>
      <c r="K73">
        <f t="shared" ref="K73" si="25">AVERAGE(J71:J73)</f>
        <v>2.8536221917719864</v>
      </c>
    </row>
    <row r="74" spans="1:11" x14ac:dyDescent="0.2">
      <c r="A74" t="s">
        <v>30</v>
      </c>
      <c r="B74" t="s">
        <v>102</v>
      </c>
      <c r="C74" t="s">
        <v>133</v>
      </c>
      <c r="D74" t="s">
        <v>122</v>
      </c>
      <c r="E74">
        <v>26.54</v>
      </c>
      <c r="F74">
        <v>18.34</v>
      </c>
      <c r="G74">
        <f t="shared" si="21"/>
        <v>8.1999999999999993</v>
      </c>
      <c r="H74">
        <v>8.5500000000000007</v>
      </c>
      <c r="I74">
        <f t="shared" si="22"/>
        <v>-0.35000000000000142</v>
      </c>
      <c r="J74">
        <f t="shared" si="5"/>
        <v>1.2745606273192633</v>
      </c>
    </row>
    <row r="75" spans="1:11" x14ac:dyDescent="0.2">
      <c r="A75" t="s">
        <v>31</v>
      </c>
      <c r="B75" t="s">
        <v>102</v>
      </c>
      <c r="C75" t="s">
        <v>133</v>
      </c>
      <c r="D75" t="s">
        <v>122</v>
      </c>
      <c r="E75">
        <v>26.14</v>
      </c>
      <c r="F75">
        <v>18.34</v>
      </c>
      <c r="G75">
        <f t="shared" si="21"/>
        <v>7.8000000000000007</v>
      </c>
      <c r="H75">
        <v>8.5500000000000007</v>
      </c>
      <c r="I75">
        <f t="shared" si="22"/>
        <v>-0.75</v>
      </c>
      <c r="J75">
        <f t="shared" si="5"/>
        <v>1.681792830507429</v>
      </c>
    </row>
    <row r="76" spans="1:11" x14ac:dyDescent="0.2">
      <c r="A76" t="s">
        <v>32</v>
      </c>
      <c r="B76" t="s">
        <v>102</v>
      </c>
      <c r="C76" t="s">
        <v>133</v>
      </c>
      <c r="D76" t="s">
        <v>122</v>
      </c>
      <c r="E76">
        <v>26.21</v>
      </c>
      <c r="F76">
        <v>18.34</v>
      </c>
      <c r="G76">
        <f t="shared" si="21"/>
        <v>7.870000000000001</v>
      </c>
      <c r="H76">
        <v>8.5500000000000007</v>
      </c>
      <c r="I76">
        <f t="shared" si="22"/>
        <v>-0.67999999999999972</v>
      </c>
      <c r="J76">
        <f t="shared" si="5"/>
        <v>1.6021397551792438</v>
      </c>
      <c r="K76">
        <f t="shared" ref="K76" si="26">AVERAGE(J74:J76)</f>
        <v>1.5194977376686454</v>
      </c>
    </row>
    <row r="77" spans="1:11" x14ac:dyDescent="0.2">
      <c r="A77" t="s">
        <v>33</v>
      </c>
      <c r="B77" t="s">
        <v>102</v>
      </c>
      <c r="C77" t="s">
        <v>133</v>
      </c>
      <c r="D77" t="s">
        <v>123</v>
      </c>
      <c r="E77">
        <v>26.99</v>
      </c>
      <c r="F77">
        <v>18.309999999999999</v>
      </c>
      <c r="G77">
        <f t="shared" si="21"/>
        <v>8.68</v>
      </c>
      <c r="H77">
        <f>AVERAGE(G77:G79)</f>
        <v>8.5533333333333346</v>
      </c>
      <c r="I77">
        <f t="shared" si="22"/>
        <v>0.12666666666666515</v>
      </c>
      <c r="J77">
        <f t="shared" si="5"/>
        <v>0.91594529027024962</v>
      </c>
    </row>
    <row r="78" spans="1:11" x14ac:dyDescent="0.2">
      <c r="A78" t="s">
        <v>34</v>
      </c>
      <c r="B78" t="s">
        <v>102</v>
      </c>
      <c r="C78" t="s">
        <v>133</v>
      </c>
      <c r="D78" t="s">
        <v>123</v>
      </c>
      <c r="E78">
        <v>26.85</v>
      </c>
      <c r="F78">
        <v>18.309999999999999</v>
      </c>
      <c r="G78">
        <f t="shared" si="21"/>
        <v>8.5400000000000027</v>
      </c>
      <c r="H78">
        <v>8.5500000000000007</v>
      </c>
      <c r="I78">
        <f t="shared" si="22"/>
        <v>-9.9999999999980105E-3</v>
      </c>
      <c r="J78">
        <f t="shared" si="5"/>
        <v>1.0069555500567173</v>
      </c>
    </row>
    <row r="79" spans="1:11" x14ac:dyDescent="0.2">
      <c r="A79" t="s">
        <v>35</v>
      </c>
      <c r="B79" t="s">
        <v>102</v>
      </c>
      <c r="C79" t="s">
        <v>133</v>
      </c>
      <c r="D79" t="s">
        <v>123</v>
      </c>
      <c r="E79">
        <v>26.75</v>
      </c>
      <c r="F79">
        <v>18.309999999999999</v>
      </c>
      <c r="G79">
        <f t="shared" si="21"/>
        <v>8.4400000000000013</v>
      </c>
      <c r="H79">
        <v>8.5500000000000007</v>
      </c>
      <c r="I79">
        <f t="shared" si="22"/>
        <v>-0.10999999999999943</v>
      </c>
      <c r="J79">
        <f t="shared" ref="J79:J85" si="27">POWER(2,-I79)</f>
        <v>1.0792282365044268</v>
      </c>
      <c r="K79">
        <f t="shared" ref="K79" si="28">AVERAGE(J77:J79)</f>
        <v>1.0007096922771312</v>
      </c>
    </row>
    <row r="80" spans="1:11" x14ac:dyDescent="0.2">
      <c r="A80" t="s">
        <v>36</v>
      </c>
      <c r="B80" t="s">
        <v>102</v>
      </c>
      <c r="C80" t="s">
        <v>133</v>
      </c>
      <c r="D80" t="s">
        <v>124</v>
      </c>
      <c r="E80">
        <v>25.78</v>
      </c>
      <c r="F80">
        <v>20.079999999999998</v>
      </c>
      <c r="G80">
        <f t="shared" si="21"/>
        <v>5.7000000000000028</v>
      </c>
      <c r="H80">
        <v>8.5500000000000007</v>
      </c>
      <c r="I80">
        <f t="shared" si="22"/>
        <v>-2.8499999999999979</v>
      </c>
      <c r="J80">
        <f t="shared" si="27"/>
        <v>7.2100037008866309</v>
      </c>
    </row>
    <row r="81" spans="1:11" x14ac:dyDescent="0.2">
      <c r="A81" t="s">
        <v>37</v>
      </c>
      <c r="B81" t="s">
        <v>102</v>
      </c>
      <c r="C81" t="s">
        <v>133</v>
      </c>
      <c r="D81" t="s">
        <v>124</v>
      </c>
      <c r="E81">
        <v>25.83</v>
      </c>
      <c r="F81">
        <v>20.079999999999998</v>
      </c>
      <c r="G81">
        <f t="shared" si="21"/>
        <v>5.75</v>
      </c>
      <c r="H81">
        <v>8.5500000000000007</v>
      </c>
      <c r="I81">
        <f t="shared" si="22"/>
        <v>-2.8000000000000007</v>
      </c>
      <c r="J81">
        <f t="shared" si="27"/>
        <v>6.9644045063689966</v>
      </c>
    </row>
    <row r="82" spans="1:11" x14ac:dyDescent="0.2">
      <c r="A82" t="s">
        <v>38</v>
      </c>
      <c r="B82" t="s">
        <v>102</v>
      </c>
      <c r="C82" t="s">
        <v>133</v>
      </c>
      <c r="D82" t="s">
        <v>124</v>
      </c>
      <c r="E82">
        <v>26.17</v>
      </c>
      <c r="F82">
        <v>20.079999999999998</v>
      </c>
      <c r="G82">
        <f t="shared" si="21"/>
        <v>6.0900000000000034</v>
      </c>
      <c r="H82">
        <v>8.5500000000000007</v>
      </c>
      <c r="I82">
        <f t="shared" si="22"/>
        <v>-2.4599999999999973</v>
      </c>
      <c r="J82">
        <f t="shared" si="27"/>
        <v>5.5021672725589639</v>
      </c>
      <c r="K82">
        <f t="shared" ref="K82" si="29">AVERAGE(J80:J82)</f>
        <v>6.5588584932715301</v>
      </c>
    </row>
    <row r="83" spans="1:11" x14ac:dyDescent="0.2">
      <c r="A83" t="s">
        <v>39</v>
      </c>
      <c r="B83" t="s">
        <v>102</v>
      </c>
      <c r="C83" t="s">
        <v>133</v>
      </c>
      <c r="D83" t="s">
        <v>125</v>
      </c>
      <c r="E83">
        <v>25.34</v>
      </c>
      <c r="F83">
        <v>18.05</v>
      </c>
      <c r="G83">
        <f t="shared" si="21"/>
        <v>7.2899999999999991</v>
      </c>
      <c r="H83">
        <v>8.5500000000000007</v>
      </c>
      <c r="I83">
        <f t="shared" si="22"/>
        <v>-1.2600000000000016</v>
      </c>
      <c r="J83">
        <f t="shared" si="27"/>
        <v>2.3949574092378598</v>
      </c>
    </row>
    <row r="84" spans="1:11" x14ac:dyDescent="0.2">
      <c r="A84" t="s">
        <v>40</v>
      </c>
      <c r="B84" t="s">
        <v>102</v>
      </c>
      <c r="C84" t="s">
        <v>133</v>
      </c>
      <c r="D84" t="s">
        <v>125</v>
      </c>
      <c r="E84">
        <v>25.57</v>
      </c>
      <c r="F84">
        <v>18.05</v>
      </c>
      <c r="G84">
        <f t="shared" si="21"/>
        <v>7.52</v>
      </c>
      <c r="H84">
        <v>8.5500000000000007</v>
      </c>
      <c r="I84">
        <f t="shared" si="22"/>
        <v>-1.0300000000000011</v>
      </c>
      <c r="J84">
        <f t="shared" si="27"/>
        <v>2.042024251414388</v>
      </c>
    </row>
    <row r="85" spans="1:11" x14ac:dyDescent="0.2">
      <c r="A85" t="s">
        <v>41</v>
      </c>
      <c r="B85" t="s">
        <v>102</v>
      </c>
      <c r="C85" t="s">
        <v>133</v>
      </c>
      <c r="D85" t="s">
        <v>125</v>
      </c>
      <c r="E85">
        <v>25.94</v>
      </c>
      <c r="F85">
        <v>18.05</v>
      </c>
      <c r="G85">
        <f t="shared" si="21"/>
        <v>7.8900000000000006</v>
      </c>
      <c r="H85">
        <v>8.5500000000000007</v>
      </c>
      <c r="I85">
        <f t="shared" si="22"/>
        <v>-0.66000000000000014</v>
      </c>
      <c r="J85">
        <f t="shared" si="27"/>
        <v>1.5800826237267545</v>
      </c>
      <c r="K85">
        <f t="shared" ref="K85" si="30">AVERAGE(J83:J85)</f>
        <v>2.0056880947930007</v>
      </c>
    </row>
    <row r="122" spans="1:5" x14ac:dyDescent="0.2">
      <c r="A122" t="s">
        <v>30</v>
      </c>
      <c r="B122" t="s">
        <v>103</v>
      </c>
      <c r="E122" t="s">
        <v>6</v>
      </c>
    </row>
    <row r="123" spans="1:5" x14ac:dyDescent="0.2">
      <c r="A123" t="s">
        <v>31</v>
      </c>
      <c r="B123" t="s">
        <v>103</v>
      </c>
      <c r="E123" t="s">
        <v>6</v>
      </c>
    </row>
    <row r="124" spans="1:5" x14ac:dyDescent="0.2">
      <c r="A124" t="s">
        <v>32</v>
      </c>
      <c r="B124" t="s">
        <v>103</v>
      </c>
      <c r="E124" t="s">
        <v>6</v>
      </c>
    </row>
    <row r="125" spans="1:5" x14ac:dyDescent="0.2">
      <c r="A125" t="s">
        <v>33</v>
      </c>
      <c r="B125" t="s">
        <v>103</v>
      </c>
      <c r="E125" t="s">
        <v>6</v>
      </c>
    </row>
    <row r="126" spans="1:5" x14ac:dyDescent="0.2">
      <c r="A126" t="s">
        <v>34</v>
      </c>
      <c r="B126" t="s">
        <v>103</v>
      </c>
      <c r="E126" t="s">
        <v>6</v>
      </c>
    </row>
    <row r="127" spans="1:5" x14ac:dyDescent="0.2">
      <c r="A127" t="s">
        <v>35</v>
      </c>
      <c r="B127" t="s">
        <v>103</v>
      </c>
      <c r="E127" t="s">
        <v>6</v>
      </c>
    </row>
    <row r="128" spans="1:5" x14ac:dyDescent="0.2">
      <c r="A128" t="s">
        <v>36</v>
      </c>
      <c r="B128" t="s">
        <v>103</v>
      </c>
      <c r="E128" t="s">
        <v>6</v>
      </c>
    </row>
    <row r="129" spans="1:5" x14ac:dyDescent="0.2">
      <c r="A129" t="s">
        <v>37</v>
      </c>
      <c r="B129" t="s">
        <v>103</v>
      </c>
      <c r="E129" t="s">
        <v>6</v>
      </c>
    </row>
    <row r="130" spans="1:5" x14ac:dyDescent="0.2">
      <c r="A130" t="s">
        <v>38</v>
      </c>
      <c r="B130" t="s">
        <v>103</v>
      </c>
      <c r="E130" t="s">
        <v>6</v>
      </c>
    </row>
    <row r="131" spans="1:5" x14ac:dyDescent="0.2">
      <c r="A131" t="s">
        <v>39</v>
      </c>
      <c r="B131" t="s">
        <v>103</v>
      </c>
      <c r="E131" t="s">
        <v>6</v>
      </c>
    </row>
    <row r="132" spans="1:5" x14ac:dyDescent="0.2">
      <c r="A132" t="s">
        <v>40</v>
      </c>
      <c r="B132" t="s">
        <v>103</v>
      </c>
      <c r="E132" t="s">
        <v>6</v>
      </c>
    </row>
    <row r="133" spans="1:5" x14ac:dyDescent="0.2">
      <c r="A133" t="s">
        <v>41</v>
      </c>
      <c r="B133" t="s">
        <v>103</v>
      </c>
      <c r="E133" t="s">
        <v>6</v>
      </c>
    </row>
    <row r="134" spans="1:5" x14ac:dyDescent="0.2">
      <c r="A134" t="s">
        <v>42</v>
      </c>
      <c r="B134" t="s">
        <v>103</v>
      </c>
      <c r="E134" t="s">
        <v>6</v>
      </c>
    </row>
    <row r="135" spans="1:5" x14ac:dyDescent="0.2">
      <c r="A135" t="s">
        <v>43</v>
      </c>
      <c r="B135" t="s">
        <v>103</v>
      </c>
      <c r="E135" t="s">
        <v>6</v>
      </c>
    </row>
    <row r="136" spans="1:5" x14ac:dyDescent="0.2">
      <c r="A136" t="s">
        <v>44</v>
      </c>
      <c r="B136" t="s">
        <v>103</v>
      </c>
      <c r="E136" t="s">
        <v>6</v>
      </c>
    </row>
    <row r="137" spans="1:5" x14ac:dyDescent="0.2">
      <c r="A137" t="s">
        <v>45</v>
      </c>
      <c r="B137" t="s">
        <v>103</v>
      </c>
      <c r="E137" t="s">
        <v>6</v>
      </c>
    </row>
    <row r="138" spans="1:5" x14ac:dyDescent="0.2">
      <c r="A138" t="s">
        <v>46</v>
      </c>
      <c r="B138" t="s">
        <v>103</v>
      </c>
      <c r="E138" t="s">
        <v>6</v>
      </c>
    </row>
    <row r="139" spans="1:5" x14ac:dyDescent="0.2">
      <c r="A139" t="s">
        <v>47</v>
      </c>
      <c r="B139" t="s">
        <v>103</v>
      </c>
      <c r="E139" t="s">
        <v>6</v>
      </c>
    </row>
    <row r="140" spans="1:5" x14ac:dyDescent="0.2">
      <c r="A140" t="s">
        <v>48</v>
      </c>
      <c r="B140" t="s">
        <v>103</v>
      </c>
      <c r="E140" t="s">
        <v>6</v>
      </c>
    </row>
    <row r="141" spans="1:5" x14ac:dyDescent="0.2">
      <c r="A141" t="s">
        <v>49</v>
      </c>
      <c r="B141" t="s">
        <v>103</v>
      </c>
      <c r="E141" t="s">
        <v>6</v>
      </c>
    </row>
    <row r="142" spans="1:5" x14ac:dyDescent="0.2">
      <c r="A142" t="s">
        <v>50</v>
      </c>
      <c r="B142" t="s">
        <v>103</v>
      </c>
      <c r="E142" t="s">
        <v>6</v>
      </c>
    </row>
    <row r="143" spans="1:5" x14ac:dyDescent="0.2">
      <c r="A143" t="s">
        <v>51</v>
      </c>
      <c r="B143" t="s">
        <v>103</v>
      </c>
      <c r="E143" t="s">
        <v>6</v>
      </c>
    </row>
    <row r="144" spans="1:5" x14ac:dyDescent="0.2">
      <c r="A144" t="s">
        <v>52</v>
      </c>
      <c r="B144" t="s">
        <v>103</v>
      </c>
      <c r="E144" t="s">
        <v>6</v>
      </c>
    </row>
    <row r="145" spans="1:5" x14ac:dyDescent="0.2">
      <c r="A145" t="s">
        <v>53</v>
      </c>
      <c r="B145" t="s">
        <v>103</v>
      </c>
      <c r="E145" t="s">
        <v>6</v>
      </c>
    </row>
    <row r="158" spans="1:5" x14ac:dyDescent="0.2">
      <c r="A158" t="s">
        <v>66</v>
      </c>
      <c r="B158" t="s">
        <v>103</v>
      </c>
      <c r="E158" t="s">
        <v>6</v>
      </c>
    </row>
    <row r="159" spans="1:5" x14ac:dyDescent="0.2">
      <c r="A159" t="s">
        <v>67</v>
      </c>
      <c r="B159" t="s">
        <v>103</v>
      </c>
      <c r="E159" t="s">
        <v>6</v>
      </c>
    </row>
    <row r="160" spans="1:5" x14ac:dyDescent="0.2">
      <c r="A160" t="s">
        <v>68</v>
      </c>
      <c r="B160" t="s">
        <v>103</v>
      </c>
      <c r="E160" t="s">
        <v>6</v>
      </c>
    </row>
    <row r="161" spans="1:5" x14ac:dyDescent="0.2">
      <c r="A161" t="s">
        <v>69</v>
      </c>
      <c r="B161" t="s">
        <v>103</v>
      </c>
      <c r="E161" t="s">
        <v>6</v>
      </c>
    </row>
    <row r="162" spans="1:5" x14ac:dyDescent="0.2">
      <c r="A162" t="s">
        <v>70</v>
      </c>
      <c r="B162" t="s">
        <v>103</v>
      </c>
      <c r="E162" t="s">
        <v>6</v>
      </c>
    </row>
    <row r="163" spans="1:5" x14ac:dyDescent="0.2">
      <c r="A163" t="s">
        <v>71</v>
      </c>
      <c r="B163" t="s">
        <v>103</v>
      </c>
      <c r="E163" t="s">
        <v>6</v>
      </c>
    </row>
    <row r="164" spans="1:5" x14ac:dyDescent="0.2">
      <c r="A164" t="s">
        <v>72</v>
      </c>
      <c r="B164" t="s">
        <v>103</v>
      </c>
      <c r="E164" t="s">
        <v>6</v>
      </c>
    </row>
    <row r="165" spans="1:5" x14ac:dyDescent="0.2">
      <c r="A165" t="s">
        <v>73</v>
      </c>
      <c r="B165" t="s">
        <v>103</v>
      </c>
      <c r="E165" t="s">
        <v>6</v>
      </c>
    </row>
    <row r="166" spans="1:5" x14ac:dyDescent="0.2">
      <c r="A166" t="s">
        <v>74</v>
      </c>
      <c r="B166" t="s">
        <v>103</v>
      </c>
      <c r="E166" t="s">
        <v>6</v>
      </c>
    </row>
    <row r="167" spans="1:5" x14ac:dyDescent="0.2">
      <c r="A167" t="s">
        <v>75</v>
      </c>
      <c r="B167" t="s">
        <v>103</v>
      </c>
      <c r="E167" t="s">
        <v>6</v>
      </c>
    </row>
    <row r="168" spans="1:5" x14ac:dyDescent="0.2">
      <c r="A168" t="s">
        <v>76</v>
      </c>
      <c r="B168" t="s">
        <v>103</v>
      </c>
      <c r="E168" t="s">
        <v>6</v>
      </c>
    </row>
    <row r="169" spans="1:5" x14ac:dyDescent="0.2">
      <c r="A169" t="s">
        <v>77</v>
      </c>
      <c r="B169" t="s">
        <v>103</v>
      </c>
      <c r="E169" t="s">
        <v>6</v>
      </c>
    </row>
    <row r="170" spans="1:5" x14ac:dyDescent="0.2">
      <c r="A170" t="s">
        <v>78</v>
      </c>
      <c r="B170" t="s">
        <v>103</v>
      </c>
      <c r="E170" t="s">
        <v>6</v>
      </c>
    </row>
    <row r="171" spans="1:5" x14ac:dyDescent="0.2">
      <c r="A171" t="s">
        <v>79</v>
      </c>
      <c r="B171" t="s">
        <v>103</v>
      </c>
      <c r="E171" t="s">
        <v>6</v>
      </c>
    </row>
    <row r="172" spans="1:5" x14ac:dyDescent="0.2">
      <c r="A172" t="s">
        <v>80</v>
      </c>
      <c r="B172" t="s">
        <v>103</v>
      </c>
      <c r="E172" t="s">
        <v>6</v>
      </c>
    </row>
    <row r="173" spans="1:5" x14ac:dyDescent="0.2">
      <c r="A173" t="s">
        <v>81</v>
      </c>
      <c r="B173" t="s">
        <v>103</v>
      </c>
      <c r="E173" t="s">
        <v>6</v>
      </c>
    </row>
    <row r="174" spans="1:5" x14ac:dyDescent="0.2">
      <c r="A174" t="s">
        <v>82</v>
      </c>
      <c r="B174" t="s">
        <v>103</v>
      </c>
      <c r="E174" t="s">
        <v>6</v>
      </c>
    </row>
    <row r="175" spans="1:5" x14ac:dyDescent="0.2">
      <c r="A175" t="s">
        <v>83</v>
      </c>
      <c r="B175" t="s">
        <v>103</v>
      </c>
      <c r="E175" t="s">
        <v>6</v>
      </c>
    </row>
    <row r="176" spans="1:5" x14ac:dyDescent="0.2">
      <c r="A176" t="s">
        <v>84</v>
      </c>
      <c r="B176" t="s">
        <v>103</v>
      </c>
      <c r="E176" t="s">
        <v>6</v>
      </c>
    </row>
    <row r="177" spans="1:5" x14ac:dyDescent="0.2">
      <c r="A177" t="s">
        <v>85</v>
      </c>
      <c r="B177" t="s">
        <v>103</v>
      </c>
      <c r="E177" t="s">
        <v>6</v>
      </c>
    </row>
    <row r="178" spans="1:5" x14ac:dyDescent="0.2">
      <c r="A178" t="s">
        <v>86</v>
      </c>
      <c r="B178" t="s">
        <v>103</v>
      </c>
      <c r="E178" t="s">
        <v>6</v>
      </c>
    </row>
    <row r="179" spans="1:5" x14ac:dyDescent="0.2">
      <c r="A179" t="s">
        <v>87</v>
      </c>
      <c r="B179" t="s">
        <v>103</v>
      </c>
      <c r="E179" t="s">
        <v>6</v>
      </c>
    </row>
    <row r="180" spans="1:5" x14ac:dyDescent="0.2">
      <c r="A180" t="s">
        <v>88</v>
      </c>
      <c r="B180" t="s">
        <v>103</v>
      </c>
      <c r="E180" t="s">
        <v>6</v>
      </c>
    </row>
    <row r="181" spans="1:5" x14ac:dyDescent="0.2">
      <c r="A181" t="s">
        <v>89</v>
      </c>
      <c r="B181" t="s">
        <v>103</v>
      </c>
      <c r="E181" t="s">
        <v>6</v>
      </c>
    </row>
    <row r="182" spans="1:5" x14ac:dyDescent="0.2">
      <c r="A182" t="s">
        <v>90</v>
      </c>
      <c r="B182" t="s">
        <v>103</v>
      </c>
      <c r="E182" t="s">
        <v>6</v>
      </c>
    </row>
    <row r="183" spans="1:5" x14ac:dyDescent="0.2">
      <c r="A183" t="s">
        <v>91</v>
      </c>
      <c r="B183" t="s">
        <v>103</v>
      </c>
      <c r="E183" t="s">
        <v>6</v>
      </c>
    </row>
    <row r="184" spans="1:5" x14ac:dyDescent="0.2">
      <c r="A184" t="s">
        <v>92</v>
      </c>
      <c r="B184" t="s">
        <v>103</v>
      </c>
      <c r="E184" t="s">
        <v>6</v>
      </c>
    </row>
    <row r="185" spans="1:5" x14ac:dyDescent="0.2">
      <c r="A185" t="s">
        <v>93</v>
      </c>
      <c r="B185" t="s">
        <v>103</v>
      </c>
      <c r="E185" t="s">
        <v>6</v>
      </c>
    </row>
    <row r="186" spans="1:5" x14ac:dyDescent="0.2">
      <c r="A186" t="s">
        <v>94</v>
      </c>
      <c r="B186" t="s">
        <v>103</v>
      </c>
      <c r="E186" t="s">
        <v>6</v>
      </c>
    </row>
    <row r="187" spans="1:5" x14ac:dyDescent="0.2">
      <c r="A187" t="s">
        <v>95</v>
      </c>
      <c r="B187" t="s">
        <v>103</v>
      </c>
      <c r="E187" t="s">
        <v>6</v>
      </c>
    </row>
    <row r="188" spans="1:5" x14ac:dyDescent="0.2">
      <c r="A188" t="s">
        <v>96</v>
      </c>
      <c r="B188" t="s">
        <v>103</v>
      </c>
      <c r="E188" t="s">
        <v>6</v>
      </c>
    </row>
    <row r="189" spans="1:5" x14ac:dyDescent="0.2">
      <c r="A189" t="s">
        <v>97</v>
      </c>
      <c r="B189" t="s">
        <v>103</v>
      </c>
      <c r="E189" t="s">
        <v>6</v>
      </c>
    </row>
    <row r="190" spans="1:5" x14ac:dyDescent="0.2">
      <c r="A190" t="s">
        <v>98</v>
      </c>
      <c r="B190" t="s">
        <v>103</v>
      </c>
      <c r="E190" t="s">
        <v>6</v>
      </c>
    </row>
    <row r="191" spans="1:5" x14ac:dyDescent="0.2">
      <c r="A191" t="s">
        <v>99</v>
      </c>
      <c r="B191" t="s">
        <v>103</v>
      </c>
      <c r="E191" t="s">
        <v>6</v>
      </c>
    </row>
    <row r="192" spans="1:5" x14ac:dyDescent="0.2">
      <c r="A192" t="s">
        <v>100</v>
      </c>
      <c r="B192" t="s">
        <v>103</v>
      </c>
      <c r="E192" t="s">
        <v>6</v>
      </c>
    </row>
    <row r="193" spans="1:5" x14ac:dyDescent="0.2">
      <c r="A193" t="s">
        <v>101</v>
      </c>
      <c r="B193" t="s">
        <v>103</v>
      </c>
      <c r="E193" t="s">
        <v>6</v>
      </c>
    </row>
    <row r="290" spans="1:5" x14ac:dyDescent="0.2">
      <c r="A290" t="s">
        <v>5</v>
      </c>
      <c r="B290" t="s">
        <v>104</v>
      </c>
      <c r="E290" t="s">
        <v>6</v>
      </c>
    </row>
    <row r="291" spans="1:5" x14ac:dyDescent="0.2">
      <c r="A291" t="s">
        <v>7</v>
      </c>
      <c r="B291" t="s">
        <v>104</v>
      </c>
      <c r="E291" t="s">
        <v>6</v>
      </c>
    </row>
    <row r="292" spans="1:5" x14ac:dyDescent="0.2">
      <c r="A292" t="s">
        <v>8</v>
      </c>
      <c r="B292" t="s">
        <v>104</v>
      </c>
      <c r="E292" t="s">
        <v>6</v>
      </c>
    </row>
    <row r="293" spans="1:5" x14ac:dyDescent="0.2">
      <c r="A293" t="s">
        <v>9</v>
      </c>
      <c r="B293" t="s">
        <v>104</v>
      </c>
      <c r="E293" t="s">
        <v>6</v>
      </c>
    </row>
    <row r="294" spans="1:5" x14ac:dyDescent="0.2">
      <c r="A294" t="s">
        <v>10</v>
      </c>
      <c r="B294" t="s">
        <v>104</v>
      </c>
      <c r="E294" t="s">
        <v>6</v>
      </c>
    </row>
    <row r="295" spans="1:5" x14ac:dyDescent="0.2">
      <c r="A295" t="s">
        <v>11</v>
      </c>
      <c r="B295" t="s">
        <v>104</v>
      </c>
      <c r="E295" t="s">
        <v>6</v>
      </c>
    </row>
    <row r="296" spans="1:5" x14ac:dyDescent="0.2">
      <c r="A296" t="s">
        <v>12</v>
      </c>
      <c r="B296" t="s">
        <v>104</v>
      </c>
      <c r="E296" t="s">
        <v>6</v>
      </c>
    </row>
    <row r="297" spans="1:5" x14ac:dyDescent="0.2">
      <c r="A297" t="s">
        <v>13</v>
      </c>
      <c r="B297" t="s">
        <v>104</v>
      </c>
      <c r="E297" t="s">
        <v>6</v>
      </c>
    </row>
    <row r="298" spans="1:5" x14ac:dyDescent="0.2">
      <c r="A298" t="s">
        <v>14</v>
      </c>
      <c r="B298" t="s">
        <v>104</v>
      </c>
      <c r="E298" t="s">
        <v>6</v>
      </c>
    </row>
    <row r="299" spans="1:5" x14ac:dyDescent="0.2">
      <c r="A299" t="s">
        <v>15</v>
      </c>
      <c r="B299" t="s">
        <v>104</v>
      </c>
      <c r="E299" t="s">
        <v>6</v>
      </c>
    </row>
    <row r="300" spans="1:5" x14ac:dyDescent="0.2">
      <c r="A300" t="s">
        <v>16</v>
      </c>
      <c r="B300" t="s">
        <v>104</v>
      </c>
      <c r="E300" t="s">
        <v>6</v>
      </c>
    </row>
    <row r="301" spans="1:5" x14ac:dyDescent="0.2">
      <c r="A301" t="s">
        <v>17</v>
      </c>
      <c r="B301" t="s">
        <v>104</v>
      </c>
      <c r="E301" t="s">
        <v>6</v>
      </c>
    </row>
    <row r="302" spans="1:5" x14ac:dyDescent="0.2">
      <c r="A302" t="s">
        <v>18</v>
      </c>
      <c r="B302" t="s">
        <v>104</v>
      </c>
      <c r="E302" t="s">
        <v>6</v>
      </c>
    </row>
    <row r="303" spans="1:5" x14ac:dyDescent="0.2">
      <c r="A303" t="s">
        <v>19</v>
      </c>
      <c r="B303" t="s">
        <v>104</v>
      </c>
      <c r="E303" t="s">
        <v>6</v>
      </c>
    </row>
    <row r="304" spans="1:5" x14ac:dyDescent="0.2">
      <c r="A304" t="s">
        <v>20</v>
      </c>
      <c r="B304" t="s">
        <v>104</v>
      </c>
      <c r="E304" t="s">
        <v>6</v>
      </c>
    </row>
    <row r="305" spans="1:5" x14ac:dyDescent="0.2">
      <c r="A305" t="s">
        <v>21</v>
      </c>
      <c r="B305" t="s">
        <v>104</v>
      </c>
      <c r="E305" t="s">
        <v>6</v>
      </c>
    </row>
    <row r="306" spans="1:5" x14ac:dyDescent="0.2">
      <c r="A306" t="s">
        <v>22</v>
      </c>
      <c r="B306" t="s">
        <v>104</v>
      </c>
      <c r="E306" t="s">
        <v>6</v>
      </c>
    </row>
    <row r="307" spans="1:5" x14ac:dyDescent="0.2">
      <c r="A307" t="s">
        <v>23</v>
      </c>
      <c r="B307" t="s">
        <v>104</v>
      </c>
      <c r="E307" t="s">
        <v>6</v>
      </c>
    </row>
    <row r="308" spans="1:5" x14ac:dyDescent="0.2">
      <c r="A308" t="s">
        <v>24</v>
      </c>
      <c r="B308" t="s">
        <v>104</v>
      </c>
      <c r="E308" t="s">
        <v>6</v>
      </c>
    </row>
    <row r="309" spans="1:5" x14ac:dyDescent="0.2">
      <c r="A309" t="s">
        <v>25</v>
      </c>
      <c r="B309" t="s">
        <v>104</v>
      </c>
      <c r="E309" t="s">
        <v>6</v>
      </c>
    </row>
    <row r="310" spans="1:5" x14ac:dyDescent="0.2">
      <c r="A310" t="s">
        <v>26</v>
      </c>
      <c r="B310" t="s">
        <v>104</v>
      </c>
      <c r="E310" t="s">
        <v>6</v>
      </c>
    </row>
    <row r="311" spans="1:5" x14ac:dyDescent="0.2">
      <c r="A311" t="s">
        <v>27</v>
      </c>
      <c r="B311" t="s">
        <v>104</v>
      </c>
      <c r="E311" t="s">
        <v>6</v>
      </c>
    </row>
    <row r="312" spans="1:5" x14ac:dyDescent="0.2">
      <c r="A312" t="s">
        <v>28</v>
      </c>
      <c r="B312" t="s">
        <v>104</v>
      </c>
      <c r="E312" t="s">
        <v>6</v>
      </c>
    </row>
    <row r="313" spans="1:5" x14ac:dyDescent="0.2">
      <c r="A313" t="s">
        <v>29</v>
      </c>
      <c r="B313" t="s">
        <v>104</v>
      </c>
      <c r="E313" t="s">
        <v>6</v>
      </c>
    </row>
    <row r="314" spans="1:5" x14ac:dyDescent="0.2">
      <c r="A314" t="s">
        <v>30</v>
      </c>
      <c r="B314" t="s">
        <v>104</v>
      </c>
      <c r="E314" t="s">
        <v>6</v>
      </c>
    </row>
    <row r="315" spans="1:5" x14ac:dyDescent="0.2">
      <c r="A315" t="s">
        <v>31</v>
      </c>
      <c r="B315" t="s">
        <v>104</v>
      </c>
      <c r="E315" t="s">
        <v>6</v>
      </c>
    </row>
    <row r="316" spans="1:5" x14ac:dyDescent="0.2">
      <c r="A316" t="s">
        <v>32</v>
      </c>
      <c r="B316" t="s">
        <v>104</v>
      </c>
      <c r="E316" t="s">
        <v>6</v>
      </c>
    </row>
    <row r="317" spans="1:5" x14ac:dyDescent="0.2">
      <c r="A317" t="s">
        <v>33</v>
      </c>
      <c r="B317" t="s">
        <v>104</v>
      </c>
      <c r="E317" t="s">
        <v>6</v>
      </c>
    </row>
    <row r="318" spans="1:5" x14ac:dyDescent="0.2">
      <c r="A318" t="s">
        <v>34</v>
      </c>
      <c r="B318" t="s">
        <v>104</v>
      </c>
      <c r="E318" t="s">
        <v>6</v>
      </c>
    </row>
    <row r="319" spans="1:5" x14ac:dyDescent="0.2">
      <c r="A319" t="s">
        <v>35</v>
      </c>
      <c r="B319" t="s">
        <v>104</v>
      </c>
      <c r="E319" t="s">
        <v>6</v>
      </c>
    </row>
    <row r="320" spans="1:5" x14ac:dyDescent="0.2">
      <c r="A320" t="s">
        <v>36</v>
      </c>
      <c r="B320" t="s">
        <v>104</v>
      </c>
      <c r="E320">
        <v>13.3</v>
      </c>
    </row>
    <row r="321" spans="1:5" x14ac:dyDescent="0.2">
      <c r="A321" t="s">
        <v>37</v>
      </c>
      <c r="B321" t="s">
        <v>104</v>
      </c>
      <c r="E321" t="s">
        <v>6</v>
      </c>
    </row>
    <row r="322" spans="1:5" x14ac:dyDescent="0.2">
      <c r="A322" t="s">
        <v>38</v>
      </c>
      <c r="B322" t="s">
        <v>104</v>
      </c>
      <c r="E322" t="s">
        <v>6</v>
      </c>
    </row>
    <row r="323" spans="1:5" x14ac:dyDescent="0.2">
      <c r="A323" t="s">
        <v>39</v>
      </c>
      <c r="B323" t="s">
        <v>104</v>
      </c>
      <c r="E323" t="s">
        <v>6</v>
      </c>
    </row>
    <row r="324" spans="1:5" x14ac:dyDescent="0.2">
      <c r="A324" t="s">
        <v>40</v>
      </c>
      <c r="B324" t="s">
        <v>104</v>
      </c>
      <c r="E324" t="s">
        <v>6</v>
      </c>
    </row>
    <row r="325" spans="1:5" x14ac:dyDescent="0.2">
      <c r="A325" t="s">
        <v>41</v>
      </c>
      <c r="B325" t="s">
        <v>104</v>
      </c>
      <c r="E325" t="s">
        <v>6</v>
      </c>
    </row>
    <row r="326" spans="1:5" x14ac:dyDescent="0.2">
      <c r="A326" t="s">
        <v>42</v>
      </c>
      <c r="B326" t="s">
        <v>104</v>
      </c>
      <c r="E326" t="s">
        <v>6</v>
      </c>
    </row>
    <row r="327" spans="1:5" x14ac:dyDescent="0.2">
      <c r="A327" t="s">
        <v>43</v>
      </c>
      <c r="B327" t="s">
        <v>104</v>
      </c>
      <c r="E327" t="s">
        <v>6</v>
      </c>
    </row>
    <row r="328" spans="1:5" x14ac:dyDescent="0.2">
      <c r="A328" t="s">
        <v>44</v>
      </c>
      <c r="B328" t="s">
        <v>104</v>
      </c>
      <c r="E328" t="s">
        <v>6</v>
      </c>
    </row>
    <row r="329" spans="1:5" x14ac:dyDescent="0.2">
      <c r="A329" t="s">
        <v>45</v>
      </c>
      <c r="B329" t="s">
        <v>104</v>
      </c>
      <c r="E329" t="s">
        <v>6</v>
      </c>
    </row>
    <row r="330" spans="1:5" x14ac:dyDescent="0.2">
      <c r="A330" t="s">
        <v>46</v>
      </c>
      <c r="B330" t="s">
        <v>104</v>
      </c>
      <c r="E330">
        <v>18.41</v>
      </c>
    </row>
    <row r="331" spans="1:5" x14ac:dyDescent="0.2">
      <c r="A331" t="s">
        <v>47</v>
      </c>
      <c r="B331" t="s">
        <v>104</v>
      </c>
      <c r="E331" t="s">
        <v>6</v>
      </c>
    </row>
    <row r="332" spans="1:5" x14ac:dyDescent="0.2">
      <c r="A332" t="s">
        <v>48</v>
      </c>
      <c r="B332" t="s">
        <v>104</v>
      </c>
      <c r="E332" t="s">
        <v>6</v>
      </c>
    </row>
    <row r="333" spans="1:5" x14ac:dyDescent="0.2">
      <c r="A333" t="s">
        <v>49</v>
      </c>
      <c r="B333" t="s">
        <v>104</v>
      </c>
      <c r="E333">
        <v>12.48</v>
      </c>
    </row>
    <row r="334" spans="1:5" x14ac:dyDescent="0.2">
      <c r="A334" t="s">
        <v>50</v>
      </c>
      <c r="B334" t="s">
        <v>104</v>
      </c>
      <c r="E334" t="s">
        <v>6</v>
      </c>
    </row>
    <row r="335" spans="1:5" x14ac:dyDescent="0.2">
      <c r="A335" t="s">
        <v>51</v>
      </c>
      <c r="B335" t="s">
        <v>104</v>
      </c>
      <c r="E335" t="s">
        <v>6</v>
      </c>
    </row>
    <row r="336" spans="1:5" x14ac:dyDescent="0.2">
      <c r="A336" t="s">
        <v>52</v>
      </c>
      <c r="B336" t="s">
        <v>104</v>
      </c>
      <c r="E336" t="s">
        <v>6</v>
      </c>
    </row>
    <row r="337" spans="1:5" x14ac:dyDescent="0.2">
      <c r="A337" t="s">
        <v>53</v>
      </c>
      <c r="B337" t="s">
        <v>104</v>
      </c>
      <c r="E337" t="s">
        <v>6</v>
      </c>
    </row>
    <row r="338" spans="1:5" x14ac:dyDescent="0.2">
      <c r="A338" t="s">
        <v>54</v>
      </c>
      <c r="B338" t="s">
        <v>104</v>
      </c>
      <c r="E338" t="s">
        <v>6</v>
      </c>
    </row>
    <row r="339" spans="1:5" x14ac:dyDescent="0.2">
      <c r="A339" t="s">
        <v>55</v>
      </c>
      <c r="B339" t="s">
        <v>104</v>
      </c>
      <c r="E339" t="s">
        <v>6</v>
      </c>
    </row>
    <row r="340" spans="1:5" x14ac:dyDescent="0.2">
      <c r="A340" t="s">
        <v>56</v>
      </c>
      <c r="B340" t="s">
        <v>104</v>
      </c>
      <c r="E340" t="s">
        <v>6</v>
      </c>
    </row>
    <row r="341" spans="1:5" x14ac:dyDescent="0.2">
      <c r="A341" t="s">
        <v>57</v>
      </c>
      <c r="B341" t="s">
        <v>104</v>
      </c>
      <c r="E341" t="s">
        <v>6</v>
      </c>
    </row>
    <row r="342" spans="1:5" x14ac:dyDescent="0.2">
      <c r="A342" t="s">
        <v>58</v>
      </c>
      <c r="B342" t="s">
        <v>104</v>
      </c>
      <c r="E342">
        <v>3.37</v>
      </c>
    </row>
    <row r="343" spans="1:5" x14ac:dyDescent="0.2">
      <c r="A343" t="s">
        <v>59</v>
      </c>
      <c r="B343" t="s">
        <v>104</v>
      </c>
      <c r="E343" t="s">
        <v>6</v>
      </c>
    </row>
    <row r="344" spans="1:5" x14ac:dyDescent="0.2">
      <c r="A344" t="s">
        <v>60</v>
      </c>
      <c r="B344" t="s">
        <v>104</v>
      </c>
      <c r="E344" t="s">
        <v>6</v>
      </c>
    </row>
    <row r="345" spans="1:5" x14ac:dyDescent="0.2">
      <c r="A345" t="s">
        <v>61</v>
      </c>
      <c r="B345" t="s">
        <v>104</v>
      </c>
      <c r="E345" t="s">
        <v>6</v>
      </c>
    </row>
    <row r="346" spans="1:5" x14ac:dyDescent="0.2">
      <c r="A346" t="s">
        <v>62</v>
      </c>
      <c r="B346" t="s">
        <v>104</v>
      </c>
      <c r="E346" t="s">
        <v>6</v>
      </c>
    </row>
    <row r="347" spans="1:5" x14ac:dyDescent="0.2">
      <c r="A347" t="s">
        <v>63</v>
      </c>
      <c r="B347" t="s">
        <v>104</v>
      </c>
      <c r="E347" t="s">
        <v>6</v>
      </c>
    </row>
    <row r="348" spans="1:5" x14ac:dyDescent="0.2">
      <c r="A348" t="s">
        <v>64</v>
      </c>
      <c r="B348" t="s">
        <v>104</v>
      </c>
      <c r="E348" t="s">
        <v>6</v>
      </c>
    </row>
    <row r="349" spans="1:5" x14ac:dyDescent="0.2">
      <c r="A349" t="s">
        <v>65</v>
      </c>
      <c r="B349" t="s">
        <v>104</v>
      </c>
      <c r="E349" t="s">
        <v>6</v>
      </c>
    </row>
    <row r="350" spans="1:5" x14ac:dyDescent="0.2">
      <c r="A350" t="s">
        <v>66</v>
      </c>
      <c r="B350" t="s">
        <v>104</v>
      </c>
      <c r="E350" t="s">
        <v>6</v>
      </c>
    </row>
    <row r="351" spans="1:5" x14ac:dyDescent="0.2">
      <c r="A351" t="s">
        <v>67</v>
      </c>
      <c r="B351" t="s">
        <v>104</v>
      </c>
      <c r="E351" t="s">
        <v>6</v>
      </c>
    </row>
    <row r="352" spans="1:5" x14ac:dyDescent="0.2">
      <c r="A352" t="s">
        <v>68</v>
      </c>
      <c r="B352" t="s">
        <v>104</v>
      </c>
      <c r="E352" t="s">
        <v>6</v>
      </c>
    </row>
    <row r="353" spans="1:5" x14ac:dyDescent="0.2">
      <c r="A353" t="s">
        <v>69</v>
      </c>
      <c r="B353" t="s">
        <v>104</v>
      </c>
      <c r="E353" t="s">
        <v>6</v>
      </c>
    </row>
    <row r="354" spans="1:5" x14ac:dyDescent="0.2">
      <c r="A354" t="s">
        <v>70</v>
      </c>
      <c r="B354" t="s">
        <v>104</v>
      </c>
      <c r="E354" t="s">
        <v>6</v>
      </c>
    </row>
    <row r="355" spans="1:5" x14ac:dyDescent="0.2">
      <c r="A355" t="s">
        <v>71</v>
      </c>
      <c r="B355" t="s">
        <v>104</v>
      </c>
      <c r="E355" t="s">
        <v>6</v>
      </c>
    </row>
    <row r="356" spans="1:5" x14ac:dyDescent="0.2">
      <c r="A356" t="s">
        <v>72</v>
      </c>
      <c r="B356" t="s">
        <v>104</v>
      </c>
      <c r="E356" t="s">
        <v>6</v>
      </c>
    </row>
    <row r="357" spans="1:5" x14ac:dyDescent="0.2">
      <c r="A357" t="s">
        <v>73</v>
      </c>
      <c r="B357" t="s">
        <v>104</v>
      </c>
      <c r="E357" t="s">
        <v>6</v>
      </c>
    </row>
    <row r="358" spans="1:5" x14ac:dyDescent="0.2">
      <c r="A358" t="s">
        <v>74</v>
      </c>
      <c r="B358" t="s">
        <v>104</v>
      </c>
      <c r="E358" t="s">
        <v>6</v>
      </c>
    </row>
    <row r="359" spans="1:5" x14ac:dyDescent="0.2">
      <c r="A359" t="s">
        <v>75</v>
      </c>
      <c r="B359" t="s">
        <v>104</v>
      </c>
      <c r="E359" t="s">
        <v>6</v>
      </c>
    </row>
    <row r="360" spans="1:5" x14ac:dyDescent="0.2">
      <c r="A360" t="s">
        <v>76</v>
      </c>
      <c r="B360" t="s">
        <v>104</v>
      </c>
      <c r="E360" t="s">
        <v>6</v>
      </c>
    </row>
    <row r="361" spans="1:5" x14ac:dyDescent="0.2">
      <c r="A361" t="s">
        <v>77</v>
      </c>
      <c r="B361" t="s">
        <v>104</v>
      </c>
      <c r="E361" t="s">
        <v>6</v>
      </c>
    </row>
    <row r="362" spans="1:5" x14ac:dyDescent="0.2">
      <c r="A362" t="s">
        <v>78</v>
      </c>
      <c r="B362" t="s">
        <v>104</v>
      </c>
      <c r="E362" t="s">
        <v>6</v>
      </c>
    </row>
    <row r="363" spans="1:5" x14ac:dyDescent="0.2">
      <c r="A363" t="s">
        <v>79</v>
      </c>
      <c r="B363" t="s">
        <v>104</v>
      </c>
      <c r="E363" t="s">
        <v>6</v>
      </c>
    </row>
    <row r="364" spans="1:5" x14ac:dyDescent="0.2">
      <c r="A364" t="s">
        <v>80</v>
      </c>
      <c r="B364" t="s">
        <v>104</v>
      </c>
      <c r="E364" t="s">
        <v>6</v>
      </c>
    </row>
    <row r="365" spans="1:5" x14ac:dyDescent="0.2">
      <c r="A365" t="s">
        <v>81</v>
      </c>
      <c r="B365" t="s">
        <v>104</v>
      </c>
      <c r="E365" t="s">
        <v>6</v>
      </c>
    </row>
    <row r="366" spans="1:5" x14ac:dyDescent="0.2">
      <c r="A366" t="s">
        <v>82</v>
      </c>
      <c r="B366" t="s">
        <v>104</v>
      </c>
      <c r="E366" t="s">
        <v>6</v>
      </c>
    </row>
    <row r="367" spans="1:5" x14ac:dyDescent="0.2">
      <c r="A367" t="s">
        <v>83</v>
      </c>
      <c r="B367" t="s">
        <v>104</v>
      </c>
      <c r="E367" t="s">
        <v>6</v>
      </c>
    </row>
    <row r="368" spans="1:5" x14ac:dyDescent="0.2">
      <c r="A368" t="s">
        <v>84</v>
      </c>
      <c r="B368" t="s">
        <v>104</v>
      </c>
      <c r="E368" t="s">
        <v>6</v>
      </c>
    </row>
    <row r="369" spans="1:5" x14ac:dyDescent="0.2">
      <c r="A369" t="s">
        <v>85</v>
      </c>
      <c r="B369" t="s">
        <v>104</v>
      </c>
      <c r="E369" t="s">
        <v>6</v>
      </c>
    </row>
    <row r="370" spans="1:5" x14ac:dyDescent="0.2">
      <c r="A370" t="s">
        <v>86</v>
      </c>
      <c r="B370" t="s">
        <v>104</v>
      </c>
      <c r="E370" t="s">
        <v>6</v>
      </c>
    </row>
    <row r="371" spans="1:5" x14ac:dyDescent="0.2">
      <c r="A371" t="s">
        <v>87</v>
      </c>
      <c r="B371" t="s">
        <v>104</v>
      </c>
      <c r="E371" t="s">
        <v>6</v>
      </c>
    </row>
    <row r="372" spans="1:5" x14ac:dyDescent="0.2">
      <c r="A372" t="s">
        <v>88</v>
      </c>
      <c r="B372" t="s">
        <v>104</v>
      </c>
      <c r="E372" t="s">
        <v>6</v>
      </c>
    </row>
    <row r="373" spans="1:5" x14ac:dyDescent="0.2">
      <c r="A373" t="s">
        <v>89</v>
      </c>
      <c r="B373" t="s">
        <v>104</v>
      </c>
      <c r="E373" t="s">
        <v>6</v>
      </c>
    </row>
    <row r="374" spans="1:5" x14ac:dyDescent="0.2">
      <c r="A374" t="s">
        <v>90</v>
      </c>
      <c r="B374" t="s">
        <v>104</v>
      </c>
      <c r="E374" t="s">
        <v>6</v>
      </c>
    </row>
    <row r="375" spans="1:5" x14ac:dyDescent="0.2">
      <c r="A375" t="s">
        <v>91</v>
      </c>
      <c r="B375" t="s">
        <v>104</v>
      </c>
      <c r="E375" t="s">
        <v>6</v>
      </c>
    </row>
    <row r="376" spans="1:5" x14ac:dyDescent="0.2">
      <c r="A376" t="s">
        <v>92</v>
      </c>
      <c r="B376" t="s">
        <v>104</v>
      </c>
      <c r="E376" t="s">
        <v>6</v>
      </c>
    </row>
    <row r="377" spans="1:5" x14ac:dyDescent="0.2">
      <c r="A377" t="s">
        <v>93</v>
      </c>
      <c r="B377" t="s">
        <v>104</v>
      </c>
      <c r="E377" t="s">
        <v>6</v>
      </c>
    </row>
    <row r="378" spans="1:5" x14ac:dyDescent="0.2">
      <c r="A378" t="s">
        <v>94</v>
      </c>
      <c r="B378" t="s">
        <v>104</v>
      </c>
      <c r="E378" t="s">
        <v>6</v>
      </c>
    </row>
    <row r="379" spans="1:5" x14ac:dyDescent="0.2">
      <c r="A379" t="s">
        <v>95</v>
      </c>
      <c r="B379" t="s">
        <v>104</v>
      </c>
      <c r="E379" t="s">
        <v>6</v>
      </c>
    </row>
    <row r="380" spans="1:5" x14ac:dyDescent="0.2">
      <c r="A380" t="s">
        <v>96</v>
      </c>
      <c r="B380" t="s">
        <v>104</v>
      </c>
      <c r="E380" t="s">
        <v>6</v>
      </c>
    </row>
    <row r="381" spans="1:5" x14ac:dyDescent="0.2">
      <c r="A381" t="s">
        <v>97</v>
      </c>
      <c r="B381" t="s">
        <v>104</v>
      </c>
      <c r="E381" t="s">
        <v>6</v>
      </c>
    </row>
    <row r="382" spans="1:5" x14ac:dyDescent="0.2">
      <c r="A382" t="s">
        <v>98</v>
      </c>
      <c r="B382" t="s">
        <v>104</v>
      </c>
      <c r="E382" t="s">
        <v>6</v>
      </c>
    </row>
    <row r="383" spans="1:5" x14ac:dyDescent="0.2">
      <c r="A383" t="s">
        <v>99</v>
      </c>
      <c r="B383" t="s">
        <v>104</v>
      </c>
      <c r="E383" t="s">
        <v>6</v>
      </c>
    </row>
    <row r="384" spans="1:5" x14ac:dyDescent="0.2">
      <c r="A384" t="s">
        <v>100</v>
      </c>
      <c r="B384" t="s">
        <v>104</v>
      </c>
      <c r="E384" t="s">
        <v>6</v>
      </c>
    </row>
    <row r="385" spans="1:5" x14ac:dyDescent="0.2">
      <c r="A385" t="s">
        <v>101</v>
      </c>
      <c r="B385" t="s">
        <v>104</v>
      </c>
      <c r="E385" t="s">
        <v>6</v>
      </c>
    </row>
    <row r="386" spans="1:5" x14ac:dyDescent="0.2">
      <c r="A386" t="s">
        <v>5</v>
      </c>
      <c r="B386" t="s">
        <v>105</v>
      </c>
      <c r="E386" t="s">
        <v>6</v>
      </c>
    </row>
    <row r="387" spans="1:5" x14ac:dyDescent="0.2">
      <c r="A387" t="s">
        <v>7</v>
      </c>
      <c r="B387" t="s">
        <v>105</v>
      </c>
      <c r="E387" t="s">
        <v>6</v>
      </c>
    </row>
    <row r="388" spans="1:5" x14ac:dyDescent="0.2">
      <c r="A388" t="s">
        <v>8</v>
      </c>
      <c r="B388" t="s">
        <v>105</v>
      </c>
      <c r="E388" t="s">
        <v>6</v>
      </c>
    </row>
    <row r="389" spans="1:5" x14ac:dyDescent="0.2">
      <c r="A389" t="s">
        <v>9</v>
      </c>
      <c r="B389" t="s">
        <v>105</v>
      </c>
      <c r="E389" t="s">
        <v>6</v>
      </c>
    </row>
    <row r="390" spans="1:5" x14ac:dyDescent="0.2">
      <c r="A390" t="s">
        <v>10</v>
      </c>
      <c r="B390" t="s">
        <v>105</v>
      </c>
      <c r="E390" t="s">
        <v>6</v>
      </c>
    </row>
    <row r="391" spans="1:5" x14ac:dyDescent="0.2">
      <c r="A391" t="s">
        <v>11</v>
      </c>
      <c r="B391" t="s">
        <v>105</v>
      </c>
      <c r="E391" t="s">
        <v>6</v>
      </c>
    </row>
    <row r="392" spans="1:5" x14ac:dyDescent="0.2">
      <c r="A392" t="s">
        <v>12</v>
      </c>
      <c r="B392" t="s">
        <v>105</v>
      </c>
      <c r="E392" t="s">
        <v>6</v>
      </c>
    </row>
    <row r="393" spans="1:5" x14ac:dyDescent="0.2">
      <c r="A393" t="s">
        <v>13</v>
      </c>
      <c r="B393" t="s">
        <v>105</v>
      </c>
      <c r="E393" t="s">
        <v>6</v>
      </c>
    </row>
    <row r="394" spans="1:5" x14ac:dyDescent="0.2">
      <c r="A394" t="s">
        <v>14</v>
      </c>
      <c r="B394" t="s">
        <v>105</v>
      </c>
      <c r="E394" t="s">
        <v>6</v>
      </c>
    </row>
    <row r="395" spans="1:5" x14ac:dyDescent="0.2">
      <c r="A395" t="s">
        <v>15</v>
      </c>
      <c r="B395" t="s">
        <v>105</v>
      </c>
      <c r="E395" t="s">
        <v>6</v>
      </c>
    </row>
    <row r="396" spans="1:5" x14ac:dyDescent="0.2">
      <c r="A396" t="s">
        <v>16</v>
      </c>
      <c r="B396" t="s">
        <v>105</v>
      </c>
      <c r="E396" t="s">
        <v>6</v>
      </c>
    </row>
    <row r="397" spans="1:5" x14ac:dyDescent="0.2">
      <c r="A397" t="s">
        <v>17</v>
      </c>
      <c r="B397" t="s">
        <v>105</v>
      </c>
      <c r="E397" t="s">
        <v>6</v>
      </c>
    </row>
    <row r="398" spans="1:5" x14ac:dyDescent="0.2">
      <c r="A398" t="s">
        <v>18</v>
      </c>
      <c r="B398" t="s">
        <v>105</v>
      </c>
      <c r="E398" t="s">
        <v>6</v>
      </c>
    </row>
    <row r="399" spans="1:5" x14ac:dyDescent="0.2">
      <c r="A399" t="s">
        <v>19</v>
      </c>
      <c r="B399" t="s">
        <v>105</v>
      </c>
      <c r="E399" t="s">
        <v>6</v>
      </c>
    </row>
    <row r="400" spans="1:5" x14ac:dyDescent="0.2">
      <c r="A400" t="s">
        <v>20</v>
      </c>
      <c r="B400" t="s">
        <v>105</v>
      </c>
      <c r="E400" t="s">
        <v>6</v>
      </c>
    </row>
    <row r="401" spans="1:5" x14ac:dyDescent="0.2">
      <c r="A401" t="s">
        <v>21</v>
      </c>
      <c r="B401" t="s">
        <v>105</v>
      </c>
      <c r="E401" t="s">
        <v>6</v>
      </c>
    </row>
    <row r="402" spans="1:5" x14ac:dyDescent="0.2">
      <c r="A402" t="s">
        <v>22</v>
      </c>
      <c r="B402" t="s">
        <v>105</v>
      </c>
      <c r="E402" t="s">
        <v>6</v>
      </c>
    </row>
    <row r="403" spans="1:5" x14ac:dyDescent="0.2">
      <c r="A403" t="s">
        <v>23</v>
      </c>
      <c r="B403" t="s">
        <v>105</v>
      </c>
      <c r="E403" t="s">
        <v>6</v>
      </c>
    </row>
    <row r="404" spans="1:5" x14ac:dyDescent="0.2">
      <c r="A404" t="s">
        <v>24</v>
      </c>
      <c r="B404" t="s">
        <v>105</v>
      </c>
      <c r="E404" t="s">
        <v>6</v>
      </c>
    </row>
    <row r="405" spans="1:5" x14ac:dyDescent="0.2">
      <c r="A405" t="s">
        <v>25</v>
      </c>
      <c r="B405" t="s">
        <v>105</v>
      </c>
      <c r="E405" t="s">
        <v>6</v>
      </c>
    </row>
    <row r="406" spans="1:5" x14ac:dyDescent="0.2">
      <c r="A406" t="s">
        <v>26</v>
      </c>
      <c r="B406" t="s">
        <v>105</v>
      </c>
      <c r="E406" t="s">
        <v>6</v>
      </c>
    </row>
    <row r="407" spans="1:5" x14ac:dyDescent="0.2">
      <c r="A407" t="s">
        <v>27</v>
      </c>
      <c r="B407" t="s">
        <v>105</v>
      </c>
      <c r="E407" t="s">
        <v>6</v>
      </c>
    </row>
    <row r="408" spans="1:5" x14ac:dyDescent="0.2">
      <c r="A408" t="s">
        <v>28</v>
      </c>
      <c r="B408" t="s">
        <v>105</v>
      </c>
      <c r="E408" t="s">
        <v>6</v>
      </c>
    </row>
    <row r="409" spans="1:5" x14ac:dyDescent="0.2">
      <c r="A409" t="s">
        <v>29</v>
      </c>
      <c r="B409" t="s">
        <v>105</v>
      </c>
      <c r="E409" t="s">
        <v>6</v>
      </c>
    </row>
    <row r="410" spans="1:5" x14ac:dyDescent="0.2">
      <c r="A410" t="s">
        <v>30</v>
      </c>
      <c r="B410" t="s">
        <v>105</v>
      </c>
      <c r="E410" t="s">
        <v>6</v>
      </c>
    </row>
    <row r="411" spans="1:5" x14ac:dyDescent="0.2">
      <c r="A411" t="s">
        <v>31</v>
      </c>
      <c r="B411" t="s">
        <v>105</v>
      </c>
      <c r="E411" t="s">
        <v>6</v>
      </c>
    </row>
    <row r="412" spans="1:5" x14ac:dyDescent="0.2">
      <c r="A412" t="s">
        <v>32</v>
      </c>
      <c r="B412" t="s">
        <v>105</v>
      </c>
      <c r="E412" t="s">
        <v>6</v>
      </c>
    </row>
    <row r="413" spans="1:5" x14ac:dyDescent="0.2">
      <c r="A413" t="s">
        <v>33</v>
      </c>
      <c r="B413" t="s">
        <v>105</v>
      </c>
      <c r="E413" t="s">
        <v>6</v>
      </c>
    </row>
    <row r="414" spans="1:5" x14ac:dyDescent="0.2">
      <c r="A414" t="s">
        <v>34</v>
      </c>
      <c r="B414" t="s">
        <v>105</v>
      </c>
      <c r="E414" t="s">
        <v>6</v>
      </c>
    </row>
    <row r="415" spans="1:5" x14ac:dyDescent="0.2">
      <c r="A415" t="s">
        <v>35</v>
      </c>
      <c r="B415" t="s">
        <v>105</v>
      </c>
      <c r="E415" t="s">
        <v>6</v>
      </c>
    </row>
    <row r="416" spans="1:5" x14ac:dyDescent="0.2">
      <c r="A416" t="s">
        <v>36</v>
      </c>
      <c r="B416" t="s">
        <v>105</v>
      </c>
      <c r="E416" t="s">
        <v>6</v>
      </c>
    </row>
    <row r="417" spans="1:5" x14ac:dyDescent="0.2">
      <c r="A417" t="s">
        <v>37</v>
      </c>
      <c r="B417" t="s">
        <v>105</v>
      </c>
      <c r="E417" t="s">
        <v>6</v>
      </c>
    </row>
    <row r="418" spans="1:5" x14ac:dyDescent="0.2">
      <c r="A418" t="s">
        <v>38</v>
      </c>
      <c r="B418" t="s">
        <v>105</v>
      </c>
      <c r="E418" t="s">
        <v>6</v>
      </c>
    </row>
    <row r="419" spans="1:5" x14ac:dyDescent="0.2">
      <c r="A419" t="s">
        <v>39</v>
      </c>
      <c r="B419" t="s">
        <v>105</v>
      </c>
      <c r="E419" t="s">
        <v>6</v>
      </c>
    </row>
    <row r="420" spans="1:5" x14ac:dyDescent="0.2">
      <c r="A420" t="s">
        <v>40</v>
      </c>
      <c r="B420" t="s">
        <v>105</v>
      </c>
      <c r="E420" t="s">
        <v>6</v>
      </c>
    </row>
    <row r="421" spans="1:5" x14ac:dyDescent="0.2">
      <c r="A421" t="s">
        <v>41</v>
      </c>
      <c r="B421" t="s">
        <v>105</v>
      </c>
      <c r="E421" t="s">
        <v>6</v>
      </c>
    </row>
    <row r="422" spans="1:5" x14ac:dyDescent="0.2">
      <c r="A422" t="s">
        <v>42</v>
      </c>
      <c r="B422" t="s">
        <v>105</v>
      </c>
      <c r="E422" t="s">
        <v>6</v>
      </c>
    </row>
    <row r="423" spans="1:5" x14ac:dyDescent="0.2">
      <c r="A423" t="s">
        <v>43</v>
      </c>
      <c r="B423" t="s">
        <v>105</v>
      </c>
      <c r="E423" t="s">
        <v>6</v>
      </c>
    </row>
    <row r="424" spans="1:5" x14ac:dyDescent="0.2">
      <c r="A424" t="s">
        <v>44</v>
      </c>
      <c r="B424" t="s">
        <v>105</v>
      </c>
      <c r="E424" t="s">
        <v>6</v>
      </c>
    </row>
    <row r="425" spans="1:5" x14ac:dyDescent="0.2">
      <c r="A425" t="s">
        <v>45</v>
      </c>
      <c r="B425" t="s">
        <v>105</v>
      </c>
      <c r="E425" t="s">
        <v>6</v>
      </c>
    </row>
    <row r="426" spans="1:5" x14ac:dyDescent="0.2">
      <c r="A426" t="s">
        <v>46</v>
      </c>
      <c r="B426" t="s">
        <v>105</v>
      </c>
      <c r="E426" t="s">
        <v>6</v>
      </c>
    </row>
    <row r="427" spans="1:5" x14ac:dyDescent="0.2">
      <c r="A427" t="s">
        <v>47</v>
      </c>
      <c r="B427" t="s">
        <v>105</v>
      </c>
      <c r="E427" t="s">
        <v>6</v>
      </c>
    </row>
    <row r="428" spans="1:5" x14ac:dyDescent="0.2">
      <c r="A428" t="s">
        <v>48</v>
      </c>
      <c r="B428" t="s">
        <v>105</v>
      </c>
      <c r="E428" t="s">
        <v>6</v>
      </c>
    </row>
    <row r="429" spans="1:5" x14ac:dyDescent="0.2">
      <c r="A429" t="s">
        <v>49</v>
      </c>
      <c r="B429" t="s">
        <v>105</v>
      </c>
      <c r="E429" t="s">
        <v>6</v>
      </c>
    </row>
    <row r="430" spans="1:5" x14ac:dyDescent="0.2">
      <c r="A430" t="s">
        <v>50</v>
      </c>
      <c r="B430" t="s">
        <v>105</v>
      </c>
      <c r="E430" t="s">
        <v>6</v>
      </c>
    </row>
    <row r="431" spans="1:5" x14ac:dyDescent="0.2">
      <c r="A431" t="s">
        <v>51</v>
      </c>
      <c r="B431" t="s">
        <v>105</v>
      </c>
      <c r="E431" t="s">
        <v>6</v>
      </c>
    </row>
    <row r="432" spans="1:5" x14ac:dyDescent="0.2">
      <c r="A432" t="s">
        <v>52</v>
      </c>
      <c r="B432" t="s">
        <v>105</v>
      </c>
      <c r="E432" t="s">
        <v>6</v>
      </c>
    </row>
    <row r="433" spans="1:5" x14ac:dyDescent="0.2">
      <c r="A433" t="s">
        <v>53</v>
      </c>
      <c r="B433" t="s">
        <v>105</v>
      </c>
      <c r="E433" t="s">
        <v>6</v>
      </c>
    </row>
    <row r="434" spans="1:5" x14ac:dyDescent="0.2">
      <c r="A434" t="s">
        <v>54</v>
      </c>
      <c r="B434" t="s">
        <v>105</v>
      </c>
      <c r="E434" t="s">
        <v>6</v>
      </c>
    </row>
    <row r="435" spans="1:5" x14ac:dyDescent="0.2">
      <c r="A435" t="s">
        <v>55</v>
      </c>
      <c r="B435" t="s">
        <v>105</v>
      </c>
      <c r="E435" t="s">
        <v>6</v>
      </c>
    </row>
    <row r="436" spans="1:5" x14ac:dyDescent="0.2">
      <c r="A436" t="s">
        <v>56</v>
      </c>
      <c r="B436" t="s">
        <v>105</v>
      </c>
      <c r="E436" t="s">
        <v>6</v>
      </c>
    </row>
    <row r="437" spans="1:5" x14ac:dyDescent="0.2">
      <c r="A437" t="s">
        <v>57</v>
      </c>
      <c r="B437" t="s">
        <v>105</v>
      </c>
      <c r="E437" t="s">
        <v>6</v>
      </c>
    </row>
    <row r="438" spans="1:5" x14ac:dyDescent="0.2">
      <c r="A438" t="s">
        <v>58</v>
      </c>
      <c r="B438" t="s">
        <v>105</v>
      </c>
      <c r="E438" t="s">
        <v>6</v>
      </c>
    </row>
    <row r="439" spans="1:5" x14ac:dyDescent="0.2">
      <c r="A439" t="s">
        <v>59</v>
      </c>
      <c r="B439" t="s">
        <v>105</v>
      </c>
      <c r="E439" t="s">
        <v>6</v>
      </c>
    </row>
    <row r="440" spans="1:5" x14ac:dyDescent="0.2">
      <c r="A440" t="s">
        <v>60</v>
      </c>
      <c r="B440" t="s">
        <v>105</v>
      </c>
      <c r="E440" t="s">
        <v>6</v>
      </c>
    </row>
    <row r="441" spans="1:5" x14ac:dyDescent="0.2">
      <c r="A441" t="s">
        <v>61</v>
      </c>
      <c r="B441" t="s">
        <v>105</v>
      </c>
      <c r="E441" t="s">
        <v>6</v>
      </c>
    </row>
    <row r="442" spans="1:5" x14ac:dyDescent="0.2">
      <c r="A442" t="s">
        <v>62</v>
      </c>
      <c r="B442" t="s">
        <v>105</v>
      </c>
      <c r="E442" t="s">
        <v>6</v>
      </c>
    </row>
    <row r="443" spans="1:5" x14ac:dyDescent="0.2">
      <c r="A443" t="s">
        <v>63</v>
      </c>
      <c r="B443" t="s">
        <v>105</v>
      </c>
      <c r="E443" t="s">
        <v>6</v>
      </c>
    </row>
    <row r="444" spans="1:5" x14ac:dyDescent="0.2">
      <c r="A444" t="s">
        <v>64</v>
      </c>
      <c r="B444" t="s">
        <v>105</v>
      </c>
      <c r="E444" t="s">
        <v>6</v>
      </c>
    </row>
    <row r="445" spans="1:5" x14ac:dyDescent="0.2">
      <c r="A445" t="s">
        <v>65</v>
      </c>
      <c r="B445" t="s">
        <v>105</v>
      </c>
      <c r="E445" t="s">
        <v>6</v>
      </c>
    </row>
    <row r="446" spans="1:5" x14ac:dyDescent="0.2">
      <c r="A446" t="s">
        <v>66</v>
      </c>
      <c r="B446" t="s">
        <v>105</v>
      </c>
      <c r="E446" t="s">
        <v>6</v>
      </c>
    </row>
    <row r="447" spans="1:5" x14ac:dyDescent="0.2">
      <c r="A447" t="s">
        <v>67</v>
      </c>
      <c r="B447" t="s">
        <v>105</v>
      </c>
      <c r="E447" t="s">
        <v>6</v>
      </c>
    </row>
    <row r="448" spans="1:5" x14ac:dyDescent="0.2">
      <c r="A448" t="s">
        <v>68</v>
      </c>
      <c r="B448" t="s">
        <v>105</v>
      </c>
      <c r="E448" t="s">
        <v>6</v>
      </c>
    </row>
    <row r="449" spans="1:5" x14ac:dyDescent="0.2">
      <c r="A449" t="s">
        <v>69</v>
      </c>
      <c r="B449" t="s">
        <v>105</v>
      </c>
      <c r="E449" t="s">
        <v>6</v>
      </c>
    </row>
    <row r="450" spans="1:5" x14ac:dyDescent="0.2">
      <c r="A450" t="s">
        <v>70</v>
      </c>
      <c r="B450" t="s">
        <v>105</v>
      </c>
      <c r="E450" t="s">
        <v>6</v>
      </c>
    </row>
    <row r="451" spans="1:5" x14ac:dyDescent="0.2">
      <c r="A451" t="s">
        <v>71</v>
      </c>
      <c r="B451" t="s">
        <v>105</v>
      </c>
      <c r="E451" t="s">
        <v>6</v>
      </c>
    </row>
    <row r="452" spans="1:5" x14ac:dyDescent="0.2">
      <c r="A452" t="s">
        <v>72</v>
      </c>
      <c r="B452" t="s">
        <v>105</v>
      </c>
      <c r="E452" t="s">
        <v>6</v>
      </c>
    </row>
    <row r="453" spans="1:5" x14ac:dyDescent="0.2">
      <c r="A453" t="s">
        <v>73</v>
      </c>
      <c r="B453" t="s">
        <v>105</v>
      </c>
      <c r="E453" t="s">
        <v>6</v>
      </c>
    </row>
    <row r="454" spans="1:5" x14ac:dyDescent="0.2">
      <c r="A454" t="s">
        <v>74</v>
      </c>
      <c r="B454" t="s">
        <v>105</v>
      </c>
      <c r="E454" t="s">
        <v>6</v>
      </c>
    </row>
    <row r="455" spans="1:5" x14ac:dyDescent="0.2">
      <c r="A455" t="s">
        <v>75</v>
      </c>
      <c r="B455" t="s">
        <v>105</v>
      </c>
      <c r="E455" t="s">
        <v>6</v>
      </c>
    </row>
    <row r="456" spans="1:5" x14ac:dyDescent="0.2">
      <c r="A456" t="s">
        <v>76</v>
      </c>
      <c r="B456" t="s">
        <v>105</v>
      </c>
      <c r="E456" t="s">
        <v>6</v>
      </c>
    </row>
    <row r="457" spans="1:5" x14ac:dyDescent="0.2">
      <c r="A457" t="s">
        <v>77</v>
      </c>
      <c r="B457" t="s">
        <v>105</v>
      </c>
      <c r="E457" t="s">
        <v>6</v>
      </c>
    </row>
    <row r="458" spans="1:5" x14ac:dyDescent="0.2">
      <c r="A458" t="s">
        <v>78</v>
      </c>
      <c r="B458" t="s">
        <v>105</v>
      </c>
      <c r="E458" t="s">
        <v>6</v>
      </c>
    </row>
    <row r="459" spans="1:5" x14ac:dyDescent="0.2">
      <c r="A459" t="s">
        <v>79</v>
      </c>
      <c r="B459" t="s">
        <v>105</v>
      </c>
      <c r="E459" t="s">
        <v>6</v>
      </c>
    </row>
    <row r="460" spans="1:5" x14ac:dyDescent="0.2">
      <c r="A460" t="s">
        <v>80</v>
      </c>
      <c r="B460" t="s">
        <v>105</v>
      </c>
      <c r="E460" t="s">
        <v>6</v>
      </c>
    </row>
    <row r="461" spans="1:5" x14ac:dyDescent="0.2">
      <c r="A461" t="s">
        <v>81</v>
      </c>
      <c r="B461" t="s">
        <v>105</v>
      </c>
      <c r="E461" t="s">
        <v>6</v>
      </c>
    </row>
    <row r="462" spans="1:5" x14ac:dyDescent="0.2">
      <c r="A462" t="s">
        <v>82</v>
      </c>
      <c r="B462" t="s">
        <v>105</v>
      </c>
      <c r="E462" t="s">
        <v>6</v>
      </c>
    </row>
    <row r="463" spans="1:5" x14ac:dyDescent="0.2">
      <c r="A463" t="s">
        <v>83</v>
      </c>
      <c r="B463" t="s">
        <v>105</v>
      </c>
      <c r="E463" t="s">
        <v>6</v>
      </c>
    </row>
    <row r="464" spans="1:5" x14ac:dyDescent="0.2">
      <c r="A464" t="s">
        <v>84</v>
      </c>
      <c r="B464" t="s">
        <v>105</v>
      </c>
      <c r="E464" t="s">
        <v>6</v>
      </c>
    </row>
    <row r="465" spans="1:5" x14ac:dyDescent="0.2">
      <c r="A465" t="s">
        <v>85</v>
      </c>
      <c r="B465" t="s">
        <v>105</v>
      </c>
      <c r="E465" t="s">
        <v>6</v>
      </c>
    </row>
    <row r="466" spans="1:5" x14ac:dyDescent="0.2">
      <c r="A466" t="s">
        <v>86</v>
      </c>
      <c r="B466" t="s">
        <v>105</v>
      </c>
      <c r="E466" t="s">
        <v>6</v>
      </c>
    </row>
    <row r="467" spans="1:5" x14ac:dyDescent="0.2">
      <c r="A467" t="s">
        <v>87</v>
      </c>
      <c r="B467" t="s">
        <v>105</v>
      </c>
      <c r="E467" t="s">
        <v>6</v>
      </c>
    </row>
    <row r="468" spans="1:5" x14ac:dyDescent="0.2">
      <c r="A468" t="s">
        <v>88</v>
      </c>
      <c r="B468" t="s">
        <v>105</v>
      </c>
      <c r="E468" t="s">
        <v>6</v>
      </c>
    </row>
    <row r="469" spans="1:5" x14ac:dyDescent="0.2">
      <c r="A469" t="s">
        <v>89</v>
      </c>
      <c r="B469" t="s">
        <v>105</v>
      </c>
      <c r="E469" t="s">
        <v>6</v>
      </c>
    </row>
    <row r="470" spans="1:5" x14ac:dyDescent="0.2">
      <c r="A470" t="s">
        <v>90</v>
      </c>
      <c r="B470" t="s">
        <v>105</v>
      </c>
      <c r="E470" t="s">
        <v>6</v>
      </c>
    </row>
    <row r="471" spans="1:5" x14ac:dyDescent="0.2">
      <c r="A471" t="s">
        <v>91</v>
      </c>
      <c r="B471" t="s">
        <v>105</v>
      </c>
      <c r="E471" t="s">
        <v>6</v>
      </c>
    </row>
    <row r="472" spans="1:5" x14ac:dyDescent="0.2">
      <c r="A472" t="s">
        <v>92</v>
      </c>
      <c r="B472" t="s">
        <v>105</v>
      </c>
      <c r="E472" t="s">
        <v>6</v>
      </c>
    </row>
    <row r="473" spans="1:5" x14ac:dyDescent="0.2">
      <c r="A473" t="s">
        <v>93</v>
      </c>
      <c r="B473" t="s">
        <v>105</v>
      </c>
      <c r="E473" t="s">
        <v>6</v>
      </c>
    </row>
    <row r="474" spans="1:5" x14ac:dyDescent="0.2">
      <c r="A474" t="s">
        <v>94</v>
      </c>
      <c r="B474" t="s">
        <v>105</v>
      </c>
      <c r="E474" t="s">
        <v>6</v>
      </c>
    </row>
    <row r="475" spans="1:5" x14ac:dyDescent="0.2">
      <c r="A475" t="s">
        <v>95</v>
      </c>
      <c r="B475" t="s">
        <v>105</v>
      </c>
      <c r="E475" t="s">
        <v>6</v>
      </c>
    </row>
    <row r="476" spans="1:5" x14ac:dyDescent="0.2">
      <c r="A476" t="s">
        <v>96</v>
      </c>
      <c r="B476" t="s">
        <v>105</v>
      </c>
      <c r="E476" t="s">
        <v>6</v>
      </c>
    </row>
    <row r="477" spans="1:5" x14ac:dyDescent="0.2">
      <c r="A477" t="s">
        <v>97</v>
      </c>
      <c r="B477" t="s">
        <v>105</v>
      </c>
      <c r="E477" t="s">
        <v>6</v>
      </c>
    </row>
    <row r="478" spans="1:5" x14ac:dyDescent="0.2">
      <c r="A478" t="s">
        <v>98</v>
      </c>
      <c r="B478" t="s">
        <v>105</v>
      </c>
      <c r="E478" t="s">
        <v>6</v>
      </c>
    </row>
    <row r="479" spans="1:5" x14ac:dyDescent="0.2">
      <c r="A479" t="s">
        <v>99</v>
      </c>
      <c r="B479" t="s">
        <v>105</v>
      </c>
      <c r="E479" t="s">
        <v>6</v>
      </c>
    </row>
    <row r="480" spans="1:5" x14ac:dyDescent="0.2">
      <c r="A480" t="s">
        <v>100</v>
      </c>
      <c r="B480" t="s">
        <v>105</v>
      </c>
      <c r="E480" t="s">
        <v>6</v>
      </c>
    </row>
    <row r="481" spans="1:5" x14ac:dyDescent="0.2">
      <c r="A481" t="s">
        <v>101</v>
      </c>
      <c r="B481" t="s">
        <v>105</v>
      </c>
      <c r="E48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PCR User</dc:creator>
  <cp:lastModifiedBy>Microsoft Office User</cp:lastModifiedBy>
  <dcterms:created xsi:type="dcterms:W3CDTF">2016-06-09T20:51:57Z</dcterms:created>
  <dcterms:modified xsi:type="dcterms:W3CDTF">2024-03-19T13:45:59Z</dcterms:modified>
</cp:coreProperties>
</file>