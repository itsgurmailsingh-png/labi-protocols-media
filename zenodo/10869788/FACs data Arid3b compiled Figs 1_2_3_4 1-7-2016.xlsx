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ich/Desktop/Arid3B PLOS 1 paper data/"/>
    </mc:Choice>
  </mc:AlternateContent>
  <xr:revisionPtr revIDLastSave="0" documentId="8_{DE1A8DE9-3E24-2445-99D5-E24B407F8876}" xr6:coauthVersionLast="47" xr6:coauthVersionMax="47" xr10:uidLastSave="{00000000-0000-0000-0000-000000000000}"/>
  <bookViews>
    <workbookView xWindow="480" yWindow="740" windowWidth="27940" windowHeight="17260" activeTab="1" xr2:uid="{00000000-000D-0000-FFFF-FFFF00000000}"/>
  </bookViews>
  <sheets>
    <sheet name="Chart1" sheetId="4" r:id="rId1"/>
    <sheet name="Sheet1" sheetId="1" r:id="rId2"/>
    <sheet name="Sheet2" sheetId="2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2" i="1" l="1"/>
  <c r="Y83" i="1"/>
  <c r="Y84" i="1"/>
  <c r="Y85" i="1"/>
  <c r="Y86" i="1"/>
  <c r="Y87" i="1"/>
  <c r="Y88" i="1"/>
  <c r="Y89" i="1"/>
  <c r="Y90" i="1"/>
  <c r="Y91" i="1"/>
  <c r="Y92" i="1"/>
  <c r="Y93" i="1"/>
  <c r="Y94" i="1"/>
  <c r="X82" i="1"/>
  <c r="X83" i="1"/>
  <c r="X84" i="1"/>
  <c r="X97" i="1" s="1"/>
  <c r="X85" i="1"/>
  <c r="X86" i="1"/>
  <c r="X87" i="1"/>
  <c r="X88" i="1"/>
  <c r="X89" i="1"/>
  <c r="X90" i="1"/>
  <c r="X91" i="1"/>
  <c r="Y81" i="1"/>
  <c r="Y97" i="1" s="1"/>
  <c r="X81" i="1"/>
  <c r="X98" i="1" s="1"/>
  <c r="J90" i="1"/>
  <c r="M90" i="1"/>
  <c r="J81" i="1"/>
  <c r="J104" i="1" s="1"/>
  <c r="K96" i="1"/>
  <c r="J82" i="1"/>
  <c r="J83" i="1"/>
  <c r="K81" i="1"/>
  <c r="K101" i="1" s="1"/>
  <c r="K82" i="1"/>
  <c r="K83" i="1"/>
  <c r="J92" i="1"/>
  <c r="J93" i="1"/>
  <c r="J94" i="1"/>
  <c r="K95" i="1"/>
  <c r="K97" i="1"/>
  <c r="M92" i="1"/>
  <c r="M93" i="1"/>
  <c r="M94" i="1"/>
  <c r="N95" i="1"/>
  <c r="N96" i="1"/>
  <c r="N97" i="1"/>
  <c r="K84" i="1"/>
  <c r="K85" i="1"/>
  <c r="K86" i="1"/>
  <c r="K90" i="1"/>
  <c r="K91" i="1"/>
  <c r="K92" i="1"/>
  <c r="K93" i="1"/>
  <c r="K94" i="1"/>
  <c r="J84" i="1"/>
  <c r="J85" i="1"/>
  <c r="J86" i="1"/>
  <c r="J91" i="1"/>
  <c r="G81" i="1"/>
  <c r="H81" i="1"/>
  <c r="G82" i="1"/>
  <c r="H82" i="1"/>
  <c r="G83" i="1"/>
  <c r="H83" i="1"/>
  <c r="G84" i="1"/>
  <c r="H84" i="1"/>
  <c r="G85" i="1"/>
  <c r="H85" i="1"/>
  <c r="G86" i="1"/>
  <c r="H86" i="1"/>
  <c r="G87" i="1"/>
  <c r="H87" i="1"/>
  <c r="G88" i="1"/>
  <c r="H88" i="1"/>
  <c r="G89" i="1"/>
  <c r="H89" i="1"/>
  <c r="G90" i="1"/>
  <c r="H90" i="1"/>
  <c r="G91" i="1"/>
  <c r="H91" i="1"/>
  <c r="G92" i="1"/>
  <c r="H92" i="1"/>
  <c r="G93" i="1"/>
  <c r="H93" i="1"/>
  <c r="G94" i="1"/>
  <c r="H94" i="1"/>
  <c r="H95" i="1"/>
  <c r="H96" i="1"/>
  <c r="H97" i="1"/>
  <c r="AE49" i="1"/>
  <c r="AE50" i="1"/>
  <c r="AE51" i="1"/>
  <c r="AE52" i="1"/>
  <c r="AE53" i="1"/>
  <c r="AE54" i="1"/>
  <c r="AE48" i="1"/>
  <c r="AE59" i="1" s="1"/>
  <c r="AB49" i="1"/>
  <c r="AB50" i="1"/>
  <c r="AB51" i="1"/>
  <c r="AB52" i="1"/>
  <c r="AB53" i="1"/>
  <c r="AB54" i="1"/>
  <c r="AB48" i="1"/>
  <c r="AB58" i="1" s="1"/>
  <c r="Y49" i="1"/>
  <c r="Y59" i="1" s="1"/>
  <c r="Y50" i="1"/>
  <c r="Y51" i="1"/>
  <c r="Y52" i="1"/>
  <c r="Y53" i="1"/>
  <c r="Y54" i="1"/>
  <c r="Y48" i="1"/>
  <c r="Y58" i="1" s="1"/>
  <c r="AA48" i="1"/>
  <c r="AA59" i="1" s="1"/>
  <c r="AD48" i="1"/>
  <c r="AD59" i="1" s="1"/>
  <c r="AA49" i="1"/>
  <c r="AD49" i="1"/>
  <c r="AA50" i="1"/>
  <c r="AD50" i="1"/>
  <c r="AA51" i="1"/>
  <c r="AD51" i="1"/>
  <c r="AA52" i="1"/>
  <c r="AD52" i="1"/>
  <c r="X49" i="1"/>
  <c r="X50" i="1"/>
  <c r="X51" i="1"/>
  <c r="X52" i="1"/>
  <c r="X48" i="1"/>
  <c r="AA45" i="1"/>
  <c r="X45" i="1"/>
  <c r="AD45" i="1"/>
  <c r="Y41" i="1"/>
  <c r="AA41" i="1"/>
  <c r="AB41" i="1"/>
  <c r="AD41" i="1"/>
  <c r="AE41" i="1"/>
  <c r="X41" i="1"/>
  <c r="F75" i="1"/>
  <c r="E75" i="1"/>
  <c r="D75" i="1"/>
  <c r="E73" i="1"/>
  <c r="F73" i="1"/>
  <c r="G73" i="1"/>
  <c r="H73" i="1"/>
  <c r="I73" i="1"/>
  <c r="D73" i="1"/>
  <c r="E72" i="1"/>
  <c r="F72" i="1"/>
  <c r="G72" i="1"/>
  <c r="H72" i="1"/>
  <c r="I72" i="1"/>
  <c r="D72" i="1"/>
  <c r="AE58" i="1" l="1"/>
  <c r="AB59" i="1"/>
  <c r="AD58" i="1"/>
  <c r="AD61" i="1"/>
  <c r="J101" i="1"/>
  <c r="AA61" i="1"/>
  <c r="AG41" i="1"/>
  <c r="AA58" i="1"/>
  <c r="X59" i="1"/>
  <c r="Y98" i="1"/>
  <c r="N93" i="1"/>
  <c r="N91" i="1"/>
  <c r="N89" i="1"/>
  <c r="N87" i="1"/>
  <c r="N85" i="1"/>
  <c r="N94" i="1"/>
  <c r="N92" i="1"/>
  <c r="N90" i="1"/>
  <c r="N88" i="1"/>
  <c r="N86" i="1"/>
  <c r="N84" i="1"/>
  <c r="M88" i="1"/>
  <c r="M86" i="1"/>
  <c r="M84" i="1"/>
  <c r="M91" i="1"/>
  <c r="M89" i="1"/>
  <c r="M87" i="1"/>
  <c r="M85" i="1"/>
  <c r="X58" i="1"/>
  <c r="X61" i="1"/>
  <c r="AH41" i="1"/>
  <c r="U52" i="1"/>
  <c r="U53" i="1"/>
  <c r="U54" i="1"/>
  <c r="U55" i="1"/>
  <c r="U56" i="1"/>
  <c r="U51" i="1"/>
  <c r="O52" i="1"/>
  <c r="O53" i="1"/>
  <c r="O54" i="1"/>
  <c r="O55" i="1"/>
  <c r="O56" i="1"/>
  <c r="O51" i="1"/>
  <c r="J51" i="1"/>
  <c r="D58" i="1"/>
  <c r="V56" i="1" s="1"/>
  <c r="A58" i="1"/>
  <c r="C58" i="1" s="1"/>
  <c r="B58" i="1"/>
  <c r="D39" i="1"/>
  <c r="D37" i="1"/>
  <c r="C41" i="1"/>
  <c r="C42" i="1" s="1"/>
  <c r="D38" i="1"/>
  <c r="D41" i="1" s="1"/>
  <c r="D42" i="1" s="1"/>
  <c r="D40" i="1"/>
  <c r="C38" i="1"/>
  <c r="C39" i="1"/>
  <c r="C40" i="1"/>
  <c r="C37" i="1"/>
  <c r="CD7" i="1"/>
  <c r="CD8" i="1"/>
  <c r="CD9" i="1"/>
  <c r="CD10" i="1"/>
  <c r="CD11" i="1"/>
  <c r="CD15" i="1"/>
  <c r="CD16" i="1"/>
  <c r="CD17" i="1"/>
  <c r="CD18" i="1"/>
  <c r="CD19" i="1"/>
  <c r="CC7" i="1"/>
  <c r="CC8" i="1"/>
  <c r="CC9" i="1"/>
  <c r="CC10" i="1"/>
  <c r="CC15" i="1"/>
  <c r="CC16" i="1"/>
  <c r="CD3" i="1"/>
  <c r="CC3" i="1"/>
  <c r="BX4" i="1"/>
  <c r="BX5" i="1"/>
  <c r="BX6" i="1"/>
  <c r="BX7" i="1"/>
  <c r="BX11" i="1"/>
  <c r="BX12" i="1"/>
  <c r="BX13" i="1"/>
  <c r="BX3" i="1"/>
  <c r="BW4" i="1"/>
  <c r="BW3" i="1"/>
  <c r="F25" i="1"/>
  <c r="AO7" i="1" s="1"/>
  <c r="E25" i="1"/>
  <c r="B14" i="1"/>
  <c r="CD4" i="1" s="1"/>
  <c r="A14" i="1"/>
  <c r="N11" i="1" s="1"/>
  <c r="V36" i="1" l="1"/>
  <c r="P34" i="1"/>
  <c r="P33" i="1"/>
  <c r="J39" i="1"/>
  <c r="J34" i="1"/>
  <c r="V40" i="1"/>
  <c r="J35" i="1"/>
  <c r="V37" i="1"/>
  <c r="P35" i="1"/>
  <c r="J40" i="1"/>
  <c r="V39" i="1"/>
  <c r="P38" i="1"/>
  <c r="J33" i="1"/>
  <c r="J45" i="1" s="1"/>
  <c r="V33" i="1"/>
  <c r="P39" i="1"/>
  <c r="J36" i="1"/>
  <c r="J37" i="1"/>
  <c r="V38" i="1"/>
  <c r="P36" i="1"/>
  <c r="J41" i="1"/>
  <c r="P37" i="1"/>
  <c r="J42" i="1"/>
  <c r="V34" i="1"/>
  <c r="P40" i="1"/>
  <c r="V35" i="1"/>
  <c r="P41" i="1"/>
  <c r="J38" i="1"/>
  <c r="U36" i="1"/>
  <c r="I36" i="1"/>
  <c r="U33" i="1"/>
  <c r="I39" i="1"/>
  <c r="I40" i="1"/>
  <c r="O37" i="1"/>
  <c r="I43" i="1"/>
  <c r="U37" i="1"/>
  <c r="O38" i="1"/>
  <c r="I37" i="1"/>
  <c r="O35" i="1"/>
  <c r="O36" i="1"/>
  <c r="I41" i="1"/>
  <c r="U38" i="1"/>
  <c r="O34" i="1"/>
  <c r="I38" i="1"/>
  <c r="U34" i="1"/>
  <c r="O33" i="1"/>
  <c r="I34" i="1"/>
  <c r="I42" i="1"/>
  <c r="U35" i="1"/>
  <c r="I35" i="1"/>
  <c r="I33" i="1"/>
  <c r="O60" i="1"/>
  <c r="BX20" i="1"/>
  <c r="P54" i="1"/>
  <c r="V55" i="1"/>
  <c r="O58" i="1"/>
  <c r="U58" i="1"/>
  <c r="BW7" i="1"/>
  <c r="BX10" i="1"/>
  <c r="CC13" i="1"/>
  <c r="CC5" i="1"/>
  <c r="CD14" i="1"/>
  <c r="CD6" i="1"/>
  <c r="J53" i="1"/>
  <c r="P53" i="1"/>
  <c r="V54" i="1"/>
  <c r="J56" i="1"/>
  <c r="P52" i="1"/>
  <c r="V53" i="1"/>
  <c r="N101" i="1"/>
  <c r="Q101" i="1" s="1"/>
  <c r="P101" i="1"/>
  <c r="V52" i="1"/>
  <c r="U59" i="1" s="1"/>
  <c r="CC6" i="1"/>
  <c r="BW6" i="1"/>
  <c r="BX9" i="1"/>
  <c r="CC12" i="1"/>
  <c r="CC4" i="1"/>
  <c r="CC23" i="1" s="1"/>
  <c r="CD13" i="1"/>
  <c r="CD5" i="1"/>
  <c r="CD22" i="1" s="1"/>
  <c r="J52" i="1"/>
  <c r="J58" i="1" s="1"/>
  <c r="P51" i="1"/>
  <c r="O59" i="1" s="1"/>
  <c r="V51" i="1"/>
  <c r="J55" i="1"/>
  <c r="P56" i="1"/>
  <c r="BW8" i="1"/>
  <c r="BW22" i="1" s="1"/>
  <c r="CC14" i="1"/>
  <c r="J54" i="1"/>
  <c r="BW5" i="1"/>
  <c r="BW21" i="1" s="1"/>
  <c r="BX8" i="1"/>
  <c r="CC11" i="1"/>
  <c r="CD20" i="1"/>
  <c r="CD12" i="1"/>
  <c r="P55" i="1"/>
  <c r="M101" i="1"/>
  <c r="M104" i="1"/>
  <c r="N100" i="1"/>
  <c r="K100" i="1"/>
  <c r="Q100" i="1" s="1"/>
  <c r="J100" i="1"/>
  <c r="M100" i="1"/>
  <c r="I52" i="1"/>
  <c r="I54" i="1"/>
  <c r="I56" i="1"/>
  <c r="I53" i="1"/>
  <c r="I55" i="1"/>
  <c r="I51" i="1"/>
  <c r="BR5" i="1"/>
  <c r="BR7" i="1"/>
  <c r="BR9" i="1"/>
  <c r="BR11" i="1"/>
  <c r="BR13" i="1"/>
  <c r="BL4" i="1"/>
  <c r="BL6" i="1"/>
  <c r="BL8" i="1"/>
  <c r="BL10" i="1"/>
  <c r="BL12" i="1"/>
  <c r="BL3" i="1"/>
  <c r="BF5" i="1"/>
  <c r="BF7" i="1"/>
  <c r="BF9" i="1"/>
  <c r="BF11" i="1"/>
  <c r="BF13" i="1"/>
  <c r="BF15" i="1"/>
  <c r="BF17" i="1"/>
  <c r="BF19" i="1"/>
  <c r="BR4" i="1"/>
  <c r="BR6" i="1"/>
  <c r="BR8" i="1"/>
  <c r="BR10" i="1"/>
  <c r="BR12" i="1"/>
  <c r="BR3" i="1"/>
  <c r="BL5" i="1"/>
  <c r="BL7" i="1"/>
  <c r="BL9" i="1"/>
  <c r="BL11" i="1"/>
  <c r="BL13" i="1"/>
  <c r="BF4" i="1"/>
  <c r="BF6" i="1"/>
  <c r="BF8" i="1"/>
  <c r="BF10" i="1"/>
  <c r="BF12" i="1"/>
  <c r="BF14" i="1"/>
  <c r="BF16" i="1"/>
  <c r="BF18" i="1"/>
  <c r="BF3" i="1"/>
  <c r="AA4" i="1"/>
  <c r="AA6" i="1"/>
  <c r="AA8" i="1"/>
  <c r="AA10" i="1"/>
  <c r="U5" i="1"/>
  <c r="U7" i="1"/>
  <c r="U9" i="1"/>
  <c r="U11" i="1"/>
  <c r="U3" i="1"/>
  <c r="O4" i="1"/>
  <c r="O6" i="1"/>
  <c r="O8" i="1"/>
  <c r="O10" i="1"/>
  <c r="O12" i="1"/>
  <c r="O14" i="1"/>
  <c r="O16" i="1"/>
  <c r="O18" i="1"/>
  <c r="O20" i="1"/>
  <c r="AA5" i="1"/>
  <c r="AA7" i="1"/>
  <c r="AA9" i="1"/>
  <c r="AA11" i="1"/>
  <c r="AA3" i="1"/>
  <c r="U4" i="1"/>
  <c r="U6" i="1"/>
  <c r="U8" i="1"/>
  <c r="U10" i="1"/>
  <c r="O5" i="1"/>
  <c r="O7" i="1"/>
  <c r="O9" i="1"/>
  <c r="O11" i="1"/>
  <c r="O13" i="1"/>
  <c r="O15" i="1"/>
  <c r="O17" i="1"/>
  <c r="O19" i="1"/>
  <c r="O3" i="1"/>
  <c r="H23" i="1"/>
  <c r="H21" i="1"/>
  <c r="H19" i="1"/>
  <c r="H17" i="1"/>
  <c r="H15" i="1"/>
  <c r="H13" i="1"/>
  <c r="H11" i="1"/>
  <c r="H9" i="1"/>
  <c r="H7" i="1"/>
  <c r="H5" i="1"/>
  <c r="I3" i="1"/>
  <c r="I19" i="1"/>
  <c r="I17" i="1"/>
  <c r="I15" i="1"/>
  <c r="I13" i="1"/>
  <c r="I11" i="1"/>
  <c r="I9" i="1"/>
  <c r="I7" i="1"/>
  <c r="I5" i="1"/>
  <c r="N3" i="1"/>
  <c r="N22" i="1"/>
  <c r="N20" i="1"/>
  <c r="N18" i="1"/>
  <c r="N15" i="1"/>
  <c r="BQ4" i="1"/>
  <c r="BQ6" i="1"/>
  <c r="BQ8" i="1"/>
  <c r="BK5" i="1"/>
  <c r="BK7" i="1"/>
  <c r="BK3" i="1"/>
  <c r="BE4" i="1"/>
  <c r="BE6" i="1"/>
  <c r="BE8" i="1"/>
  <c r="BE10" i="1"/>
  <c r="BE12" i="1"/>
  <c r="BE14" i="1"/>
  <c r="BE16" i="1"/>
  <c r="BQ5" i="1"/>
  <c r="BQ7" i="1"/>
  <c r="BQ3" i="1"/>
  <c r="BK4" i="1"/>
  <c r="BK6" i="1"/>
  <c r="BK8" i="1"/>
  <c r="BE5" i="1"/>
  <c r="BE7" i="1"/>
  <c r="BE9" i="1"/>
  <c r="BE11" i="1"/>
  <c r="BE13" i="1"/>
  <c r="BE15" i="1"/>
  <c r="BE3" i="1"/>
  <c r="Z4" i="1"/>
  <c r="Z6" i="1"/>
  <c r="Z8" i="1"/>
  <c r="Z10" i="1"/>
  <c r="Z12" i="1"/>
  <c r="Z14" i="1"/>
  <c r="Z16" i="1"/>
  <c r="Z18" i="1"/>
  <c r="Z3" i="1"/>
  <c r="T5" i="1"/>
  <c r="T7" i="1"/>
  <c r="T9" i="1"/>
  <c r="T11" i="1"/>
  <c r="T13" i="1"/>
  <c r="T15" i="1"/>
  <c r="T17" i="1"/>
  <c r="N4" i="1"/>
  <c r="N6" i="1"/>
  <c r="N8" i="1"/>
  <c r="N10" i="1"/>
  <c r="N12" i="1"/>
  <c r="N14" i="1"/>
  <c r="N16" i="1"/>
  <c r="Z5" i="1"/>
  <c r="Z7" i="1"/>
  <c r="Z9" i="1"/>
  <c r="Z11" i="1"/>
  <c r="Z13" i="1"/>
  <c r="Z15" i="1"/>
  <c r="Z17" i="1"/>
  <c r="T4" i="1"/>
  <c r="T6" i="1"/>
  <c r="T8" i="1"/>
  <c r="T10" i="1"/>
  <c r="T12" i="1"/>
  <c r="T14" i="1"/>
  <c r="T16" i="1"/>
  <c r="T18" i="1"/>
  <c r="T3" i="1"/>
  <c r="N5" i="1"/>
  <c r="N7" i="1"/>
  <c r="H3" i="1"/>
  <c r="H22" i="1"/>
  <c r="H20" i="1"/>
  <c r="H18" i="1"/>
  <c r="H16" i="1"/>
  <c r="H14" i="1"/>
  <c r="H12" i="1"/>
  <c r="H10" i="1"/>
  <c r="H8" i="1"/>
  <c r="H6" i="1"/>
  <c r="H4" i="1"/>
  <c r="I20" i="1"/>
  <c r="I18" i="1"/>
  <c r="I16" i="1"/>
  <c r="I14" i="1"/>
  <c r="I12" i="1"/>
  <c r="I10" i="1"/>
  <c r="I8" i="1"/>
  <c r="I6" i="1"/>
  <c r="I4" i="1"/>
  <c r="N23" i="1"/>
  <c r="N21" i="1"/>
  <c r="N19" i="1"/>
  <c r="N17" i="1"/>
  <c r="N13" i="1"/>
  <c r="N9" i="1"/>
  <c r="AR7" i="1"/>
  <c r="AV5" i="1"/>
  <c r="AY5" i="1" s="1"/>
  <c r="AV7" i="1"/>
  <c r="AY7" i="1" s="1"/>
  <c r="AV9" i="1"/>
  <c r="AY9" i="1" s="1"/>
  <c r="AV11" i="1"/>
  <c r="AY11" i="1" s="1"/>
  <c r="AV13" i="1"/>
  <c r="AY13" i="1" s="1"/>
  <c r="AV15" i="1"/>
  <c r="AY15" i="1" s="1"/>
  <c r="AV17" i="1"/>
  <c r="AY17" i="1" s="1"/>
  <c r="AV4" i="1"/>
  <c r="AY4" i="1" s="1"/>
  <c r="AV6" i="1"/>
  <c r="AY6" i="1" s="1"/>
  <c r="AV8" i="1"/>
  <c r="AY8" i="1" s="1"/>
  <c r="AV10" i="1"/>
  <c r="AY10" i="1" s="1"/>
  <c r="AV12" i="1"/>
  <c r="AY12" i="1" s="1"/>
  <c r="AV14" i="1"/>
  <c r="AY14" i="1" s="1"/>
  <c r="AV16" i="1"/>
  <c r="AY16" i="1" s="1"/>
  <c r="AV3" i="1"/>
  <c r="AY3" i="1" s="1"/>
  <c r="AF3" i="1"/>
  <c r="AI3" i="1" s="1"/>
  <c r="AF16" i="1"/>
  <c r="AI16" i="1" s="1"/>
  <c r="AF14" i="1"/>
  <c r="AI14" i="1" s="1"/>
  <c r="AF12" i="1"/>
  <c r="AI12" i="1" s="1"/>
  <c r="AF10" i="1"/>
  <c r="AI10" i="1" s="1"/>
  <c r="AF8" i="1"/>
  <c r="AI8" i="1" s="1"/>
  <c r="AF6" i="1"/>
  <c r="AI6" i="1" s="1"/>
  <c r="AF4" i="1"/>
  <c r="AI4" i="1" s="1"/>
  <c r="AG15" i="1"/>
  <c r="AJ15" i="1" s="1"/>
  <c r="AG13" i="1"/>
  <c r="AJ13" i="1" s="1"/>
  <c r="AG11" i="1"/>
  <c r="AJ11" i="1" s="1"/>
  <c r="AG9" i="1"/>
  <c r="AJ9" i="1" s="1"/>
  <c r="AG7" i="1"/>
  <c r="AJ7" i="1" s="1"/>
  <c r="AG5" i="1"/>
  <c r="AJ5" i="1" s="1"/>
  <c r="AN3" i="1"/>
  <c r="AQ3" i="1" s="1"/>
  <c r="AN16" i="1"/>
  <c r="AQ16" i="1" s="1"/>
  <c r="AN14" i="1"/>
  <c r="AQ14" i="1" s="1"/>
  <c r="AN12" i="1"/>
  <c r="AQ12" i="1" s="1"/>
  <c r="AN10" i="1"/>
  <c r="AQ10" i="1" s="1"/>
  <c r="AN8" i="1"/>
  <c r="AQ8" i="1" s="1"/>
  <c r="AN6" i="1"/>
  <c r="AQ6" i="1" s="1"/>
  <c r="AN4" i="1"/>
  <c r="AQ4" i="1" s="1"/>
  <c r="AO15" i="1"/>
  <c r="AR15" i="1" s="1"/>
  <c r="AO13" i="1"/>
  <c r="AR13" i="1" s="1"/>
  <c r="AO11" i="1"/>
  <c r="AR11" i="1" s="1"/>
  <c r="AO9" i="1"/>
  <c r="AR9" i="1" s="1"/>
  <c r="AW4" i="1"/>
  <c r="AZ4" i="1" s="1"/>
  <c r="AW6" i="1"/>
  <c r="AZ6" i="1" s="1"/>
  <c r="AW8" i="1"/>
  <c r="AZ8" i="1" s="1"/>
  <c r="AW10" i="1"/>
  <c r="AZ10" i="1" s="1"/>
  <c r="AW12" i="1"/>
  <c r="AZ12" i="1" s="1"/>
  <c r="AW14" i="1"/>
  <c r="AZ14" i="1" s="1"/>
  <c r="AW3" i="1"/>
  <c r="AZ3" i="1" s="1"/>
  <c r="AO4" i="1"/>
  <c r="AR4" i="1" s="1"/>
  <c r="AO6" i="1"/>
  <c r="AR6" i="1" s="1"/>
  <c r="AW5" i="1"/>
  <c r="AZ5" i="1" s="1"/>
  <c r="AW7" i="1"/>
  <c r="AZ7" i="1" s="1"/>
  <c r="AW9" i="1"/>
  <c r="AZ9" i="1" s="1"/>
  <c r="AW11" i="1"/>
  <c r="AZ11" i="1" s="1"/>
  <c r="AW13" i="1"/>
  <c r="AZ13" i="1" s="1"/>
  <c r="AW15" i="1"/>
  <c r="AZ15" i="1" s="1"/>
  <c r="AF17" i="1"/>
  <c r="AI17" i="1" s="1"/>
  <c r="AF15" i="1"/>
  <c r="AI15" i="1" s="1"/>
  <c r="AF13" i="1"/>
  <c r="AI13" i="1" s="1"/>
  <c r="AF11" i="1"/>
  <c r="AI11" i="1" s="1"/>
  <c r="AF9" i="1"/>
  <c r="AI9" i="1" s="1"/>
  <c r="AF7" i="1"/>
  <c r="AI7" i="1" s="1"/>
  <c r="AF5" i="1"/>
  <c r="AI5" i="1" s="1"/>
  <c r="AG3" i="1"/>
  <c r="AJ3" i="1" s="1"/>
  <c r="AG14" i="1"/>
  <c r="AJ14" i="1" s="1"/>
  <c r="AG12" i="1"/>
  <c r="AJ12" i="1" s="1"/>
  <c r="AG10" i="1"/>
  <c r="AJ10" i="1" s="1"/>
  <c r="AG8" i="1"/>
  <c r="AJ8" i="1" s="1"/>
  <c r="AG6" i="1"/>
  <c r="AJ6" i="1" s="1"/>
  <c r="AG4" i="1"/>
  <c r="AJ4" i="1" s="1"/>
  <c r="AN17" i="1"/>
  <c r="AQ17" i="1" s="1"/>
  <c r="AN15" i="1"/>
  <c r="AQ15" i="1" s="1"/>
  <c r="AN13" i="1"/>
  <c r="AQ13" i="1" s="1"/>
  <c r="AN11" i="1"/>
  <c r="AQ11" i="1" s="1"/>
  <c r="AN9" i="1"/>
  <c r="AQ9" i="1" s="1"/>
  <c r="AN7" i="1"/>
  <c r="AQ7" i="1" s="1"/>
  <c r="AN5" i="1"/>
  <c r="AQ5" i="1" s="1"/>
  <c r="AO3" i="1"/>
  <c r="AR3" i="1" s="1"/>
  <c r="AO14" i="1"/>
  <c r="AR14" i="1" s="1"/>
  <c r="AO12" i="1"/>
  <c r="AR12" i="1" s="1"/>
  <c r="AO10" i="1"/>
  <c r="AR10" i="1" s="1"/>
  <c r="AO8" i="1"/>
  <c r="AR8" i="1" s="1"/>
  <c r="AO5" i="1"/>
  <c r="AR5" i="1" s="1"/>
  <c r="P45" i="1" l="1"/>
  <c r="O47" i="1"/>
  <c r="O46" i="1"/>
  <c r="O45" i="1"/>
  <c r="V45" i="1"/>
  <c r="BQ20" i="1"/>
  <c r="BQ22" i="1"/>
  <c r="BQ21" i="1"/>
  <c r="CC24" i="1"/>
  <c r="V58" i="1"/>
  <c r="BW20" i="1"/>
  <c r="I46" i="1"/>
  <c r="I45" i="1"/>
  <c r="I47" i="1"/>
  <c r="BR20" i="1"/>
  <c r="BF21" i="1"/>
  <c r="CC22" i="1"/>
  <c r="O24" i="1"/>
  <c r="AA22" i="1"/>
  <c r="P58" i="1"/>
  <c r="U45" i="1"/>
  <c r="U47" i="1"/>
  <c r="U46" i="1"/>
  <c r="U60" i="1"/>
  <c r="P100" i="1"/>
  <c r="I60" i="1"/>
  <c r="I59" i="1"/>
  <c r="I58" i="1"/>
  <c r="AY24" i="1"/>
  <c r="AY23" i="1"/>
  <c r="AY22" i="1"/>
  <c r="T24" i="1"/>
  <c r="T23" i="1"/>
  <c r="T25" i="1"/>
  <c r="Z24" i="1"/>
  <c r="Z23" i="1"/>
  <c r="Z22" i="1"/>
  <c r="I25" i="1"/>
  <c r="U23" i="1"/>
  <c r="AR22" i="1"/>
  <c r="AJ22" i="1"/>
  <c r="AZ22" i="1"/>
  <c r="AQ24" i="1"/>
  <c r="AQ23" i="1"/>
  <c r="AQ22" i="1"/>
  <c r="AI24" i="1"/>
  <c r="AI23" i="1"/>
  <c r="AI22" i="1"/>
  <c r="H27" i="1"/>
  <c r="H26" i="1"/>
  <c r="H25" i="1"/>
  <c r="BE22" i="1"/>
  <c r="BE21" i="1"/>
  <c r="BE23" i="1"/>
  <c r="BK23" i="1"/>
  <c r="BK22" i="1"/>
  <c r="BK21" i="1"/>
  <c r="N26" i="1"/>
  <c r="N25" i="1"/>
  <c r="N24" i="1"/>
  <c r="BL21" i="1"/>
</calcChain>
</file>

<file path=xl/sharedStrings.xml><?xml version="1.0" encoding="utf-8"?>
<sst xmlns="http://schemas.openxmlformats.org/spreadsheetml/2006/main" count="211" uniqueCount="64">
  <si>
    <t>WT</t>
  </si>
  <si>
    <t>Arid3b-/-</t>
  </si>
  <si>
    <t>ARID3B BM Cell Counts (*10^6)</t>
  </si>
  <si>
    <t>Average</t>
  </si>
  <si>
    <t>Percent B220+ Cells</t>
  </si>
  <si>
    <t>Actual Number B220+</t>
  </si>
  <si>
    <t>Avg</t>
  </si>
  <si>
    <t>ftest</t>
  </si>
  <si>
    <t>Ttest</t>
  </si>
  <si>
    <t>Percent CD11b+</t>
  </si>
  <si>
    <t>Actual Number CD11b+</t>
  </si>
  <si>
    <t>CD11b+ GR1+ Percent</t>
  </si>
  <si>
    <t>Actual Number CD11b+ Gr1+</t>
  </si>
  <si>
    <t>Percent CD11b+GR1-</t>
  </si>
  <si>
    <t>Actual Number CD11b+ Gr1-</t>
  </si>
  <si>
    <t>Pre and Pro percent</t>
  </si>
  <si>
    <t>adjusted percent</t>
  </si>
  <si>
    <t>Actual Number Pre Pro</t>
  </si>
  <si>
    <t>Immature percent</t>
  </si>
  <si>
    <t>Actual number Immature</t>
  </si>
  <si>
    <t>Mature Percent</t>
  </si>
  <si>
    <t>Adjusted Percent</t>
  </si>
  <si>
    <t>Actual number mature</t>
  </si>
  <si>
    <t>CLP cells per million</t>
  </si>
  <si>
    <t>Total CLP cells</t>
  </si>
  <si>
    <t>GMP cells per million</t>
  </si>
  <si>
    <t>Total GMP</t>
  </si>
  <si>
    <t>CMP cells per million</t>
  </si>
  <si>
    <t>Total CMP</t>
  </si>
  <si>
    <t>Total MEP</t>
  </si>
  <si>
    <t>MEP cells per million</t>
  </si>
  <si>
    <t>HSC Per million</t>
  </si>
  <si>
    <t>HSC total</t>
  </si>
  <si>
    <t>ARID3B Spleen Counts (*10^6)</t>
  </si>
  <si>
    <t>arid3b-/-</t>
  </si>
  <si>
    <t>AVG</t>
  </si>
  <si>
    <t>B220+CD19+ Percent</t>
  </si>
  <si>
    <t>*3 mL</t>
  </si>
  <si>
    <t>CD4+</t>
  </si>
  <si>
    <t>Total</t>
  </si>
  <si>
    <t>CD8+</t>
  </si>
  <si>
    <t>Arid3b Thymus counts</t>
  </si>
  <si>
    <t>CD4+ percent</t>
  </si>
  <si>
    <t>CD4 Total</t>
  </si>
  <si>
    <t>CD8+ Percent</t>
  </si>
  <si>
    <t>CD8 Total</t>
  </si>
  <si>
    <t>DP</t>
  </si>
  <si>
    <t>DP Total</t>
  </si>
  <si>
    <t>Peritoneal cavity</t>
  </si>
  <si>
    <t>KO</t>
  </si>
  <si>
    <t>counts (millions)</t>
  </si>
  <si>
    <t>B1a</t>
  </si>
  <si>
    <t>B1b</t>
  </si>
  <si>
    <t>B2</t>
  </si>
  <si>
    <t>wt</t>
  </si>
  <si>
    <t>ko</t>
  </si>
  <si>
    <t>avg</t>
  </si>
  <si>
    <t>std</t>
  </si>
  <si>
    <t>Fo</t>
  </si>
  <si>
    <t>Mz</t>
  </si>
  <si>
    <t>Transitional</t>
  </si>
  <si>
    <t>ALP</t>
  </si>
  <si>
    <t>BLP</t>
  </si>
  <si>
    <t>p=0.002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</si>
</sst>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Sheet1!$D$62:$D$64</c:f>
              <c:strCache>
                <c:ptCount val="3"/>
                <c:pt idx="0">
                  <c:v>Peritoneal cavity</c:v>
                </c:pt>
                <c:pt idx="1">
                  <c:v>wt</c:v>
                </c:pt>
                <c:pt idx="2">
                  <c:v>B1a</c:v>
                </c:pt>
              </c:strCache>
            </c:strRef>
          </c:tx>
          <c:invertIfNegative val="0"/>
          <c:cat>
            <c:multiLvlStrRef>
              <c:f>Sheet1!$A$65:$C$73</c:f>
              <c:multiLvlStrCache>
                <c:ptCount val="9"/>
                <c:lvl>
                  <c:pt idx="7">
                    <c:v>avg</c:v>
                  </c:pt>
                  <c:pt idx="8">
                    <c:v>std</c:v>
                  </c:pt>
                </c:lvl>
                <c:lvl>
                  <c:pt idx="0">
                    <c:v>1.78</c:v>
                  </c:pt>
                  <c:pt idx="1">
                    <c:v>2.53</c:v>
                  </c:pt>
                  <c:pt idx="2">
                    <c:v>2.22</c:v>
                  </c:pt>
                  <c:pt idx="3">
                    <c:v>1.63</c:v>
                  </c:pt>
                </c:lvl>
                <c:lvl>
                  <c:pt idx="0">
                    <c:v>1.09</c:v>
                  </c:pt>
                  <c:pt idx="1">
                    <c:v>1.55</c:v>
                  </c:pt>
                  <c:pt idx="2">
                    <c:v>3.62</c:v>
                  </c:pt>
                  <c:pt idx="3">
                    <c:v>1.76</c:v>
                  </c:pt>
                </c:lvl>
              </c:multiLvlStrCache>
            </c:multiLvlStrRef>
          </c:cat>
          <c:val>
            <c:numRef>
              <c:f>Sheet1!$D$65:$D$73</c:f>
              <c:numCache>
                <c:formatCode>General</c:formatCode>
                <c:ptCount val="9"/>
                <c:pt idx="0">
                  <c:v>61.1</c:v>
                </c:pt>
                <c:pt idx="1">
                  <c:v>58.8</c:v>
                </c:pt>
                <c:pt idx="2">
                  <c:v>47.1</c:v>
                </c:pt>
                <c:pt idx="3">
                  <c:v>46.2</c:v>
                </c:pt>
                <c:pt idx="4">
                  <c:v>56.7</c:v>
                </c:pt>
                <c:pt idx="5">
                  <c:v>47.7</c:v>
                </c:pt>
                <c:pt idx="6">
                  <c:v>43.2</c:v>
                </c:pt>
                <c:pt idx="7">
                  <c:v>51.542857142857137</c:v>
                </c:pt>
                <c:pt idx="8">
                  <c:v>2.6870817187546558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F5-D84B-8533-2039E7DF7E02}"/>
            </c:ext>
          </c:extLst>
        </c:ser>
        <c:ser>
          <c:idx val="1"/>
          <c:order val="1"/>
          <c:tx>
            <c:strRef>
              <c:f>Sheet1!$E$62:$E$64</c:f>
              <c:strCache>
                <c:ptCount val="3"/>
                <c:pt idx="0">
                  <c:v>Peritoneal cavity</c:v>
                </c:pt>
                <c:pt idx="1">
                  <c:v>wt</c:v>
                </c:pt>
                <c:pt idx="2">
                  <c:v>B1b</c:v>
                </c:pt>
              </c:strCache>
            </c:strRef>
          </c:tx>
          <c:invertIfNegative val="0"/>
          <c:cat>
            <c:multiLvlStrRef>
              <c:f>Sheet1!$A$65:$C$73</c:f>
              <c:multiLvlStrCache>
                <c:ptCount val="9"/>
                <c:lvl>
                  <c:pt idx="7">
                    <c:v>avg</c:v>
                  </c:pt>
                  <c:pt idx="8">
                    <c:v>std</c:v>
                  </c:pt>
                </c:lvl>
                <c:lvl>
                  <c:pt idx="0">
                    <c:v>1.78</c:v>
                  </c:pt>
                  <c:pt idx="1">
                    <c:v>2.53</c:v>
                  </c:pt>
                  <c:pt idx="2">
                    <c:v>2.22</c:v>
                  </c:pt>
                  <c:pt idx="3">
                    <c:v>1.63</c:v>
                  </c:pt>
                </c:lvl>
                <c:lvl>
                  <c:pt idx="0">
                    <c:v>1.09</c:v>
                  </c:pt>
                  <c:pt idx="1">
                    <c:v>1.55</c:v>
                  </c:pt>
                  <c:pt idx="2">
                    <c:v>3.62</c:v>
                  </c:pt>
                  <c:pt idx="3">
                    <c:v>1.76</c:v>
                  </c:pt>
                </c:lvl>
              </c:multiLvlStrCache>
            </c:multiLvlStrRef>
          </c:cat>
          <c:val>
            <c:numRef>
              <c:f>Sheet1!$E$65:$E$73</c:f>
              <c:numCache>
                <c:formatCode>General</c:formatCode>
                <c:ptCount val="9"/>
                <c:pt idx="0">
                  <c:v>12.4</c:v>
                </c:pt>
                <c:pt idx="1">
                  <c:v>9.49</c:v>
                </c:pt>
                <c:pt idx="2">
                  <c:v>19.100000000000001</c:v>
                </c:pt>
                <c:pt idx="3">
                  <c:v>14.7</c:v>
                </c:pt>
                <c:pt idx="4">
                  <c:v>18.3</c:v>
                </c:pt>
                <c:pt idx="5">
                  <c:v>13.6</c:v>
                </c:pt>
                <c:pt idx="6">
                  <c:v>16.899999999999999</c:v>
                </c:pt>
                <c:pt idx="7">
                  <c:v>14.927142857142854</c:v>
                </c:pt>
                <c:pt idx="8">
                  <c:v>1.2950725559481548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F5-D84B-8533-2039E7DF7E02}"/>
            </c:ext>
          </c:extLst>
        </c:ser>
        <c:ser>
          <c:idx val="2"/>
          <c:order val="2"/>
          <c:tx>
            <c:strRef>
              <c:f>Sheet1!$F$62:$F$64</c:f>
              <c:strCache>
                <c:ptCount val="3"/>
                <c:pt idx="0">
                  <c:v>Peritoneal cavity</c:v>
                </c:pt>
                <c:pt idx="1">
                  <c:v>wt</c:v>
                </c:pt>
                <c:pt idx="2">
                  <c:v>B2</c:v>
                </c:pt>
              </c:strCache>
            </c:strRef>
          </c:tx>
          <c:invertIfNegative val="0"/>
          <c:cat>
            <c:multiLvlStrRef>
              <c:f>Sheet1!$A$65:$C$73</c:f>
              <c:multiLvlStrCache>
                <c:ptCount val="9"/>
                <c:lvl>
                  <c:pt idx="7">
                    <c:v>avg</c:v>
                  </c:pt>
                  <c:pt idx="8">
                    <c:v>std</c:v>
                  </c:pt>
                </c:lvl>
                <c:lvl>
                  <c:pt idx="0">
                    <c:v>1.78</c:v>
                  </c:pt>
                  <c:pt idx="1">
                    <c:v>2.53</c:v>
                  </c:pt>
                  <c:pt idx="2">
                    <c:v>2.22</c:v>
                  </c:pt>
                  <c:pt idx="3">
                    <c:v>1.63</c:v>
                  </c:pt>
                </c:lvl>
                <c:lvl>
                  <c:pt idx="0">
                    <c:v>1.09</c:v>
                  </c:pt>
                  <c:pt idx="1">
                    <c:v>1.55</c:v>
                  </c:pt>
                  <c:pt idx="2">
                    <c:v>3.62</c:v>
                  </c:pt>
                  <c:pt idx="3">
                    <c:v>1.76</c:v>
                  </c:pt>
                </c:lvl>
              </c:multiLvlStrCache>
            </c:multiLvlStrRef>
          </c:cat>
          <c:val>
            <c:numRef>
              <c:f>Sheet1!$F$65:$F$73</c:f>
              <c:numCache>
                <c:formatCode>General</c:formatCode>
                <c:ptCount val="9"/>
                <c:pt idx="0">
                  <c:v>10.1</c:v>
                </c:pt>
                <c:pt idx="1">
                  <c:v>10.199999999999999</c:v>
                </c:pt>
                <c:pt idx="2">
                  <c:v>14</c:v>
                </c:pt>
                <c:pt idx="3">
                  <c:v>20.6</c:v>
                </c:pt>
                <c:pt idx="4">
                  <c:v>3.01</c:v>
                </c:pt>
                <c:pt idx="5">
                  <c:v>18</c:v>
                </c:pt>
                <c:pt idx="6">
                  <c:v>21.2</c:v>
                </c:pt>
                <c:pt idx="7">
                  <c:v>13.872857142857143</c:v>
                </c:pt>
                <c:pt idx="8">
                  <c:v>2.4962683714522611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F5-D84B-8533-2039E7DF7E02}"/>
            </c:ext>
          </c:extLst>
        </c:ser>
        <c:ser>
          <c:idx val="3"/>
          <c:order val="3"/>
          <c:tx>
            <c:strRef>
              <c:f>Sheet1!$G$62:$G$64</c:f>
              <c:strCache>
                <c:ptCount val="3"/>
                <c:pt idx="0">
                  <c:v>Peritoneal cavity</c:v>
                </c:pt>
                <c:pt idx="1">
                  <c:v>ko</c:v>
                </c:pt>
                <c:pt idx="2">
                  <c:v>B1a</c:v>
                </c:pt>
              </c:strCache>
            </c:strRef>
          </c:tx>
          <c:invertIfNegative val="0"/>
          <c:cat>
            <c:multiLvlStrRef>
              <c:f>Sheet1!$A$65:$C$73</c:f>
              <c:multiLvlStrCache>
                <c:ptCount val="9"/>
                <c:lvl>
                  <c:pt idx="7">
                    <c:v>avg</c:v>
                  </c:pt>
                  <c:pt idx="8">
                    <c:v>std</c:v>
                  </c:pt>
                </c:lvl>
                <c:lvl>
                  <c:pt idx="0">
                    <c:v>1.78</c:v>
                  </c:pt>
                  <c:pt idx="1">
                    <c:v>2.53</c:v>
                  </c:pt>
                  <c:pt idx="2">
                    <c:v>2.22</c:v>
                  </c:pt>
                  <c:pt idx="3">
                    <c:v>1.63</c:v>
                  </c:pt>
                </c:lvl>
                <c:lvl>
                  <c:pt idx="0">
                    <c:v>1.09</c:v>
                  </c:pt>
                  <c:pt idx="1">
                    <c:v>1.55</c:v>
                  </c:pt>
                  <c:pt idx="2">
                    <c:v>3.62</c:v>
                  </c:pt>
                  <c:pt idx="3">
                    <c:v>1.76</c:v>
                  </c:pt>
                </c:lvl>
              </c:multiLvlStrCache>
            </c:multiLvlStrRef>
          </c:cat>
          <c:val>
            <c:numRef>
              <c:f>Sheet1!$G$65:$G$73</c:f>
              <c:numCache>
                <c:formatCode>General</c:formatCode>
                <c:ptCount val="9"/>
                <c:pt idx="0">
                  <c:v>64.8</c:v>
                </c:pt>
                <c:pt idx="1">
                  <c:v>59.9</c:v>
                </c:pt>
                <c:pt idx="2">
                  <c:v>53.6</c:v>
                </c:pt>
                <c:pt idx="3">
                  <c:v>58.2</c:v>
                </c:pt>
                <c:pt idx="4">
                  <c:v>55.9</c:v>
                </c:pt>
                <c:pt idx="5">
                  <c:v>50.5</c:v>
                </c:pt>
                <c:pt idx="6">
                  <c:v>71.2</c:v>
                </c:pt>
                <c:pt idx="7">
                  <c:v>59.157142857142851</c:v>
                </c:pt>
                <c:pt idx="8">
                  <c:v>2.6492458174659137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2F5-D84B-8533-2039E7DF7E02}"/>
            </c:ext>
          </c:extLst>
        </c:ser>
        <c:ser>
          <c:idx val="4"/>
          <c:order val="4"/>
          <c:tx>
            <c:strRef>
              <c:f>Sheet1!$H$62:$H$64</c:f>
              <c:strCache>
                <c:ptCount val="3"/>
                <c:pt idx="0">
                  <c:v>Peritoneal cavity</c:v>
                </c:pt>
                <c:pt idx="1">
                  <c:v>ko</c:v>
                </c:pt>
                <c:pt idx="2">
                  <c:v>B1b</c:v>
                </c:pt>
              </c:strCache>
            </c:strRef>
          </c:tx>
          <c:invertIfNegative val="0"/>
          <c:cat>
            <c:multiLvlStrRef>
              <c:f>Sheet1!$A$65:$C$73</c:f>
              <c:multiLvlStrCache>
                <c:ptCount val="9"/>
                <c:lvl>
                  <c:pt idx="7">
                    <c:v>avg</c:v>
                  </c:pt>
                  <c:pt idx="8">
                    <c:v>std</c:v>
                  </c:pt>
                </c:lvl>
                <c:lvl>
                  <c:pt idx="0">
                    <c:v>1.78</c:v>
                  </c:pt>
                  <c:pt idx="1">
                    <c:v>2.53</c:v>
                  </c:pt>
                  <c:pt idx="2">
                    <c:v>2.22</c:v>
                  </c:pt>
                  <c:pt idx="3">
                    <c:v>1.63</c:v>
                  </c:pt>
                </c:lvl>
                <c:lvl>
                  <c:pt idx="0">
                    <c:v>1.09</c:v>
                  </c:pt>
                  <c:pt idx="1">
                    <c:v>1.55</c:v>
                  </c:pt>
                  <c:pt idx="2">
                    <c:v>3.62</c:v>
                  </c:pt>
                  <c:pt idx="3">
                    <c:v>1.76</c:v>
                  </c:pt>
                </c:lvl>
              </c:multiLvlStrCache>
            </c:multiLvlStrRef>
          </c:cat>
          <c:val>
            <c:numRef>
              <c:f>Sheet1!$H$65:$H$73</c:f>
              <c:numCache>
                <c:formatCode>General</c:formatCode>
                <c:ptCount val="9"/>
                <c:pt idx="0">
                  <c:v>11.3</c:v>
                </c:pt>
                <c:pt idx="1">
                  <c:v>10.8</c:v>
                </c:pt>
                <c:pt idx="2">
                  <c:v>6.56</c:v>
                </c:pt>
                <c:pt idx="3">
                  <c:v>10.6</c:v>
                </c:pt>
                <c:pt idx="4">
                  <c:v>5.08</c:v>
                </c:pt>
                <c:pt idx="5">
                  <c:v>5.56</c:v>
                </c:pt>
                <c:pt idx="6">
                  <c:v>6.24</c:v>
                </c:pt>
                <c:pt idx="7">
                  <c:v>8.02</c:v>
                </c:pt>
                <c:pt idx="8">
                  <c:v>1.0366888682356972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2F5-D84B-8533-2039E7DF7E02}"/>
            </c:ext>
          </c:extLst>
        </c:ser>
        <c:ser>
          <c:idx val="5"/>
          <c:order val="5"/>
          <c:tx>
            <c:strRef>
              <c:f>Sheet1!$I$62:$I$64</c:f>
              <c:strCache>
                <c:ptCount val="3"/>
                <c:pt idx="0">
                  <c:v>Peritoneal cavity</c:v>
                </c:pt>
                <c:pt idx="1">
                  <c:v>ko</c:v>
                </c:pt>
                <c:pt idx="2">
                  <c:v>B2</c:v>
                </c:pt>
              </c:strCache>
            </c:strRef>
          </c:tx>
          <c:invertIfNegative val="0"/>
          <c:cat>
            <c:multiLvlStrRef>
              <c:f>Sheet1!$A$65:$C$73</c:f>
              <c:multiLvlStrCache>
                <c:ptCount val="9"/>
                <c:lvl>
                  <c:pt idx="7">
                    <c:v>avg</c:v>
                  </c:pt>
                  <c:pt idx="8">
                    <c:v>std</c:v>
                  </c:pt>
                </c:lvl>
                <c:lvl>
                  <c:pt idx="0">
                    <c:v>1.78</c:v>
                  </c:pt>
                  <c:pt idx="1">
                    <c:v>2.53</c:v>
                  </c:pt>
                  <c:pt idx="2">
                    <c:v>2.22</c:v>
                  </c:pt>
                  <c:pt idx="3">
                    <c:v>1.63</c:v>
                  </c:pt>
                </c:lvl>
                <c:lvl>
                  <c:pt idx="0">
                    <c:v>1.09</c:v>
                  </c:pt>
                  <c:pt idx="1">
                    <c:v>1.55</c:v>
                  </c:pt>
                  <c:pt idx="2">
                    <c:v>3.62</c:v>
                  </c:pt>
                  <c:pt idx="3">
                    <c:v>1.76</c:v>
                  </c:pt>
                </c:lvl>
              </c:multiLvlStrCache>
            </c:multiLvlStrRef>
          </c:cat>
          <c:val>
            <c:numRef>
              <c:f>Sheet1!$I$65:$I$73</c:f>
              <c:numCache>
                <c:formatCode>General</c:formatCode>
                <c:ptCount val="9"/>
                <c:pt idx="0">
                  <c:v>9.0299999999999994</c:v>
                </c:pt>
                <c:pt idx="1">
                  <c:v>12.5</c:v>
                </c:pt>
                <c:pt idx="2">
                  <c:v>25.6</c:v>
                </c:pt>
                <c:pt idx="3">
                  <c:v>14.9</c:v>
                </c:pt>
                <c:pt idx="4">
                  <c:v>15.1</c:v>
                </c:pt>
                <c:pt idx="5">
                  <c:v>26.4</c:v>
                </c:pt>
                <c:pt idx="6">
                  <c:v>14.1</c:v>
                </c:pt>
                <c:pt idx="7">
                  <c:v>16.804285714285715</c:v>
                </c:pt>
                <c:pt idx="8">
                  <c:v>2.4988224437606967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2F5-D84B-8533-2039E7DF7E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4552704"/>
        <c:axId val="92456832"/>
      </c:barChart>
      <c:catAx>
        <c:axId val="845527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92456832"/>
        <c:crosses val="autoZero"/>
        <c:auto val="1"/>
        <c:lblAlgn val="ctr"/>
        <c:lblOffset val="100"/>
        <c:noMultiLvlLbl val="0"/>
      </c:catAx>
      <c:valAx>
        <c:axId val="924568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845527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zoomScale="10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0421" cy="63114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D104"/>
  <sheetViews>
    <sheetView tabSelected="1" zoomScaleNormal="100" workbookViewId="0">
      <selection activeCell="K100" sqref="K100"/>
    </sheetView>
  </sheetViews>
  <sheetFormatPr baseColWidth="10" defaultColWidth="8.83203125" defaultRowHeight="15" x14ac:dyDescent="0.2"/>
  <cols>
    <col min="8" max="8" width="10" bestFit="1" customWidth="1"/>
    <col min="10" max="10" width="12.1640625" bestFit="1" customWidth="1"/>
    <col min="11" max="11" width="10.5" bestFit="1" customWidth="1"/>
    <col min="13" max="13" width="12" bestFit="1" customWidth="1"/>
    <col min="32" max="32" width="11.1640625" bestFit="1" customWidth="1"/>
    <col min="35" max="35" width="13" bestFit="1" customWidth="1"/>
    <col min="43" max="43" width="11.83203125" bestFit="1" customWidth="1"/>
    <col min="51" max="51" width="13" bestFit="1" customWidth="1"/>
    <col min="57" max="57" width="13" bestFit="1" customWidth="1"/>
  </cols>
  <sheetData>
    <row r="1" spans="1:82" x14ac:dyDescent="0.2">
      <c r="A1" t="s">
        <v>2</v>
      </c>
      <c r="E1" t="s">
        <v>4</v>
      </c>
      <c r="H1" t="s">
        <v>5</v>
      </c>
      <c r="K1" t="s">
        <v>9</v>
      </c>
      <c r="N1" t="s">
        <v>10</v>
      </c>
      <c r="Q1" t="s">
        <v>11</v>
      </c>
      <c r="T1" t="s">
        <v>12</v>
      </c>
      <c r="W1" t="s">
        <v>13</v>
      </c>
      <c r="Z1" t="s">
        <v>14</v>
      </c>
      <c r="AD1" t="s">
        <v>15</v>
      </c>
      <c r="AF1" t="s">
        <v>16</v>
      </c>
      <c r="AI1" t="s">
        <v>17</v>
      </c>
      <c r="AL1" t="s">
        <v>18</v>
      </c>
      <c r="AN1" t="s">
        <v>16</v>
      </c>
      <c r="AQ1" t="s">
        <v>19</v>
      </c>
      <c r="AT1" t="s">
        <v>20</v>
      </c>
      <c r="AV1" t="s">
        <v>21</v>
      </c>
      <c r="AY1" t="s">
        <v>22</v>
      </c>
      <c r="BB1" t="s">
        <v>23</v>
      </c>
      <c r="BE1" t="s">
        <v>24</v>
      </c>
      <c r="BH1" t="s">
        <v>25</v>
      </c>
      <c r="BK1" t="s">
        <v>26</v>
      </c>
      <c r="BN1" t="s">
        <v>27</v>
      </c>
      <c r="BQ1" t="s">
        <v>28</v>
      </c>
      <c r="BT1" t="s">
        <v>30</v>
      </c>
      <c r="BW1" t="s">
        <v>29</v>
      </c>
      <c r="BZ1" t="s">
        <v>31</v>
      </c>
      <c r="CC1" t="s">
        <v>32</v>
      </c>
    </row>
    <row r="2" spans="1:82" x14ac:dyDescent="0.2">
      <c r="A2" t="s">
        <v>0</v>
      </c>
      <c r="B2" t="s">
        <v>1</v>
      </c>
      <c r="E2" t="s">
        <v>0</v>
      </c>
      <c r="F2" t="s">
        <v>1</v>
      </c>
      <c r="H2" t="s">
        <v>0</v>
      </c>
      <c r="I2" t="s">
        <v>1</v>
      </c>
      <c r="K2" t="s">
        <v>0</v>
      </c>
      <c r="L2" t="s">
        <v>1</v>
      </c>
      <c r="N2" t="s">
        <v>0</v>
      </c>
      <c r="O2" t="s">
        <v>1</v>
      </c>
      <c r="Q2" t="s">
        <v>0</v>
      </c>
      <c r="R2" t="s">
        <v>1</v>
      </c>
      <c r="T2" t="s">
        <v>0</v>
      </c>
      <c r="U2" t="s">
        <v>1</v>
      </c>
      <c r="W2" t="s">
        <v>0</v>
      </c>
      <c r="X2" t="s">
        <v>1</v>
      </c>
      <c r="Z2" t="s">
        <v>0</v>
      </c>
      <c r="AA2" t="s">
        <v>1</v>
      </c>
      <c r="AD2" t="s">
        <v>0</v>
      </c>
      <c r="AE2" t="s">
        <v>1</v>
      </c>
      <c r="AF2" t="s">
        <v>0</v>
      </c>
      <c r="AG2" t="s">
        <v>1</v>
      </c>
      <c r="AI2" t="s">
        <v>0</v>
      </c>
      <c r="AJ2" t="s">
        <v>1</v>
      </c>
      <c r="AL2" t="s">
        <v>0</v>
      </c>
      <c r="AM2" t="s">
        <v>1</v>
      </c>
      <c r="AN2" t="s">
        <v>0</v>
      </c>
      <c r="AO2" t="s">
        <v>1</v>
      </c>
      <c r="AQ2" t="s">
        <v>0</v>
      </c>
      <c r="AR2" t="s">
        <v>1</v>
      </c>
      <c r="AT2" t="s">
        <v>0</v>
      </c>
      <c r="AU2" t="s">
        <v>1</v>
      </c>
      <c r="AV2" t="s">
        <v>0</v>
      </c>
      <c r="AW2" t="s">
        <v>1</v>
      </c>
      <c r="AY2" t="s">
        <v>0</v>
      </c>
      <c r="AZ2" t="s">
        <v>1</v>
      </c>
      <c r="BB2" t="s">
        <v>0</v>
      </c>
      <c r="BC2" t="s">
        <v>1</v>
      </c>
      <c r="BE2" t="s">
        <v>0</v>
      </c>
      <c r="BF2" t="s">
        <v>1</v>
      </c>
      <c r="BH2" t="s">
        <v>0</v>
      </c>
      <c r="BI2" t="s">
        <v>1</v>
      </c>
      <c r="BK2" t="s">
        <v>0</v>
      </c>
      <c r="BL2" t="s">
        <v>1</v>
      </c>
      <c r="BN2" t="s">
        <v>0</v>
      </c>
      <c r="BO2" t="s">
        <v>1</v>
      </c>
      <c r="BQ2" t="s">
        <v>0</v>
      </c>
      <c r="BR2" t="s">
        <v>1</v>
      </c>
      <c r="BT2" t="s">
        <v>0</v>
      </c>
      <c r="BU2" t="s">
        <v>1</v>
      </c>
      <c r="BW2" t="s">
        <v>0</v>
      </c>
      <c r="BX2" t="s">
        <v>1</v>
      </c>
      <c r="BZ2" t="s">
        <v>0</v>
      </c>
      <c r="CA2" t="s">
        <v>1</v>
      </c>
    </row>
    <row r="3" spans="1:82" x14ac:dyDescent="0.2">
      <c r="A3">
        <v>18.3</v>
      </c>
      <c r="B3">
        <v>23.61</v>
      </c>
      <c r="E3">
        <v>11.8</v>
      </c>
      <c r="F3">
        <v>0.88</v>
      </c>
      <c r="H3" s="2">
        <f>E3*$A$14*1000000*0.01</f>
        <v>2688377.1428571432</v>
      </c>
      <c r="I3">
        <f>F3*$B$14*1000000*0.01</f>
        <v>188601.60000000003</v>
      </c>
      <c r="K3">
        <v>71</v>
      </c>
      <c r="L3">
        <v>91.2</v>
      </c>
      <c r="N3">
        <f>K3*$A$14*1000000*0.01</f>
        <v>16175828.571428571</v>
      </c>
      <c r="O3">
        <f>L3*$B$14*1000000*0.01</f>
        <v>19545984.000000004</v>
      </c>
      <c r="Q3">
        <v>70.599999999999994</v>
      </c>
      <c r="R3">
        <v>67.8</v>
      </c>
      <c r="T3">
        <f>Q3*$A$14*1000000*0.01</f>
        <v>16084697.142857142</v>
      </c>
      <c r="U3">
        <f>R3*$B$14*1000000*0.01</f>
        <v>14530896.000000002</v>
      </c>
      <c r="W3">
        <v>19.5</v>
      </c>
      <c r="X3">
        <v>25.8</v>
      </c>
      <c r="Z3">
        <f>W3*$A$14*1000000*0.01</f>
        <v>4442657.1428571427</v>
      </c>
      <c r="AA3">
        <f>X3*$B$14*1000000*0.01</f>
        <v>5529456.0000000009</v>
      </c>
      <c r="AD3">
        <v>34.4</v>
      </c>
      <c r="AE3">
        <v>21.1</v>
      </c>
      <c r="AF3" s="2">
        <f>AD3*$E$25*0.01</f>
        <v>5.3208609523809516</v>
      </c>
      <c r="AG3">
        <f>AE3*$F$25*0.01</f>
        <v>1.7692349999999997</v>
      </c>
      <c r="AI3">
        <f>AF3*$A$14*1000000*0.01</f>
        <v>1212244.1495510202</v>
      </c>
      <c r="AJ3">
        <f>AG3*$B$14*1000000*0.01</f>
        <v>379182.44520000002</v>
      </c>
      <c r="AL3">
        <v>14.48</v>
      </c>
      <c r="AM3">
        <v>9.1199999999999992</v>
      </c>
      <c r="AN3">
        <f>AL3*$E$25*0.01</f>
        <v>2.2397112380952375</v>
      </c>
      <c r="AO3">
        <f>AM3*$F$25*0.01</f>
        <v>0.76471199999999984</v>
      </c>
      <c r="AQ3">
        <f>AN3*$A$14*1000000*0.01</f>
        <v>510270.21178775496</v>
      </c>
      <c r="AR3">
        <f>AO3*$B$14*1000000*0.01</f>
        <v>163893.07584</v>
      </c>
      <c r="AT3">
        <v>39.299999999999997</v>
      </c>
      <c r="AU3">
        <v>50.25</v>
      </c>
      <c r="AV3">
        <f>AT3*$E$25*0.01</f>
        <v>6.0787742857142835</v>
      </c>
      <c r="AW3">
        <f>AU3*$F$25*0.01</f>
        <v>4.2134624999999986</v>
      </c>
      <c r="AY3">
        <f>AV3*$A$14*0.01*1000000</f>
        <v>1384918.4615510199</v>
      </c>
      <c r="AZ3">
        <f>AW3*$B$14*1000000*0.01</f>
        <v>903029.28299999994</v>
      </c>
      <c r="BB3">
        <v>397</v>
      </c>
      <c r="BC3">
        <v>52</v>
      </c>
      <c r="BE3">
        <f>BB3*$A$14</f>
        <v>9044.7942857142862</v>
      </c>
      <c r="BF3">
        <f>BC3*$B$14</f>
        <v>1114.4640000000004</v>
      </c>
      <c r="BH3">
        <v>852</v>
      </c>
      <c r="BI3">
        <v>943</v>
      </c>
      <c r="BK3">
        <f>BH3*$A$14</f>
        <v>19410.994285714285</v>
      </c>
      <c r="BL3">
        <f>BI3*$B$14</f>
        <v>20210.376000000004</v>
      </c>
      <c r="BN3">
        <v>1840</v>
      </c>
      <c r="BO3">
        <v>683</v>
      </c>
      <c r="BQ3">
        <f>BN3*$A$14</f>
        <v>41920.457142857143</v>
      </c>
      <c r="BR3">
        <f>BO3*$B$14</f>
        <v>14638.056000000004</v>
      </c>
      <c r="BT3">
        <v>1372</v>
      </c>
      <c r="BU3">
        <v>188</v>
      </c>
      <c r="BW3">
        <f>BT3*$A$14</f>
        <v>31258.080000000002</v>
      </c>
      <c r="BX3">
        <f>BU3*$B$14</f>
        <v>4029.2160000000013</v>
      </c>
      <c r="BZ3">
        <v>258</v>
      </c>
      <c r="CA3">
        <v>118</v>
      </c>
      <c r="CC3">
        <f>BZ3*$A$14</f>
        <v>5877.977142857143</v>
      </c>
      <c r="CD3">
        <f>CA3*$B$14</f>
        <v>2528.9760000000006</v>
      </c>
    </row>
    <row r="4" spans="1:82" x14ac:dyDescent="0.2">
      <c r="A4">
        <v>28.86</v>
      </c>
      <c r="B4">
        <v>18.09</v>
      </c>
      <c r="E4">
        <v>8.1</v>
      </c>
      <c r="F4">
        <v>2.87</v>
      </c>
      <c r="H4" s="2">
        <f t="shared" ref="H4:H23" si="0">E4*$A$14*1000000*0.01</f>
        <v>1845411.4285714286</v>
      </c>
      <c r="I4">
        <f t="shared" ref="I4:I20" si="1">F4*$B$14*1000000*0.01</f>
        <v>615098.40000000014</v>
      </c>
      <c r="K4">
        <v>78.099999999999994</v>
      </c>
      <c r="L4">
        <v>86.5</v>
      </c>
      <c r="N4">
        <f t="shared" ref="N4:N23" si="2">K4*$A$14*1000000*0.01</f>
        <v>17793411.428571429</v>
      </c>
      <c r="O4">
        <f t="shared" ref="O4:O20" si="3">L4*$B$14*1000000*0.01</f>
        <v>18538680.000000004</v>
      </c>
      <c r="Q4">
        <v>75.900000000000006</v>
      </c>
      <c r="R4">
        <v>78.5</v>
      </c>
      <c r="T4">
        <f t="shared" ref="T4:T18" si="4">Q4*$A$14*1000000*0.01</f>
        <v>17292188.571428575</v>
      </c>
      <c r="U4">
        <f t="shared" ref="U4:U11" si="5">R4*$B$14*1000000*0.01</f>
        <v>16824120.000000004</v>
      </c>
      <c r="W4">
        <v>18.600000000000001</v>
      </c>
      <c r="X4">
        <v>14.7</v>
      </c>
      <c r="Z4">
        <f t="shared" ref="Z4:Z18" si="6">W4*$A$14*1000000*0.01</f>
        <v>4237611.4285714291</v>
      </c>
      <c r="AA4">
        <f t="shared" ref="AA4:AA11" si="7">X4*$B$14*1000000*0.01</f>
        <v>3150504.0000000005</v>
      </c>
      <c r="AD4">
        <v>41.2</v>
      </c>
      <c r="AE4">
        <v>22.4</v>
      </c>
      <c r="AF4" s="2">
        <f t="shared" ref="AF4:AF17" si="8">AD4*$E$25*0.01</f>
        <v>6.3726590476190461</v>
      </c>
      <c r="AG4">
        <f t="shared" ref="AG4:AG15" si="9">AE4*$F$25*0.01</f>
        <v>1.8782399999999997</v>
      </c>
      <c r="AI4">
        <f t="shared" ref="AI4:AI17" si="10">AF4*$A$14*1000000*0.01</f>
        <v>1451873.8070204076</v>
      </c>
      <c r="AJ4">
        <f t="shared" ref="AJ4:AJ15" si="11">AG4*$B$14*1000000*0.01</f>
        <v>402544.3968000001</v>
      </c>
      <c r="AL4">
        <v>14.93</v>
      </c>
      <c r="AM4">
        <v>12.56</v>
      </c>
      <c r="AN4">
        <f t="shared" ref="AN4:AN17" si="12">AL4*$E$25*0.01</f>
        <v>2.3093155238095231</v>
      </c>
      <c r="AO4">
        <f t="shared" ref="AO4:AO15" si="13">AM4*$F$25*0.01</f>
        <v>1.0531559999999998</v>
      </c>
      <c r="AQ4">
        <f t="shared" ref="AQ4:AQ17" si="14">AN4*$A$14*1000000*0.01</f>
        <v>526128.0567673468</v>
      </c>
      <c r="AR4">
        <f t="shared" ref="AR4:AR15" si="15">AO4*$B$14*1000000*0.01</f>
        <v>225712.39392</v>
      </c>
      <c r="AT4">
        <v>34.89</v>
      </c>
      <c r="AU4">
        <v>49.52</v>
      </c>
      <c r="AV4">
        <f t="shared" ref="AV4:AV17" si="16">AT4*$E$25*0.01</f>
        <v>5.3966522857142847</v>
      </c>
      <c r="AW4">
        <f t="shared" ref="AW4:AW15" si="17">AU4*$F$25*0.01</f>
        <v>4.1522519999999989</v>
      </c>
      <c r="AY4">
        <f t="shared" ref="AY4:AY17" si="18">AV4*$A$14*0.01*1000000</f>
        <v>1229511.5807510202</v>
      </c>
      <c r="AZ4">
        <f t="shared" ref="AZ4:AZ15" si="19">AW4*$B$14*1000000*0.01</f>
        <v>889910.64863999991</v>
      </c>
      <c r="BB4">
        <v>198</v>
      </c>
      <c r="BC4">
        <v>87</v>
      </c>
      <c r="BE4">
        <f t="shared" ref="BE4:BE16" si="20">BB4*$A$14</f>
        <v>4511.005714285714</v>
      </c>
      <c r="BF4">
        <f t="shared" ref="BF4:BF19" si="21">BC4*$B$14</f>
        <v>1864.5840000000005</v>
      </c>
      <c r="BH4">
        <v>424</v>
      </c>
      <c r="BI4">
        <v>1001</v>
      </c>
      <c r="BK4">
        <f t="shared" ref="BK4:BK8" si="22">BH4*$A$14</f>
        <v>9659.9314285714281</v>
      </c>
      <c r="BL4">
        <f t="shared" ref="BL4:BL13" si="23">BI4*$B$14</f>
        <v>21453.432000000004</v>
      </c>
      <c r="BN4">
        <v>327</v>
      </c>
      <c r="BO4">
        <v>789</v>
      </c>
      <c r="BQ4">
        <f t="shared" ref="BQ4:BQ8" si="24">BN4*$A$14</f>
        <v>7449.994285714286</v>
      </c>
      <c r="BR4">
        <f t="shared" ref="BR4:BR13" si="25">BO4*$B$14</f>
        <v>16909.848000000005</v>
      </c>
      <c r="BT4">
        <v>278</v>
      </c>
      <c r="BU4">
        <v>243</v>
      </c>
      <c r="BW4">
        <f t="shared" ref="BW4:BW8" si="26">BT4*$A$14</f>
        <v>6333.6342857142854</v>
      </c>
      <c r="BX4">
        <f t="shared" ref="BX4:BX13" si="27">BU4*$B$14</f>
        <v>5207.9760000000015</v>
      </c>
      <c r="BZ4">
        <v>209</v>
      </c>
      <c r="CA4">
        <v>252</v>
      </c>
      <c r="CC4">
        <f t="shared" ref="CC4:CC16" si="28">BZ4*$A$14</f>
        <v>4761.6171428571424</v>
      </c>
      <c r="CD4">
        <f t="shared" ref="CD4:CD20" si="29">CA4*$B$14</f>
        <v>5400.8640000000014</v>
      </c>
    </row>
    <row r="5" spans="1:82" x14ac:dyDescent="0.2">
      <c r="A5">
        <v>21.06</v>
      </c>
      <c r="B5">
        <v>28.17</v>
      </c>
      <c r="E5">
        <v>11.6</v>
      </c>
      <c r="F5">
        <v>6.72</v>
      </c>
      <c r="H5" s="2">
        <f t="shared" si="0"/>
        <v>2642811.4285714286</v>
      </c>
      <c r="I5">
        <f t="shared" si="1"/>
        <v>1440230.4000000004</v>
      </c>
      <c r="K5">
        <v>75.400000000000006</v>
      </c>
      <c r="L5">
        <v>80.900000000000006</v>
      </c>
      <c r="N5">
        <f t="shared" si="2"/>
        <v>17178274.285714287</v>
      </c>
      <c r="O5">
        <f t="shared" si="3"/>
        <v>17338488.000000007</v>
      </c>
      <c r="Q5">
        <v>73.400000000000006</v>
      </c>
      <c r="R5">
        <v>77.3</v>
      </c>
      <c r="T5">
        <f t="shared" si="4"/>
        <v>16722617.142857144</v>
      </c>
      <c r="U5">
        <f t="shared" si="5"/>
        <v>16566936.000000002</v>
      </c>
      <c r="W5">
        <v>14.1</v>
      </c>
      <c r="X5">
        <v>15.3</v>
      </c>
      <c r="Z5">
        <f t="shared" si="6"/>
        <v>3212382.8571428573</v>
      </c>
      <c r="AA5">
        <f t="shared" si="7"/>
        <v>3279096.0000000014</v>
      </c>
      <c r="AD5">
        <v>50.2</v>
      </c>
      <c r="AE5">
        <v>27.7</v>
      </c>
      <c r="AF5" s="2">
        <f t="shared" si="8"/>
        <v>7.76474476190476</v>
      </c>
      <c r="AG5">
        <f t="shared" si="9"/>
        <v>2.3226449999999996</v>
      </c>
      <c r="AI5">
        <f t="shared" si="10"/>
        <v>1769030.7066122445</v>
      </c>
      <c r="AJ5">
        <f t="shared" si="11"/>
        <v>497789.27640000009</v>
      </c>
      <c r="AL5">
        <v>14.54</v>
      </c>
      <c r="AM5">
        <v>12.4</v>
      </c>
      <c r="AN5">
        <f t="shared" si="12"/>
        <v>2.2489918095238086</v>
      </c>
      <c r="AO5">
        <f t="shared" si="13"/>
        <v>1.0397399999999997</v>
      </c>
      <c r="AQ5">
        <f t="shared" si="14"/>
        <v>512384.5911183671</v>
      </c>
      <c r="AR5">
        <f t="shared" si="15"/>
        <v>222837.07680000001</v>
      </c>
      <c r="AT5">
        <v>25.77</v>
      </c>
      <c r="AU5">
        <v>50.26</v>
      </c>
      <c r="AV5">
        <f t="shared" si="16"/>
        <v>3.9860054285714273</v>
      </c>
      <c r="AW5">
        <f t="shared" si="17"/>
        <v>4.214300999999999</v>
      </c>
      <c r="AY5">
        <f t="shared" si="18"/>
        <v>908125.92249795888</v>
      </c>
      <c r="AZ5">
        <f t="shared" si="19"/>
        <v>903208.9903200001</v>
      </c>
      <c r="BB5">
        <v>212</v>
      </c>
      <c r="BC5">
        <v>101</v>
      </c>
      <c r="BE5">
        <f t="shared" si="20"/>
        <v>4829.9657142857141</v>
      </c>
      <c r="BF5">
        <f t="shared" si="21"/>
        <v>2164.6320000000005</v>
      </c>
      <c r="BH5">
        <v>1447</v>
      </c>
      <c r="BI5">
        <v>1029</v>
      </c>
      <c r="BK5">
        <f t="shared" si="22"/>
        <v>32966.794285714284</v>
      </c>
      <c r="BL5">
        <f t="shared" si="23"/>
        <v>22053.528000000006</v>
      </c>
      <c r="BN5">
        <v>312</v>
      </c>
      <c r="BO5">
        <v>361</v>
      </c>
      <c r="BQ5">
        <f t="shared" si="24"/>
        <v>7108.2514285714287</v>
      </c>
      <c r="BR5">
        <f t="shared" si="25"/>
        <v>7736.952000000002</v>
      </c>
      <c r="BT5">
        <v>204</v>
      </c>
      <c r="BU5">
        <v>174</v>
      </c>
      <c r="BW5">
        <f t="shared" si="26"/>
        <v>4647.7028571428573</v>
      </c>
      <c r="BX5">
        <f t="shared" si="27"/>
        <v>3729.168000000001</v>
      </c>
      <c r="BZ5">
        <v>248</v>
      </c>
      <c r="CA5">
        <v>257</v>
      </c>
      <c r="CC5">
        <f t="shared" si="28"/>
        <v>5650.1485714285718</v>
      </c>
      <c r="CD5">
        <f t="shared" si="29"/>
        <v>5508.0240000000013</v>
      </c>
    </row>
    <row r="6" spans="1:82" x14ac:dyDescent="0.2">
      <c r="A6">
        <v>22.8</v>
      </c>
      <c r="B6">
        <v>26.19</v>
      </c>
      <c r="E6">
        <v>11.3</v>
      </c>
      <c r="F6">
        <v>0.76</v>
      </c>
      <c r="H6" s="2">
        <f t="shared" si="0"/>
        <v>2574462.8571428577</v>
      </c>
      <c r="I6">
        <f t="shared" si="1"/>
        <v>162883.20000000007</v>
      </c>
      <c r="K6">
        <v>72.599999999999994</v>
      </c>
      <c r="L6">
        <v>93</v>
      </c>
      <c r="N6">
        <f t="shared" si="2"/>
        <v>16540354.285714284</v>
      </c>
      <c r="O6">
        <f t="shared" si="3"/>
        <v>19931760.000000007</v>
      </c>
      <c r="Q6">
        <v>74.3</v>
      </c>
      <c r="R6">
        <v>78.2</v>
      </c>
      <c r="T6">
        <f t="shared" si="4"/>
        <v>16927662.857142858</v>
      </c>
      <c r="U6">
        <f t="shared" si="5"/>
        <v>16759824.000000006</v>
      </c>
      <c r="W6">
        <v>16.8</v>
      </c>
      <c r="X6">
        <v>15.2</v>
      </c>
      <c r="Z6">
        <f t="shared" si="6"/>
        <v>3827520</v>
      </c>
      <c r="AA6">
        <f t="shared" si="7"/>
        <v>3257664.0000000014</v>
      </c>
      <c r="AD6">
        <v>44.1</v>
      </c>
      <c r="AE6">
        <v>36.1</v>
      </c>
      <c r="AF6" s="2">
        <f t="shared" si="8"/>
        <v>6.8212199999999985</v>
      </c>
      <c r="AG6">
        <f t="shared" si="9"/>
        <v>3.0269849999999998</v>
      </c>
      <c r="AI6">
        <f t="shared" si="10"/>
        <v>1554068.8079999995</v>
      </c>
      <c r="AJ6">
        <f t="shared" si="11"/>
        <v>648743.42520000017</v>
      </c>
      <c r="AL6">
        <v>13.89</v>
      </c>
      <c r="AM6">
        <v>15.78</v>
      </c>
      <c r="AN6">
        <f t="shared" si="12"/>
        <v>2.1484522857142854</v>
      </c>
      <c r="AO6">
        <f t="shared" si="13"/>
        <v>1.3231529999999996</v>
      </c>
      <c r="AQ6">
        <f t="shared" si="14"/>
        <v>489478.81503673462</v>
      </c>
      <c r="AR6">
        <f t="shared" si="15"/>
        <v>283578.15096</v>
      </c>
      <c r="AT6">
        <v>32.799999999999997</v>
      </c>
      <c r="AU6">
        <v>37.97</v>
      </c>
      <c r="AV6">
        <f t="shared" si="16"/>
        <v>5.0733790476190466</v>
      </c>
      <c r="AW6">
        <f t="shared" si="17"/>
        <v>3.1837844999999994</v>
      </c>
      <c r="AY6">
        <f t="shared" si="18"/>
        <v>1155860.7007346938</v>
      </c>
      <c r="AZ6">
        <f t="shared" si="19"/>
        <v>682348.69404000021</v>
      </c>
      <c r="BB6">
        <v>194</v>
      </c>
      <c r="BC6">
        <v>51</v>
      </c>
      <c r="BE6">
        <f t="shared" si="20"/>
        <v>4419.8742857142861</v>
      </c>
      <c r="BF6">
        <f t="shared" si="21"/>
        <v>1093.0320000000004</v>
      </c>
      <c r="BH6">
        <v>602</v>
      </c>
      <c r="BI6">
        <v>703</v>
      </c>
      <c r="BK6">
        <f t="shared" si="22"/>
        <v>13715.28</v>
      </c>
      <c r="BL6">
        <f t="shared" si="23"/>
        <v>15066.696000000004</v>
      </c>
      <c r="BN6">
        <v>450</v>
      </c>
      <c r="BO6">
        <v>537</v>
      </c>
      <c r="BQ6">
        <f t="shared" si="24"/>
        <v>10252.285714285714</v>
      </c>
      <c r="BR6">
        <f t="shared" si="25"/>
        <v>11508.984000000002</v>
      </c>
      <c r="BT6">
        <v>99</v>
      </c>
      <c r="BU6">
        <v>123</v>
      </c>
      <c r="BW6">
        <f t="shared" si="26"/>
        <v>2255.502857142857</v>
      </c>
      <c r="BX6">
        <f t="shared" si="27"/>
        <v>2636.1360000000009</v>
      </c>
      <c r="BZ6">
        <v>182</v>
      </c>
      <c r="CA6">
        <v>280</v>
      </c>
      <c r="CC6">
        <f t="shared" si="28"/>
        <v>4146.4799999999996</v>
      </c>
      <c r="CD6">
        <f t="shared" si="29"/>
        <v>6000.9600000000019</v>
      </c>
    </row>
    <row r="7" spans="1:82" x14ac:dyDescent="0.2">
      <c r="A7">
        <v>21.36</v>
      </c>
      <c r="B7">
        <v>20.7</v>
      </c>
      <c r="E7">
        <v>7.58</v>
      </c>
      <c r="F7">
        <v>2.71</v>
      </c>
      <c r="H7" s="2">
        <f t="shared" si="0"/>
        <v>1726940.5714285714</v>
      </c>
      <c r="I7">
        <f t="shared" si="1"/>
        <v>580807.20000000019</v>
      </c>
      <c r="K7">
        <v>80.099999999999994</v>
      </c>
      <c r="L7">
        <v>88</v>
      </c>
      <c r="N7">
        <f t="shared" si="2"/>
        <v>18249068.571428571</v>
      </c>
      <c r="O7">
        <f t="shared" si="3"/>
        <v>18860160.000000004</v>
      </c>
      <c r="Q7">
        <v>62.6</v>
      </c>
      <c r="R7">
        <v>62.6</v>
      </c>
      <c r="T7">
        <f t="shared" si="4"/>
        <v>14262068.571428571</v>
      </c>
      <c r="U7">
        <f t="shared" si="5"/>
        <v>13416432.000000006</v>
      </c>
      <c r="W7">
        <v>10.9</v>
      </c>
      <c r="X7">
        <v>13.1</v>
      </c>
      <c r="Z7">
        <f t="shared" si="6"/>
        <v>2483331.4285714286</v>
      </c>
      <c r="AA7">
        <f t="shared" si="7"/>
        <v>2807592.0000000005</v>
      </c>
      <c r="AD7">
        <v>58.1</v>
      </c>
      <c r="AE7">
        <v>27.4</v>
      </c>
      <c r="AF7" s="2">
        <f t="shared" si="8"/>
        <v>8.9866866666666656</v>
      </c>
      <c r="AG7">
        <f t="shared" si="9"/>
        <v>2.2974899999999994</v>
      </c>
      <c r="AI7">
        <f t="shared" si="10"/>
        <v>2047423.9851428568</v>
      </c>
      <c r="AJ7">
        <f t="shared" si="11"/>
        <v>492398.05680000002</v>
      </c>
      <c r="AL7">
        <v>6.4</v>
      </c>
      <c r="AM7">
        <v>9.93</v>
      </c>
      <c r="AN7">
        <f t="shared" si="12"/>
        <v>0.98992761904761895</v>
      </c>
      <c r="AO7">
        <f t="shared" si="13"/>
        <v>0.83263049999999983</v>
      </c>
      <c r="AQ7">
        <f t="shared" si="14"/>
        <v>225533.79526530608</v>
      </c>
      <c r="AR7">
        <f t="shared" si="15"/>
        <v>178449.36876000001</v>
      </c>
      <c r="AT7">
        <v>19.02</v>
      </c>
      <c r="AU7">
        <v>49.74</v>
      </c>
      <c r="AV7">
        <f t="shared" si="16"/>
        <v>2.941941142857142</v>
      </c>
      <c r="AW7">
        <f t="shared" si="17"/>
        <v>4.170698999999999</v>
      </c>
      <c r="AY7">
        <f t="shared" si="18"/>
        <v>670258.24780408153</v>
      </c>
      <c r="AZ7">
        <f t="shared" si="19"/>
        <v>893864.20968000009</v>
      </c>
      <c r="BB7">
        <v>388</v>
      </c>
      <c r="BC7">
        <v>94</v>
      </c>
      <c r="BE7">
        <f t="shared" si="20"/>
        <v>8839.7485714285722</v>
      </c>
      <c r="BF7">
        <f t="shared" si="21"/>
        <v>2014.6080000000006</v>
      </c>
      <c r="BH7">
        <v>830</v>
      </c>
      <c r="BI7">
        <v>829</v>
      </c>
      <c r="BK7">
        <f t="shared" si="22"/>
        <v>18909.771428571428</v>
      </c>
      <c r="BL7">
        <f t="shared" si="23"/>
        <v>17767.128000000004</v>
      </c>
      <c r="BN7">
        <v>1156</v>
      </c>
      <c r="BO7">
        <v>688</v>
      </c>
      <c r="BQ7">
        <f t="shared" si="24"/>
        <v>26336.982857142859</v>
      </c>
      <c r="BR7">
        <f t="shared" si="25"/>
        <v>14745.216000000004</v>
      </c>
      <c r="BT7">
        <v>441</v>
      </c>
      <c r="BU7">
        <v>386</v>
      </c>
      <c r="BW7">
        <f t="shared" si="26"/>
        <v>10047.24</v>
      </c>
      <c r="BX7">
        <f t="shared" si="27"/>
        <v>8272.7520000000022</v>
      </c>
      <c r="BZ7">
        <v>140</v>
      </c>
      <c r="CA7">
        <v>348</v>
      </c>
      <c r="CC7">
        <f t="shared" si="28"/>
        <v>3189.6</v>
      </c>
      <c r="CD7">
        <f t="shared" si="29"/>
        <v>7458.3360000000021</v>
      </c>
    </row>
    <row r="8" spans="1:82" x14ac:dyDescent="0.2">
      <c r="A8">
        <v>24.03</v>
      </c>
      <c r="B8">
        <v>21.51</v>
      </c>
      <c r="E8">
        <v>10.6</v>
      </c>
      <c r="F8">
        <v>6.5</v>
      </c>
      <c r="H8" s="2">
        <f t="shared" si="0"/>
        <v>2414982.8571428573</v>
      </c>
      <c r="I8">
        <f t="shared" si="1"/>
        <v>1393080.0000000007</v>
      </c>
      <c r="K8">
        <v>77.3</v>
      </c>
      <c r="L8">
        <v>82.3</v>
      </c>
      <c r="N8">
        <f t="shared" si="2"/>
        <v>17611148.571428571</v>
      </c>
      <c r="O8">
        <f t="shared" si="3"/>
        <v>17638536.000000004</v>
      </c>
      <c r="Q8">
        <v>61</v>
      </c>
      <c r="R8">
        <v>66.3</v>
      </c>
      <c r="T8">
        <f t="shared" si="4"/>
        <v>13897542.857142858</v>
      </c>
      <c r="U8">
        <f t="shared" si="5"/>
        <v>14209416.000000002</v>
      </c>
      <c r="W8">
        <v>10.8</v>
      </c>
      <c r="X8">
        <v>10.8</v>
      </c>
      <c r="Z8">
        <f t="shared" si="6"/>
        <v>2460548.5714285718</v>
      </c>
      <c r="AA8">
        <f t="shared" si="7"/>
        <v>2314656.0000000009</v>
      </c>
      <c r="AD8">
        <v>55.7</v>
      </c>
      <c r="AE8">
        <v>26.8</v>
      </c>
      <c r="AF8" s="2">
        <f t="shared" si="8"/>
        <v>8.6154638095238081</v>
      </c>
      <c r="AG8">
        <f t="shared" si="9"/>
        <v>2.2471799999999997</v>
      </c>
      <c r="AI8">
        <f t="shared" si="10"/>
        <v>1962848.8119183669</v>
      </c>
      <c r="AJ8">
        <f t="shared" si="11"/>
        <v>481615.61760000006</v>
      </c>
      <c r="AL8">
        <v>6</v>
      </c>
      <c r="AM8">
        <v>3.34</v>
      </c>
      <c r="AN8">
        <f t="shared" si="12"/>
        <v>0.92805714285714258</v>
      </c>
      <c r="AO8">
        <f t="shared" si="13"/>
        <v>0.28005899999999995</v>
      </c>
      <c r="AQ8">
        <f t="shared" si="14"/>
        <v>211437.93306122444</v>
      </c>
      <c r="AR8">
        <f t="shared" si="15"/>
        <v>60022.244880000013</v>
      </c>
      <c r="AT8">
        <v>22.46</v>
      </c>
      <c r="AU8">
        <v>58.02</v>
      </c>
      <c r="AV8">
        <f t="shared" si="16"/>
        <v>3.4740272380952377</v>
      </c>
      <c r="AW8">
        <f t="shared" si="17"/>
        <v>4.8649769999999988</v>
      </c>
      <c r="AY8">
        <f t="shared" si="18"/>
        <v>791482.66275918367</v>
      </c>
      <c r="AZ8">
        <f t="shared" si="19"/>
        <v>1042661.8706400001</v>
      </c>
      <c r="BB8">
        <v>178</v>
      </c>
      <c r="BC8">
        <v>118</v>
      </c>
      <c r="BE8">
        <f t="shared" si="20"/>
        <v>4055.3485714285716</v>
      </c>
      <c r="BF8">
        <f t="shared" si="21"/>
        <v>2528.9760000000006</v>
      </c>
      <c r="BH8">
        <v>1310</v>
      </c>
      <c r="BI8">
        <v>318</v>
      </c>
      <c r="BK8">
        <f t="shared" si="22"/>
        <v>29845.542857142857</v>
      </c>
      <c r="BL8">
        <f t="shared" si="23"/>
        <v>6815.376000000002</v>
      </c>
      <c r="BN8">
        <v>2290</v>
      </c>
      <c r="BO8">
        <v>315</v>
      </c>
      <c r="BQ8">
        <f t="shared" si="24"/>
        <v>52172.742857142861</v>
      </c>
      <c r="BR8">
        <f t="shared" si="25"/>
        <v>6751.0800000000017</v>
      </c>
      <c r="BT8">
        <v>474</v>
      </c>
      <c r="BU8">
        <v>135</v>
      </c>
      <c r="BW8">
        <f t="shared" si="26"/>
        <v>10799.074285714285</v>
      </c>
      <c r="BX8">
        <f t="shared" si="27"/>
        <v>2893.3200000000006</v>
      </c>
      <c r="BZ8">
        <v>376</v>
      </c>
      <c r="CA8">
        <v>208</v>
      </c>
      <c r="CC8">
        <f t="shared" si="28"/>
        <v>8566.3542857142857</v>
      </c>
      <c r="CD8">
        <f t="shared" si="29"/>
        <v>4457.8560000000016</v>
      </c>
    </row>
    <row r="9" spans="1:82" x14ac:dyDescent="0.2">
      <c r="A9">
        <v>23.07</v>
      </c>
      <c r="B9">
        <v>18.78</v>
      </c>
      <c r="E9">
        <v>12.88</v>
      </c>
      <c r="F9">
        <v>9.31</v>
      </c>
      <c r="H9" s="2">
        <f t="shared" si="0"/>
        <v>2934432</v>
      </c>
      <c r="I9">
        <f t="shared" si="1"/>
        <v>1995319.2000000007</v>
      </c>
      <c r="K9">
        <v>86.9</v>
      </c>
      <c r="L9">
        <v>81</v>
      </c>
      <c r="N9">
        <f t="shared" si="2"/>
        <v>19798302.857142858</v>
      </c>
      <c r="O9">
        <f t="shared" si="3"/>
        <v>17359920.000000004</v>
      </c>
      <c r="Q9">
        <v>64.2</v>
      </c>
      <c r="R9">
        <v>58</v>
      </c>
      <c r="T9">
        <f t="shared" si="4"/>
        <v>14626594.285714285</v>
      </c>
      <c r="U9">
        <f t="shared" si="5"/>
        <v>12430560.000000002</v>
      </c>
      <c r="W9">
        <v>7.6</v>
      </c>
      <c r="X9">
        <v>7.59</v>
      </c>
      <c r="Z9">
        <f t="shared" si="6"/>
        <v>1731497.1428571427</v>
      </c>
      <c r="AA9">
        <f t="shared" si="7"/>
        <v>1626688.8000000003</v>
      </c>
      <c r="AD9">
        <v>51.6</v>
      </c>
      <c r="AE9">
        <v>39.200000000000003</v>
      </c>
      <c r="AF9" s="2">
        <f t="shared" si="8"/>
        <v>7.9812914285714269</v>
      </c>
      <c r="AG9">
        <f t="shared" si="9"/>
        <v>3.2869199999999994</v>
      </c>
      <c r="AI9">
        <f t="shared" si="10"/>
        <v>1818366.2243265305</v>
      </c>
      <c r="AJ9">
        <f t="shared" si="11"/>
        <v>704452.69440000004</v>
      </c>
      <c r="AL9">
        <v>6.55</v>
      </c>
      <c r="AM9">
        <v>7.5</v>
      </c>
      <c r="AN9">
        <f t="shared" si="12"/>
        <v>1.0131290476190473</v>
      </c>
      <c r="AO9">
        <f t="shared" si="13"/>
        <v>0.62887499999999985</v>
      </c>
      <c r="AQ9">
        <f t="shared" si="14"/>
        <v>230819.74359183668</v>
      </c>
      <c r="AR9">
        <f t="shared" si="15"/>
        <v>134780.49</v>
      </c>
      <c r="AT9">
        <v>25.8</v>
      </c>
      <c r="AU9">
        <v>35.6</v>
      </c>
      <c r="AV9">
        <f t="shared" si="16"/>
        <v>3.9906457142857135</v>
      </c>
      <c r="AW9">
        <f t="shared" si="17"/>
        <v>2.9850599999999994</v>
      </c>
      <c r="AY9">
        <f t="shared" si="18"/>
        <v>909183.11216326524</v>
      </c>
      <c r="AZ9">
        <f t="shared" si="19"/>
        <v>639758.05920000013</v>
      </c>
      <c r="BB9">
        <v>136</v>
      </c>
      <c r="BC9">
        <v>68</v>
      </c>
      <c r="BE9">
        <f t="shared" si="20"/>
        <v>3098.4685714285715</v>
      </c>
      <c r="BF9">
        <f t="shared" si="21"/>
        <v>1457.3760000000004</v>
      </c>
      <c r="BI9">
        <v>361</v>
      </c>
      <c r="BL9">
        <f t="shared" si="23"/>
        <v>7736.952000000002</v>
      </c>
      <c r="BO9">
        <v>573</v>
      </c>
      <c r="BR9">
        <f t="shared" si="25"/>
        <v>12280.536000000004</v>
      </c>
      <c r="BU9">
        <v>633</v>
      </c>
      <c r="BX9">
        <f t="shared" si="27"/>
        <v>13566.456000000004</v>
      </c>
      <c r="BZ9">
        <v>206</v>
      </c>
      <c r="CA9">
        <v>340</v>
      </c>
      <c r="CC9">
        <f t="shared" si="28"/>
        <v>4693.2685714285717</v>
      </c>
      <c r="CD9">
        <f t="shared" si="29"/>
        <v>7286.8800000000019</v>
      </c>
    </row>
    <row r="10" spans="1:82" x14ac:dyDescent="0.2">
      <c r="B10">
        <v>19.920000000000002</v>
      </c>
      <c r="E10">
        <v>6.72</v>
      </c>
      <c r="F10">
        <v>7.4</v>
      </c>
      <c r="H10" s="2">
        <f t="shared" si="0"/>
        <v>1531008</v>
      </c>
      <c r="I10">
        <f t="shared" si="1"/>
        <v>1585968.0000000007</v>
      </c>
      <c r="K10">
        <v>89.7</v>
      </c>
      <c r="L10">
        <v>90.8</v>
      </c>
      <c r="N10">
        <f t="shared" si="2"/>
        <v>20436222.857142858</v>
      </c>
      <c r="O10">
        <f t="shared" si="3"/>
        <v>19460256.000000004</v>
      </c>
      <c r="Q10">
        <v>58.2</v>
      </c>
      <c r="R10">
        <v>57.2</v>
      </c>
      <c r="T10">
        <f t="shared" si="4"/>
        <v>13259622.857142858</v>
      </c>
      <c r="U10">
        <f t="shared" si="5"/>
        <v>12259104.000000006</v>
      </c>
      <c r="W10">
        <v>6.37</v>
      </c>
      <c r="X10">
        <v>15.2</v>
      </c>
      <c r="Z10">
        <f t="shared" si="6"/>
        <v>1451268</v>
      </c>
      <c r="AA10">
        <f t="shared" si="7"/>
        <v>3257664.0000000014</v>
      </c>
      <c r="AD10">
        <v>43.5</v>
      </c>
      <c r="AE10">
        <v>23.8</v>
      </c>
      <c r="AF10" s="2">
        <f t="shared" si="8"/>
        <v>6.7284142857142841</v>
      </c>
      <c r="AG10">
        <f t="shared" si="9"/>
        <v>1.9956299999999996</v>
      </c>
      <c r="AI10">
        <f t="shared" si="10"/>
        <v>1532925.0146938774</v>
      </c>
      <c r="AJ10">
        <f t="shared" si="11"/>
        <v>427703.42160000006</v>
      </c>
      <c r="AL10">
        <v>7.6</v>
      </c>
      <c r="AM10">
        <v>6.75</v>
      </c>
      <c r="AN10">
        <f t="shared" si="12"/>
        <v>1.1755390476190473</v>
      </c>
      <c r="AO10">
        <f t="shared" si="13"/>
        <v>0.56598749999999987</v>
      </c>
      <c r="AQ10">
        <f t="shared" si="14"/>
        <v>267821.38187755091</v>
      </c>
      <c r="AR10">
        <f t="shared" si="15"/>
        <v>121302.44099999999</v>
      </c>
      <c r="AT10">
        <v>33.96</v>
      </c>
      <c r="AU10">
        <v>55.32</v>
      </c>
      <c r="AV10">
        <f t="shared" si="16"/>
        <v>5.2528034285714273</v>
      </c>
      <c r="AW10">
        <f t="shared" si="17"/>
        <v>4.6385819999999987</v>
      </c>
      <c r="AY10">
        <f t="shared" si="18"/>
        <v>1196738.7011265305</v>
      </c>
      <c r="AZ10">
        <f t="shared" si="19"/>
        <v>994140.89423999994</v>
      </c>
      <c r="BB10">
        <v>198</v>
      </c>
      <c r="BC10">
        <v>150</v>
      </c>
      <c r="BE10">
        <f t="shared" si="20"/>
        <v>4511.005714285714</v>
      </c>
      <c r="BF10">
        <f t="shared" si="21"/>
        <v>3214.8000000000006</v>
      </c>
      <c r="BI10">
        <v>650</v>
      </c>
      <c r="BL10">
        <f t="shared" si="23"/>
        <v>13930.800000000003</v>
      </c>
      <c r="BO10">
        <v>349</v>
      </c>
      <c r="BR10">
        <f t="shared" si="25"/>
        <v>7479.7680000000018</v>
      </c>
      <c r="BU10">
        <v>103</v>
      </c>
      <c r="BX10">
        <f t="shared" si="27"/>
        <v>2207.4960000000005</v>
      </c>
      <c r="BZ10">
        <v>192</v>
      </c>
      <c r="CA10">
        <v>405</v>
      </c>
      <c r="CC10">
        <f t="shared" si="28"/>
        <v>4374.3085714285717</v>
      </c>
      <c r="CD10">
        <f t="shared" si="29"/>
        <v>8679.9600000000028</v>
      </c>
    </row>
    <row r="11" spans="1:82" x14ac:dyDescent="0.2">
      <c r="B11">
        <v>18.93</v>
      </c>
      <c r="E11">
        <v>17.760000000000002</v>
      </c>
      <c r="F11">
        <v>7.36</v>
      </c>
      <c r="H11" s="2">
        <f t="shared" si="0"/>
        <v>4046235.4285714286</v>
      </c>
      <c r="I11">
        <f t="shared" si="1"/>
        <v>1577395.2000000007</v>
      </c>
      <c r="K11">
        <v>84.5</v>
      </c>
      <c r="L11">
        <v>90.6</v>
      </c>
      <c r="N11">
        <f t="shared" si="2"/>
        <v>19251514.285714287</v>
      </c>
      <c r="O11">
        <f t="shared" si="3"/>
        <v>19417392.000000004</v>
      </c>
      <c r="Q11">
        <v>71.400000000000006</v>
      </c>
      <c r="R11">
        <v>56.4</v>
      </c>
      <c r="T11">
        <f t="shared" si="4"/>
        <v>16266960.000000002</v>
      </c>
      <c r="U11">
        <f t="shared" si="5"/>
        <v>12087648.000000006</v>
      </c>
      <c r="W11">
        <v>5.79</v>
      </c>
      <c r="X11">
        <v>12.1</v>
      </c>
      <c r="Z11">
        <f t="shared" si="6"/>
        <v>1319127.4285714286</v>
      </c>
      <c r="AA11">
        <f t="shared" si="7"/>
        <v>2593272.0000000005</v>
      </c>
      <c r="AD11">
        <v>35.200000000000003</v>
      </c>
      <c r="AE11">
        <v>36.700000000000003</v>
      </c>
      <c r="AF11" s="2">
        <f t="shared" si="8"/>
        <v>5.4446019047619041</v>
      </c>
      <c r="AG11">
        <f t="shared" si="9"/>
        <v>3.0772949999999999</v>
      </c>
      <c r="AI11">
        <f t="shared" si="10"/>
        <v>1240435.8739591835</v>
      </c>
      <c r="AJ11">
        <f t="shared" si="11"/>
        <v>659525.8644000002</v>
      </c>
      <c r="AL11">
        <v>11.61</v>
      </c>
      <c r="AM11">
        <v>5.46</v>
      </c>
      <c r="AN11">
        <f t="shared" si="12"/>
        <v>1.7957905714285709</v>
      </c>
      <c r="AO11">
        <f t="shared" si="13"/>
        <v>0.45782099999999987</v>
      </c>
      <c r="AQ11">
        <f t="shared" si="14"/>
        <v>409132.40047346929</v>
      </c>
      <c r="AR11">
        <f t="shared" si="15"/>
        <v>98120.196720000007</v>
      </c>
      <c r="AT11">
        <v>36.090000000000003</v>
      </c>
      <c r="AU11">
        <v>42.8</v>
      </c>
      <c r="AV11">
        <f t="shared" si="16"/>
        <v>5.5822637142857143</v>
      </c>
      <c r="AW11">
        <f t="shared" si="17"/>
        <v>3.588779999999999</v>
      </c>
      <c r="AY11">
        <f t="shared" si="18"/>
        <v>1271799.1673632653</v>
      </c>
      <c r="AZ11">
        <f t="shared" si="19"/>
        <v>769147.32959999994</v>
      </c>
      <c r="BB11">
        <v>289</v>
      </c>
      <c r="BC11">
        <v>166</v>
      </c>
      <c r="BE11">
        <f t="shared" si="20"/>
        <v>6584.2457142857147</v>
      </c>
      <c r="BF11">
        <f t="shared" si="21"/>
        <v>3557.7120000000009</v>
      </c>
      <c r="BI11">
        <v>733</v>
      </c>
      <c r="BL11">
        <f t="shared" si="23"/>
        <v>15709.656000000004</v>
      </c>
      <c r="BO11">
        <v>526</v>
      </c>
      <c r="BR11">
        <f t="shared" si="25"/>
        <v>11273.232000000004</v>
      </c>
      <c r="BU11">
        <v>476</v>
      </c>
      <c r="BX11">
        <f t="shared" si="27"/>
        <v>10201.632000000003</v>
      </c>
      <c r="BZ11">
        <v>176</v>
      </c>
      <c r="CA11">
        <v>256</v>
      </c>
      <c r="CC11">
        <f t="shared" si="28"/>
        <v>4009.7828571428572</v>
      </c>
      <c r="CD11">
        <f t="shared" si="29"/>
        <v>5486.5920000000015</v>
      </c>
    </row>
    <row r="12" spans="1:82" x14ac:dyDescent="0.2">
      <c r="B12">
        <v>18.420000000000002</v>
      </c>
      <c r="E12">
        <v>14.88</v>
      </c>
      <c r="F12">
        <v>10.119999999999999</v>
      </c>
      <c r="H12" s="2">
        <f t="shared" si="0"/>
        <v>3390089.1428571427</v>
      </c>
      <c r="I12">
        <f t="shared" si="1"/>
        <v>2168918.4000000004</v>
      </c>
      <c r="K12">
        <v>89.2</v>
      </c>
      <c r="L12">
        <v>88.5</v>
      </c>
      <c r="N12">
        <f t="shared" si="2"/>
        <v>20322308.571428575</v>
      </c>
      <c r="O12">
        <f t="shared" si="3"/>
        <v>18967320.000000004</v>
      </c>
      <c r="Q12">
        <v>60.8</v>
      </c>
      <c r="T12">
        <f t="shared" si="4"/>
        <v>13851977.142857142</v>
      </c>
      <c r="W12">
        <v>7.68</v>
      </c>
      <c r="Z12">
        <f t="shared" si="6"/>
        <v>1749723.4285714284</v>
      </c>
      <c r="AD12">
        <v>44.5</v>
      </c>
      <c r="AE12">
        <v>24.6</v>
      </c>
      <c r="AF12" s="2">
        <f t="shared" si="8"/>
        <v>6.8830904761904748</v>
      </c>
      <c r="AG12">
        <f t="shared" si="9"/>
        <v>2.0627099999999996</v>
      </c>
      <c r="AI12">
        <f t="shared" si="10"/>
        <v>1568164.6702040816</v>
      </c>
      <c r="AJ12">
        <f t="shared" si="11"/>
        <v>442080.00719999999</v>
      </c>
      <c r="AL12">
        <v>10.68</v>
      </c>
      <c r="AM12">
        <v>7.07</v>
      </c>
      <c r="AN12">
        <f t="shared" si="12"/>
        <v>1.651941714285714</v>
      </c>
      <c r="AO12">
        <f t="shared" si="13"/>
        <v>0.59281949999999994</v>
      </c>
      <c r="AQ12">
        <f t="shared" si="14"/>
        <v>376359.52084897953</v>
      </c>
      <c r="AR12">
        <f t="shared" si="15"/>
        <v>127053.07524000002</v>
      </c>
      <c r="AT12">
        <v>31.92</v>
      </c>
      <c r="AU12">
        <v>543.6</v>
      </c>
      <c r="AV12">
        <f t="shared" si="16"/>
        <v>4.937263999999999</v>
      </c>
      <c r="AW12">
        <f t="shared" si="17"/>
        <v>45.580859999999994</v>
      </c>
      <c r="AY12">
        <f t="shared" si="18"/>
        <v>1124849.8038857139</v>
      </c>
      <c r="AZ12">
        <f t="shared" si="19"/>
        <v>9768889.9152000006</v>
      </c>
      <c r="BB12">
        <v>187</v>
      </c>
      <c r="BC12">
        <v>196</v>
      </c>
      <c r="BE12">
        <f t="shared" si="20"/>
        <v>4260.3942857142856</v>
      </c>
      <c r="BF12">
        <f t="shared" si="21"/>
        <v>4200.6720000000014</v>
      </c>
      <c r="BI12">
        <v>1311</v>
      </c>
      <c r="BL12">
        <f t="shared" si="23"/>
        <v>28097.352000000006</v>
      </c>
      <c r="BO12">
        <v>1189</v>
      </c>
      <c r="BR12">
        <f t="shared" si="25"/>
        <v>25482.648000000008</v>
      </c>
      <c r="BU12">
        <v>622</v>
      </c>
      <c r="BX12">
        <f t="shared" si="27"/>
        <v>13330.704000000003</v>
      </c>
      <c r="BZ12">
        <v>188</v>
      </c>
      <c r="CA12">
        <v>232</v>
      </c>
      <c r="CC12">
        <f t="shared" si="28"/>
        <v>4283.1771428571428</v>
      </c>
      <c r="CD12">
        <f t="shared" si="29"/>
        <v>4972.2240000000011</v>
      </c>
    </row>
    <row r="13" spans="1:82" x14ac:dyDescent="0.2">
      <c r="E13">
        <v>12.8</v>
      </c>
      <c r="F13">
        <v>9.1999999999999993</v>
      </c>
      <c r="H13" s="2">
        <f t="shared" si="0"/>
        <v>2916205.7142857146</v>
      </c>
      <c r="I13">
        <f t="shared" si="1"/>
        <v>1971744.0000000007</v>
      </c>
      <c r="K13">
        <v>74.2</v>
      </c>
      <c r="L13">
        <v>91.1</v>
      </c>
      <c r="N13">
        <f t="shared" si="2"/>
        <v>16904880</v>
      </c>
      <c r="O13">
        <f t="shared" si="3"/>
        <v>19524552.000000004</v>
      </c>
      <c r="Q13">
        <v>61.6</v>
      </c>
      <c r="T13">
        <f t="shared" si="4"/>
        <v>14034240</v>
      </c>
      <c r="W13">
        <v>3.76</v>
      </c>
      <c r="Z13">
        <f t="shared" si="6"/>
        <v>856635.42857142852</v>
      </c>
      <c r="AD13">
        <v>25.4</v>
      </c>
      <c r="AE13">
        <v>39.799999999999997</v>
      </c>
      <c r="AF13" s="2">
        <f t="shared" si="8"/>
        <v>3.9287752380952368</v>
      </c>
      <c r="AG13">
        <f t="shared" si="9"/>
        <v>3.337229999999999</v>
      </c>
      <c r="AI13">
        <f t="shared" si="10"/>
        <v>895087.24995918351</v>
      </c>
      <c r="AJ13">
        <f t="shared" si="11"/>
        <v>715235.13360000006</v>
      </c>
      <c r="AL13">
        <v>11.7</v>
      </c>
      <c r="AM13">
        <v>7.38</v>
      </c>
      <c r="AN13">
        <f t="shared" si="12"/>
        <v>1.8097114285714282</v>
      </c>
      <c r="AO13">
        <f t="shared" si="13"/>
        <v>0.61881299999999984</v>
      </c>
      <c r="AQ13">
        <f t="shared" si="14"/>
        <v>412303.96946938767</v>
      </c>
      <c r="AR13">
        <f t="shared" si="15"/>
        <v>132624.00216</v>
      </c>
      <c r="AT13">
        <v>47.73</v>
      </c>
      <c r="AU13">
        <v>46.7</v>
      </c>
      <c r="AV13">
        <f t="shared" si="16"/>
        <v>7.3826945714285692</v>
      </c>
      <c r="AW13">
        <f t="shared" si="17"/>
        <v>3.9157949999999997</v>
      </c>
      <c r="AY13">
        <f t="shared" si="18"/>
        <v>1681988.7575020404</v>
      </c>
      <c r="AZ13">
        <f t="shared" si="19"/>
        <v>839233.18440000014</v>
      </c>
      <c r="BB13">
        <v>231</v>
      </c>
      <c r="BC13">
        <v>155</v>
      </c>
      <c r="BE13">
        <f t="shared" si="20"/>
        <v>5262.84</v>
      </c>
      <c r="BF13">
        <f t="shared" si="21"/>
        <v>3321.9600000000009</v>
      </c>
      <c r="BI13">
        <v>971</v>
      </c>
      <c r="BL13">
        <f t="shared" si="23"/>
        <v>20810.472000000005</v>
      </c>
      <c r="BO13">
        <v>669</v>
      </c>
      <c r="BR13">
        <f t="shared" si="25"/>
        <v>14338.008000000003</v>
      </c>
      <c r="BU13">
        <v>488</v>
      </c>
      <c r="BX13">
        <f t="shared" si="27"/>
        <v>10458.816000000003</v>
      </c>
      <c r="BZ13">
        <v>244</v>
      </c>
      <c r="CA13">
        <v>208</v>
      </c>
      <c r="CC13">
        <f t="shared" si="28"/>
        <v>5559.017142857143</v>
      </c>
      <c r="CD13">
        <f t="shared" si="29"/>
        <v>4457.8560000000016</v>
      </c>
    </row>
    <row r="14" spans="1:82" x14ac:dyDescent="0.2">
      <c r="A14" s="1">
        <f>AVERAGE(A3:A9)</f>
        <v>22.782857142857143</v>
      </c>
      <c r="B14" s="1">
        <f>AVERAGE(B3:B12)</f>
        <v>21.432000000000006</v>
      </c>
      <c r="C14" t="s">
        <v>3</v>
      </c>
      <c r="E14">
        <v>19.399999999999999</v>
      </c>
      <c r="F14">
        <v>10.6</v>
      </c>
      <c r="H14" s="2">
        <f t="shared" si="0"/>
        <v>4419874.2857142854</v>
      </c>
      <c r="I14">
        <f t="shared" si="1"/>
        <v>2271792.0000000005</v>
      </c>
      <c r="K14">
        <v>66.599999999999994</v>
      </c>
      <c r="L14">
        <v>76.400000000000006</v>
      </c>
      <c r="N14">
        <f t="shared" si="2"/>
        <v>15173382.857142856</v>
      </c>
      <c r="O14">
        <f t="shared" si="3"/>
        <v>16374048.000000006</v>
      </c>
      <c r="Q14">
        <v>42.1</v>
      </c>
      <c r="T14">
        <f t="shared" si="4"/>
        <v>9591582.8571428582</v>
      </c>
      <c r="W14">
        <v>4.22</v>
      </c>
      <c r="Z14">
        <f t="shared" si="6"/>
        <v>961436.57142857136</v>
      </c>
      <c r="AD14">
        <v>58.7</v>
      </c>
      <c r="AE14">
        <v>35.4</v>
      </c>
      <c r="AF14" s="2">
        <f t="shared" si="8"/>
        <v>9.0794923809523791</v>
      </c>
      <c r="AG14">
        <f t="shared" si="9"/>
        <v>2.9682899999999992</v>
      </c>
      <c r="AI14">
        <f t="shared" si="10"/>
        <v>2068567.7784489794</v>
      </c>
      <c r="AJ14">
        <f t="shared" si="11"/>
        <v>636163.91280000005</v>
      </c>
      <c r="AL14">
        <v>9.64</v>
      </c>
      <c r="AM14">
        <v>6.83</v>
      </c>
      <c r="AN14">
        <f t="shared" si="12"/>
        <v>1.4910784761904758</v>
      </c>
      <c r="AO14">
        <f t="shared" si="13"/>
        <v>0.57269549999999991</v>
      </c>
      <c r="AQ14">
        <f t="shared" si="14"/>
        <v>339710.2791183673</v>
      </c>
      <c r="AR14">
        <f t="shared" si="15"/>
        <v>122740.09956000002</v>
      </c>
      <c r="AT14">
        <v>21.14</v>
      </c>
      <c r="AU14">
        <v>48.16</v>
      </c>
      <c r="AV14">
        <f t="shared" si="16"/>
        <v>3.2698546666666659</v>
      </c>
      <c r="AW14">
        <f t="shared" si="17"/>
        <v>4.0382159999999985</v>
      </c>
      <c r="AY14">
        <f t="shared" si="18"/>
        <v>744966.31748571421</v>
      </c>
      <c r="AZ14">
        <f t="shared" si="19"/>
        <v>865470.45311999996</v>
      </c>
      <c r="BB14">
        <v>281</v>
      </c>
      <c r="BC14">
        <v>139</v>
      </c>
      <c r="BE14">
        <f t="shared" si="20"/>
        <v>6401.982857142857</v>
      </c>
      <c r="BF14">
        <f t="shared" si="21"/>
        <v>2979.0480000000007</v>
      </c>
      <c r="BZ14">
        <v>190</v>
      </c>
      <c r="CA14">
        <v>148</v>
      </c>
      <c r="CC14">
        <f t="shared" si="28"/>
        <v>4328.7428571428572</v>
      </c>
      <c r="CD14">
        <f t="shared" si="29"/>
        <v>3171.9360000000011</v>
      </c>
    </row>
    <row r="15" spans="1:82" x14ac:dyDescent="0.2">
      <c r="E15">
        <v>10.5</v>
      </c>
      <c r="F15">
        <v>11.9</v>
      </c>
      <c r="H15" s="2">
        <f t="shared" si="0"/>
        <v>2392200</v>
      </c>
      <c r="I15">
        <f t="shared" si="1"/>
        <v>2550408.0000000009</v>
      </c>
      <c r="K15">
        <v>76.8</v>
      </c>
      <c r="L15">
        <v>74.400000000000006</v>
      </c>
      <c r="N15">
        <f t="shared" si="2"/>
        <v>17497234.285714287</v>
      </c>
      <c r="O15">
        <f t="shared" si="3"/>
        <v>15945408.000000006</v>
      </c>
      <c r="Q15">
        <v>59.5</v>
      </c>
      <c r="T15">
        <f t="shared" si="4"/>
        <v>13555800</v>
      </c>
      <c r="W15">
        <v>8.02</v>
      </c>
      <c r="Z15">
        <f t="shared" si="6"/>
        <v>1827185.1428571427</v>
      </c>
      <c r="AD15">
        <v>70.3</v>
      </c>
      <c r="AE15">
        <v>22.5</v>
      </c>
      <c r="AF15" s="2">
        <f t="shared" si="8"/>
        <v>10.873736190476189</v>
      </c>
      <c r="AG15">
        <f t="shared" si="9"/>
        <v>1.8866249999999998</v>
      </c>
      <c r="AI15">
        <f t="shared" si="10"/>
        <v>2477347.7823673468</v>
      </c>
      <c r="AJ15">
        <f t="shared" si="11"/>
        <v>404341.47000000003</v>
      </c>
      <c r="AL15">
        <v>9.18</v>
      </c>
      <c r="AM15">
        <v>6.25</v>
      </c>
      <c r="AN15">
        <f t="shared" si="12"/>
        <v>1.4199274285714283</v>
      </c>
      <c r="AO15">
        <f t="shared" si="13"/>
        <v>0.52406249999999988</v>
      </c>
      <c r="AQ15">
        <f t="shared" si="14"/>
        <v>323500.03758367343</v>
      </c>
      <c r="AR15">
        <f t="shared" si="15"/>
        <v>112317.075</v>
      </c>
      <c r="AT15">
        <v>9.5</v>
      </c>
      <c r="AU15">
        <v>59.16</v>
      </c>
      <c r="AV15">
        <f t="shared" si="16"/>
        <v>1.4694238095238092</v>
      </c>
      <c r="AW15">
        <f t="shared" si="17"/>
        <v>4.9605659999999983</v>
      </c>
      <c r="AY15">
        <f t="shared" si="18"/>
        <v>334776.72734693869</v>
      </c>
      <c r="AZ15">
        <f t="shared" si="19"/>
        <v>1063148.5051199999</v>
      </c>
      <c r="BB15">
        <v>187</v>
      </c>
      <c r="BC15">
        <v>266</v>
      </c>
      <c r="BE15">
        <f t="shared" si="20"/>
        <v>4260.3942857142856</v>
      </c>
      <c r="BF15">
        <f t="shared" si="21"/>
        <v>5700.9120000000012</v>
      </c>
      <c r="BZ15">
        <v>115</v>
      </c>
      <c r="CA15">
        <v>204</v>
      </c>
      <c r="CC15">
        <f t="shared" si="28"/>
        <v>2620.0285714285715</v>
      </c>
      <c r="CD15">
        <f t="shared" si="29"/>
        <v>4372.1280000000015</v>
      </c>
    </row>
    <row r="16" spans="1:82" x14ac:dyDescent="0.2">
      <c r="E16">
        <v>17</v>
      </c>
      <c r="F16">
        <v>10.6</v>
      </c>
      <c r="H16" s="2">
        <f t="shared" si="0"/>
        <v>3873085.7142857146</v>
      </c>
      <c r="I16">
        <f t="shared" si="1"/>
        <v>2271792.0000000005</v>
      </c>
      <c r="K16">
        <v>70.599999999999994</v>
      </c>
      <c r="L16">
        <v>78.5</v>
      </c>
      <c r="N16">
        <f t="shared" si="2"/>
        <v>16084697.142857142</v>
      </c>
      <c r="O16">
        <f t="shared" si="3"/>
        <v>16824120.000000004</v>
      </c>
      <c r="Q16">
        <v>65.400000000000006</v>
      </c>
      <c r="T16">
        <f t="shared" si="4"/>
        <v>14899988.571428573</v>
      </c>
      <c r="W16">
        <v>8.39</v>
      </c>
      <c r="Z16">
        <f t="shared" si="6"/>
        <v>1911481.7142857143</v>
      </c>
      <c r="AD16">
        <v>62.2</v>
      </c>
      <c r="AF16" s="2">
        <f t="shared" si="8"/>
        <v>9.6208590476190459</v>
      </c>
      <c r="AI16">
        <f t="shared" si="10"/>
        <v>2191906.5727346935</v>
      </c>
      <c r="AL16">
        <v>8.76</v>
      </c>
      <c r="AN16">
        <f t="shared" si="12"/>
        <v>1.3549634285714283</v>
      </c>
      <c r="AQ16">
        <f t="shared" si="14"/>
        <v>308699.38226938772</v>
      </c>
      <c r="AT16">
        <v>19.579999999999998</v>
      </c>
      <c r="AV16">
        <f t="shared" si="16"/>
        <v>3.0285598095238084</v>
      </c>
      <c r="AY16">
        <f t="shared" si="18"/>
        <v>689992.45488979563</v>
      </c>
      <c r="BB16">
        <v>258</v>
      </c>
      <c r="BC16">
        <v>69</v>
      </c>
      <c r="BE16">
        <f t="shared" si="20"/>
        <v>5877.977142857143</v>
      </c>
      <c r="BF16">
        <f t="shared" si="21"/>
        <v>1478.8080000000004</v>
      </c>
      <c r="BZ16">
        <v>195</v>
      </c>
      <c r="CA16">
        <v>132</v>
      </c>
      <c r="CC16">
        <f t="shared" si="28"/>
        <v>4442.6571428571433</v>
      </c>
      <c r="CD16">
        <f t="shared" si="29"/>
        <v>2829.0240000000008</v>
      </c>
    </row>
    <row r="17" spans="1:82" x14ac:dyDescent="0.2">
      <c r="E17">
        <v>18.2</v>
      </c>
      <c r="F17">
        <v>8.3000000000000007</v>
      </c>
      <c r="H17" s="2">
        <f t="shared" si="0"/>
        <v>4146479.9999999995</v>
      </c>
      <c r="I17">
        <f t="shared" si="1"/>
        <v>1778856.0000000007</v>
      </c>
      <c r="K17">
        <v>64</v>
      </c>
      <c r="L17">
        <v>80.400000000000006</v>
      </c>
      <c r="N17">
        <f t="shared" si="2"/>
        <v>14581028.571428571</v>
      </c>
      <c r="O17">
        <f t="shared" si="3"/>
        <v>17231328.000000004</v>
      </c>
      <c r="Q17">
        <v>61</v>
      </c>
      <c r="T17">
        <f t="shared" si="4"/>
        <v>13897542.857142858</v>
      </c>
      <c r="W17">
        <v>9.9600000000000009</v>
      </c>
      <c r="Z17">
        <f t="shared" si="6"/>
        <v>2269172.5714285718</v>
      </c>
      <c r="AD17">
        <v>63.2</v>
      </c>
      <c r="AF17" s="2">
        <f t="shared" si="8"/>
        <v>9.7755352380952374</v>
      </c>
      <c r="AI17">
        <f t="shared" si="10"/>
        <v>2227146.2282448979</v>
      </c>
      <c r="AL17">
        <v>7.72</v>
      </c>
      <c r="AN17">
        <f t="shared" si="12"/>
        <v>1.1941001904761901</v>
      </c>
      <c r="AQ17">
        <f t="shared" si="14"/>
        <v>272050.14053877542</v>
      </c>
      <c r="AT17">
        <v>18.97</v>
      </c>
      <c r="AV17">
        <f t="shared" si="16"/>
        <v>2.9342073333333327</v>
      </c>
      <c r="AY17">
        <f t="shared" si="18"/>
        <v>668496.26502857136</v>
      </c>
      <c r="BC17">
        <v>182</v>
      </c>
      <c r="BF17">
        <f t="shared" si="21"/>
        <v>3900.6240000000012</v>
      </c>
      <c r="CA17">
        <v>155</v>
      </c>
      <c r="CD17">
        <f t="shared" si="29"/>
        <v>3321.9600000000009</v>
      </c>
    </row>
    <row r="18" spans="1:82" x14ac:dyDescent="0.2">
      <c r="E18">
        <v>32.9</v>
      </c>
      <c r="F18">
        <v>18.899999999999999</v>
      </c>
      <c r="H18" s="2">
        <f t="shared" si="0"/>
        <v>7495559.9999999991</v>
      </c>
      <c r="I18">
        <f t="shared" si="1"/>
        <v>4050648.0000000014</v>
      </c>
      <c r="K18">
        <v>46.1</v>
      </c>
      <c r="L18">
        <v>66.900000000000006</v>
      </c>
      <c r="N18">
        <f t="shared" si="2"/>
        <v>10502897.142857144</v>
      </c>
      <c r="O18">
        <f t="shared" si="3"/>
        <v>14338008.000000006</v>
      </c>
      <c r="Q18">
        <v>58</v>
      </c>
      <c r="T18">
        <f t="shared" si="4"/>
        <v>13214057.142857144</v>
      </c>
      <c r="W18">
        <v>8.2799999999999994</v>
      </c>
      <c r="Z18">
        <f t="shared" si="6"/>
        <v>1886420.5714285714</v>
      </c>
      <c r="BC18">
        <v>170</v>
      </c>
      <c r="BF18">
        <f t="shared" si="21"/>
        <v>3643.440000000001</v>
      </c>
      <c r="CA18">
        <v>125</v>
      </c>
      <c r="CD18">
        <f t="shared" si="29"/>
        <v>2679.0000000000009</v>
      </c>
    </row>
    <row r="19" spans="1:82" x14ac:dyDescent="0.2">
      <c r="E19">
        <v>14.7</v>
      </c>
      <c r="F19">
        <v>14.1</v>
      </c>
      <c r="H19" s="2">
        <f t="shared" si="0"/>
        <v>3349079.9999999995</v>
      </c>
      <c r="I19">
        <f t="shared" si="1"/>
        <v>3021912.0000000014</v>
      </c>
      <c r="K19">
        <v>68.5</v>
      </c>
      <c r="L19">
        <v>74.599999999999994</v>
      </c>
      <c r="N19">
        <f t="shared" si="2"/>
        <v>15606257.142857144</v>
      </c>
      <c r="O19">
        <f t="shared" si="3"/>
        <v>15988272.000000006</v>
      </c>
      <c r="BC19">
        <v>105</v>
      </c>
      <c r="BF19">
        <f t="shared" si="21"/>
        <v>2250.3600000000006</v>
      </c>
      <c r="CA19">
        <v>100</v>
      </c>
      <c r="CD19">
        <f t="shared" si="29"/>
        <v>2143.2000000000007</v>
      </c>
    </row>
    <row r="20" spans="1:82" x14ac:dyDescent="0.2">
      <c r="E20">
        <v>43.9</v>
      </c>
      <c r="F20">
        <v>12.7</v>
      </c>
      <c r="H20" s="2">
        <f t="shared" si="0"/>
        <v>10001674.285714285</v>
      </c>
      <c r="I20">
        <f t="shared" si="1"/>
        <v>2721864.0000000005</v>
      </c>
      <c r="K20">
        <v>27.2</v>
      </c>
      <c r="L20">
        <v>71</v>
      </c>
      <c r="N20">
        <f t="shared" si="2"/>
        <v>6196937.1428571427</v>
      </c>
      <c r="O20">
        <f t="shared" si="3"/>
        <v>15216720.000000006</v>
      </c>
      <c r="BP20" t="s">
        <v>6</v>
      </c>
      <c r="BQ20">
        <f>AVERAGE(BQ3:BQ13)</f>
        <v>24206.785714285721</v>
      </c>
      <c r="BR20">
        <f>AVERAGE(BR3:BR13)</f>
        <v>13013.120727272732</v>
      </c>
      <c r="BV20" t="s">
        <v>6</v>
      </c>
      <c r="BW20">
        <f>AVERAGE(BW3:BW13)</f>
        <v>10890.205714285714</v>
      </c>
      <c r="BX20">
        <f>AVERAGE(BX3:BX13)</f>
        <v>6957.6065454545469</v>
      </c>
      <c r="CA20">
        <v>125</v>
      </c>
      <c r="CD20">
        <f t="shared" si="29"/>
        <v>2679.0000000000009</v>
      </c>
    </row>
    <row r="21" spans="1:82" x14ac:dyDescent="0.2">
      <c r="E21">
        <v>10.5</v>
      </c>
      <c r="H21" s="2">
        <f t="shared" si="0"/>
        <v>2392200</v>
      </c>
      <c r="K21">
        <v>73.3</v>
      </c>
      <c r="N21">
        <f t="shared" si="2"/>
        <v>16699834.285714285</v>
      </c>
      <c r="BD21" t="s">
        <v>6</v>
      </c>
      <c r="BE21">
        <f>AVERAGE(BE3:BE16)</f>
        <v>5425.5746938775501</v>
      </c>
      <c r="BF21">
        <f>AVERAGE(BF3:BF16)</f>
        <v>2620.8274285714292</v>
      </c>
      <c r="BJ21" t="s">
        <v>6</v>
      </c>
      <c r="BK21">
        <f>AVERAGE(BK3:BK13)</f>
        <v>20751.385714285716</v>
      </c>
      <c r="BL21">
        <f>AVERAGE(BL3:BL13)</f>
        <v>17241.069818181822</v>
      </c>
      <c r="BP21" t="s">
        <v>7</v>
      </c>
      <c r="BQ21">
        <f>FTEST(BQ3:BQ8,BR3:BR13)</f>
        <v>7.6029204367810896E-4</v>
      </c>
      <c r="BV21" t="s">
        <v>7</v>
      </c>
      <c r="BW21">
        <f>FTEST(BW3:BW8,BX3:BX13)</f>
        <v>1.7825144676152999E-2</v>
      </c>
    </row>
    <row r="22" spans="1:82" x14ac:dyDescent="0.2">
      <c r="E22">
        <v>11.7</v>
      </c>
      <c r="H22" s="2">
        <f t="shared" si="0"/>
        <v>2665594.2857142859</v>
      </c>
      <c r="K22">
        <v>74.3</v>
      </c>
      <c r="N22">
        <f t="shared" si="2"/>
        <v>16927662.857142858</v>
      </c>
      <c r="Y22" t="s">
        <v>6</v>
      </c>
      <c r="Z22">
        <f>AVERAGE(Z3:Z18)</f>
        <v>2289249.9642857146</v>
      </c>
      <c r="AA22">
        <f>AVERAGE(AA3:AA18)</f>
        <v>3090732.5333333341</v>
      </c>
      <c r="AH22" t="s">
        <v>6</v>
      </c>
      <c r="AI22">
        <f>AVERAGE(AI3:AI17)</f>
        <v>1734495.8442122445</v>
      </c>
      <c r="AJ22">
        <f>AVERAGE(AJ3:AJ17)</f>
        <v>530136.59400000004</v>
      </c>
      <c r="AP22" t="s">
        <v>6</v>
      </c>
      <c r="AQ22">
        <f>AVERAGE(AQ3:AQ17)</f>
        <v>361042.01725387748</v>
      </c>
      <c r="AR22">
        <f>AVERAGE(AR3:AR17)</f>
        <v>152571.51467999996</v>
      </c>
      <c r="AX22" t="s">
        <v>6</v>
      </c>
      <c r="AY22">
        <f>AVERAGE(AY3:AY17)</f>
        <v>984196.59219265287</v>
      </c>
      <c r="AZ22">
        <f>AVERAGE(AZ3:AZ17)</f>
        <v>1558062.4644000004</v>
      </c>
      <c r="BD22" t="s">
        <v>7</v>
      </c>
      <c r="BE22">
        <f>FTEST(BE3:BE16,BF3:BF19)</f>
        <v>0.19063640871058896</v>
      </c>
      <c r="BJ22" t="s">
        <v>7</v>
      </c>
      <c r="BK22">
        <f>FTEST(BK3:BK8,BL3:BL13)</f>
        <v>0.30950661881005143</v>
      </c>
      <c r="BP22" t="s">
        <v>8</v>
      </c>
      <c r="BQ22">
        <f>TTEST(BQ3:BQ8,BR3:BR13,2,3)</f>
        <v>0.2189234003553264</v>
      </c>
      <c r="BV22" t="s">
        <v>8</v>
      </c>
      <c r="BW22">
        <f>TTEST(BW3:BW8,BX3:BX13,2,3)</f>
        <v>0.41376747636989103</v>
      </c>
      <c r="CB22" t="s">
        <v>6</v>
      </c>
      <c r="CC22">
        <f>AVERAGE(CC3:CC20)</f>
        <v>4750.2257142857143</v>
      </c>
      <c r="CD22">
        <f>AVERAGE(CD3:CD20)</f>
        <v>4635.2653333333346</v>
      </c>
    </row>
    <row r="23" spans="1:82" x14ac:dyDescent="0.2">
      <c r="E23">
        <v>20</v>
      </c>
      <c r="H23" s="2">
        <f t="shared" si="0"/>
        <v>4556571.4285714291</v>
      </c>
      <c r="K23">
        <v>67.599999999999994</v>
      </c>
      <c r="N23">
        <f t="shared" si="2"/>
        <v>15401211.428571427</v>
      </c>
      <c r="S23" t="s">
        <v>6</v>
      </c>
      <c r="T23">
        <f>AVERAGE(T3:T18)</f>
        <v>14524071.428571427</v>
      </c>
      <c r="U23">
        <f>AVERAGE(U3:U18)</f>
        <v>14342770.666666668</v>
      </c>
      <c r="Y23" t="s">
        <v>7</v>
      </c>
      <c r="Z23">
        <f>FTEST(Z3:Z18,AA3:AA11)</f>
        <v>0.96506277197046553</v>
      </c>
      <c r="AH23" t="s">
        <v>7</v>
      </c>
      <c r="AI23">
        <f>FTEST(AI3:AI17,AJ3:AJ15)</f>
        <v>9.5159731056688901E-5</v>
      </c>
      <c r="AP23" t="s">
        <v>7</v>
      </c>
      <c r="AQ23">
        <f>FTEST(AQ3:AQ17,AR3:AR15)</f>
        <v>4.3734083352334148E-2</v>
      </c>
      <c r="AX23" t="s">
        <v>7</v>
      </c>
      <c r="AY23">
        <f>FTEST(AY3:AY17,AZ3:AZ15)</f>
        <v>4.3873812159796295E-9</v>
      </c>
      <c r="BD23" t="s">
        <v>8</v>
      </c>
      <c r="BE23">
        <f>TTEST(BE3:BE16,BF3:BF19,2,2)</f>
        <v>2.7293816923079714E-5</v>
      </c>
      <c r="BJ23" t="s">
        <v>8</v>
      </c>
      <c r="BK23">
        <f>TTEST(BK3:BK8,BL3:BL13,2,2)</f>
        <v>0.36071503360957202</v>
      </c>
      <c r="CB23" t="s">
        <v>7</v>
      </c>
      <c r="CC23">
        <f>FTEST(CC3:CC16,CD3:CD20)</f>
        <v>0.28444409099374574</v>
      </c>
    </row>
    <row r="24" spans="1:82" x14ac:dyDescent="0.2">
      <c r="M24" t="s">
        <v>6</v>
      </c>
      <c r="N24">
        <f>AVERAGE(N3:N23)</f>
        <v>16425355.102040816</v>
      </c>
      <c r="O24">
        <f>AVERAGE(O3:O23)</f>
        <v>17694497.333333336</v>
      </c>
      <c r="S24" t="s">
        <v>7</v>
      </c>
      <c r="T24">
        <f>FTEST(T3:T18,U3:U11)</f>
        <v>0.85993945734554234</v>
      </c>
      <c r="Y24" t="s">
        <v>8</v>
      </c>
      <c r="Z24">
        <f>TTEST(Z3:Z18,AA3:AA11,2,2)</f>
        <v>9.1373802371377266E-2</v>
      </c>
      <c r="AH24" t="s">
        <v>8</v>
      </c>
      <c r="AI24">
        <f>TTEST(AI3:AI17,AJ3:AJ15,2,3)</f>
        <v>1.4865869091762454E-8</v>
      </c>
      <c r="AP24" t="s">
        <v>8</v>
      </c>
      <c r="AQ24">
        <f>TTEST(AQ3:AQ17,AR3:AR15,2,3)</f>
        <v>2.5373009443204358E-6</v>
      </c>
      <c r="AX24" t="s">
        <v>8</v>
      </c>
      <c r="AY24">
        <f>TTEST(AY3:AY17,AZ3:AZ15,2,3)</f>
        <v>0.42193255848911893</v>
      </c>
      <c r="CB24" t="s">
        <v>8</v>
      </c>
      <c r="CC24">
        <f>TTEST(CC3:CC16,CD3:CD20,2,2)</f>
        <v>0.85084756624155999</v>
      </c>
    </row>
    <row r="25" spans="1:82" x14ac:dyDescent="0.2">
      <c r="E25">
        <f>AVERAGE(E3:E23)</f>
        <v>15.467619047619044</v>
      </c>
      <c r="F25">
        <f>AVERAGE(F3:F23)</f>
        <v>8.384999999999998</v>
      </c>
      <c r="G25" t="s">
        <v>6</v>
      </c>
      <c r="H25" s="2">
        <f>AVERAGE(H3:H23)</f>
        <v>3523965.5510204085</v>
      </c>
      <c r="I25" s="2">
        <f>AVERAGE(I3:I23)</f>
        <v>1797073.2000000002</v>
      </c>
      <c r="M25" t="s">
        <v>7</v>
      </c>
      <c r="N25">
        <f>FTEST(N3:N23,O3:O20)</f>
        <v>9.2749444175014E-3</v>
      </c>
      <c r="S25" t="s">
        <v>8</v>
      </c>
      <c r="T25">
        <f>TTEST(T3:T18,U3:U11,2,2)</f>
        <v>0.82290096020625914</v>
      </c>
    </row>
    <row r="26" spans="1:82" x14ac:dyDescent="0.2">
      <c r="G26" t="s">
        <v>7</v>
      </c>
      <c r="H26">
        <f>FTEST(H3:H23,I3:I20)</f>
        <v>6.8599221241571664E-3</v>
      </c>
      <c r="M26" t="s">
        <v>8</v>
      </c>
      <c r="N26">
        <f>TTEST(N3:N23,O3:O20,2,3)</f>
        <v>0.1247916706102931</v>
      </c>
    </row>
    <row r="27" spans="1:82" x14ac:dyDescent="0.2">
      <c r="G27" t="s">
        <v>8</v>
      </c>
      <c r="H27">
        <f>TTEST(H3:H23,I3:I20,2,3)</f>
        <v>1.4103444171593294E-3</v>
      </c>
    </row>
    <row r="30" spans="1:82" x14ac:dyDescent="0.2">
      <c r="A30" t="s">
        <v>33</v>
      </c>
    </row>
    <row r="31" spans="1:82" x14ac:dyDescent="0.2">
      <c r="A31" t="s">
        <v>0</v>
      </c>
      <c r="B31" t="s">
        <v>34</v>
      </c>
      <c r="F31" t="s">
        <v>36</v>
      </c>
      <c r="I31" t="s">
        <v>39</v>
      </c>
      <c r="L31" t="s">
        <v>38</v>
      </c>
      <c r="O31" t="s">
        <v>39</v>
      </c>
      <c r="R31" t="s">
        <v>40</v>
      </c>
      <c r="U31" t="s">
        <v>39</v>
      </c>
      <c r="X31" t="s">
        <v>58</v>
      </c>
      <c r="AA31" t="s">
        <v>59</v>
      </c>
      <c r="AD31" t="s">
        <v>60</v>
      </c>
    </row>
    <row r="32" spans="1:82" x14ac:dyDescent="0.2">
      <c r="A32">
        <v>8.65</v>
      </c>
      <c r="B32">
        <v>6.35</v>
      </c>
      <c r="C32">
        <v>8.65</v>
      </c>
      <c r="D32">
        <v>6.35</v>
      </c>
      <c r="F32" t="s">
        <v>0</v>
      </c>
      <c r="G32" t="s">
        <v>1</v>
      </c>
      <c r="I32" t="s">
        <v>0</v>
      </c>
      <c r="J32" t="s">
        <v>1</v>
      </c>
      <c r="L32" t="s">
        <v>0</v>
      </c>
      <c r="M32" t="s">
        <v>1</v>
      </c>
      <c r="O32" t="s">
        <v>0</v>
      </c>
      <c r="P32" t="s">
        <v>1</v>
      </c>
      <c r="R32" t="s">
        <v>0</v>
      </c>
      <c r="S32" t="s">
        <v>1</v>
      </c>
      <c r="U32" t="s">
        <v>0</v>
      </c>
      <c r="V32" t="s">
        <v>1</v>
      </c>
      <c r="X32" t="s">
        <v>0</v>
      </c>
      <c r="Y32" t="s">
        <v>49</v>
      </c>
      <c r="AA32" t="s">
        <v>0</v>
      </c>
      <c r="AB32" t="s">
        <v>49</v>
      </c>
      <c r="AD32" t="s">
        <v>0</v>
      </c>
      <c r="AE32" t="s">
        <v>49</v>
      </c>
    </row>
    <row r="33" spans="1:34" x14ac:dyDescent="0.2">
      <c r="A33">
        <v>7.23</v>
      </c>
      <c r="B33">
        <v>6.32</v>
      </c>
      <c r="C33">
        <v>7.23</v>
      </c>
      <c r="D33">
        <v>6.32</v>
      </c>
      <c r="F33">
        <v>47</v>
      </c>
      <c r="G33">
        <v>49</v>
      </c>
      <c r="I33">
        <f>F33*$C$42*1000000*0.01</f>
        <v>8782733.3333333321</v>
      </c>
      <c r="J33">
        <f>G33*$D$42*1000000*0.01</f>
        <v>9502733.3333333321</v>
      </c>
      <c r="L33">
        <v>13.5</v>
      </c>
      <c r="M33">
        <v>22.5</v>
      </c>
      <c r="O33">
        <f>L33*$C$42*1000000*0.01</f>
        <v>2522700</v>
      </c>
      <c r="P33">
        <f>M33*$D$42*1000000*0.01</f>
        <v>4363499.9999999991</v>
      </c>
      <c r="R33">
        <v>15.6</v>
      </c>
      <c r="S33">
        <v>14.2</v>
      </c>
      <c r="U33">
        <f>R33*$C$42*1000000*0.01</f>
        <v>2915120</v>
      </c>
      <c r="V33">
        <f>S33*$D$42*1000000*0.01</f>
        <v>2753853.3333333326</v>
      </c>
      <c r="X33">
        <v>28.31</v>
      </c>
      <c r="Y33">
        <v>17.149999999999999</v>
      </c>
      <c r="AA33">
        <v>4.5599999999999996</v>
      </c>
      <c r="AB33">
        <v>2.34</v>
      </c>
      <c r="AD33">
        <v>23.2</v>
      </c>
      <c r="AE33">
        <v>17.100000000000001</v>
      </c>
      <c r="AG33">
        <v>18.686666666666667</v>
      </c>
      <c r="AH33">
        <v>19.393333333333331</v>
      </c>
    </row>
    <row r="34" spans="1:34" x14ac:dyDescent="0.2">
      <c r="A34">
        <v>5.62</v>
      </c>
      <c r="B34">
        <v>3.6</v>
      </c>
      <c r="C34">
        <v>5.62</v>
      </c>
      <c r="D34">
        <v>3.6</v>
      </c>
      <c r="F34">
        <v>40.4</v>
      </c>
      <c r="G34">
        <v>50.9</v>
      </c>
      <c r="I34">
        <f t="shared" ref="I34:I42" si="30">F34*$C$42*1000000*0.01</f>
        <v>7549413.333333334</v>
      </c>
      <c r="J34">
        <f t="shared" ref="J34:J42" si="31">G34*$D$42*1000000*0.01</f>
        <v>9871206.666666666</v>
      </c>
      <c r="L34">
        <v>14.8</v>
      </c>
      <c r="M34">
        <v>23.9</v>
      </c>
      <c r="O34">
        <f t="shared" ref="O34:O38" si="32">L34*$C$42*1000000*0.01</f>
        <v>2765626.666666667</v>
      </c>
      <c r="P34">
        <f t="shared" ref="P34:P41" si="33">M34*$D$42*1000000*0.01</f>
        <v>4635006.666666666</v>
      </c>
      <c r="R34">
        <v>15.6</v>
      </c>
      <c r="S34">
        <v>21.2</v>
      </c>
      <c r="U34">
        <f t="shared" ref="U34:U38" si="34">R34*$C$42*1000000*0.01</f>
        <v>2915120</v>
      </c>
      <c r="V34">
        <f t="shared" ref="V34:V40" si="35">S34*$D$42*1000000*0.01</f>
        <v>4111386.6666666665</v>
      </c>
      <c r="X34">
        <v>14.33</v>
      </c>
      <c r="Y34">
        <v>29.2</v>
      </c>
      <c r="AA34">
        <v>1.52</v>
      </c>
      <c r="AB34">
        <v>4.03</v>
      </c>
      <c r="AD34">
        <v>19.2</v>
      </c>
      <c r="AE34">
        <v>18.5</v>
      </c>
    </row>
    <row r="35" spans="1:34" x14ac:dyDescent="0.2">
      <c r="A35">
        <v>5.16</v>
      </c>
      <c r="B35">
        <v>2.95</v>
      </c>
      <c r="C35">
        <v>5.16</v>
      </c>
      <c r="D35">
        <v>2.95</v>
      </c>
      <c r="F35">
        <v>47.3</v>
      </c>
      <c r="G35">
        <v>43.4</v>
      </c>
      <c r="I35">
        <f t="shared" si="30"/>
        <v>8838793.3333333321</v>
      </c>
      <c r="J35">
        <f t="shared" si="31"/>
        <v>8416706.666666666</v>
      </c>
      <c r="L35">
        <v>27.9</v>
      </c>
      <c r="M35">
        <v>24.7</v>
      </c>
      <c r="O35">
        <f t="shared" si="32"/>
        <v>5213579.9999999991</v>
      </c>
      <c r="P35">
        <f t="shared" si="33"/>
        <v>4790153.333333333</v>
      </c>
      <c r="R35">
        <v>9.3800000000000008</v>
      </c>
      <c r="S35">
        <v>15.1</v>
      </c>
      <c r="U35">
        <f t="shared" si="34"/>
        <v>1752809.3333333337</v>
      </c>
      <c r="V35">
        <f t="shared" si="35"/>
        <v>2928393.333333333</v>
      </c>
      <c r="X35">
        <v>16.5</v>
      </c>
      <c r="Y35">
        <v>24.1</v>
      </c>
      <c r="AA35">
        <v>1.7</v>
      </c>
      <c r="AB35">
        <v>1.22</v>
      </c>
      <c r="AD35">
        <v>27.7</v>
      </c>
      <c r="AE35">
        <v>17.399999999999999</v>
      </c>
    </row>
    <row r="36" spans="1:34" x14ac:dyDescent="0.2">
      <c r="A36">
        <v>4.32</v>
      </c>
      <c r="B36">
        <v>2.57</v>
      </c>
      <c r="C36">
        <v>4.32</v>
      </c>
      <c r="D36">
        <v>2.57</v>
      </c>
      <c r="F36">
        <v>57.3</v>
      </c>
      <c r="G36">
        <v>55.1</v>
      </c>
      <c r="I36">
        <f t="shared" si="30"/>
        <v>10707460.000000002</v>
      </c>
      <c r="J36">
        <f t="shared" si="31"/>
        <v>10685726.666666666</v>
      </c>
      <c r="L36">
        <v>15.5</v>
      </c>
      <c r="M36">
        <v>15.2</v>
      </c>
      <c r="O36">
        <f t="shared" si="32"/>
        <v>2896433.333333333</v>
      </c>
      <c r="P36">
        <f t="shared" si="33"/>
        <v>2947786.6666666656</v>
      </c>
      <c r="R36">
        <v>15</v>
      </c>
      <c r="S36">
        <v>13.6</v>
      </c>
      <c r="U36">
        <f t="shared" si="34"/>
        <v>2803000</v>
      </c>
      <c r="V36">
        <f t="shared" si="35"/>
        <v>2637493.333333333</v>
      </c>
      <c r="X36">
        <v>16.8</v>
      </c>
      <c r="Y36">
        <v>44.6</v>
      </c>
      <c r="AA36">
        <v>1.56</v>
      </c>
      <c r="AB36">
        <v>3.66</v>
      </c>
      <c r="AD36">
        <v>21.7</v>
      </c>
      <c r="AE36">
        <v>12.1</v>
      </c>
    </row>
    <row r="37" spans="1:34" x14ac:dyDescent="0.2">
      <c r="A37">
        <v>1.52</v>
      </c>
      <c r="B37">
        <v>2.42</v>
      </c>
      <c r="C37">
        <f>A37*3</f>
        <v>4.5600000000000005</v>
      </c>
      <c r="D37">
        <f>B37*3</f>
        <v>7.26</v>
      </c>
      <c r="F37">
        <v>54.5</v>
      </c>
      <c r="G37">
        <v>43.7</v>
      </c>
      <c r="I37">
        <f t="shared" si="30"/>
        <v>10184233.333333334</v>
      </c>
      <c r="J37">
        <f t="shared" si="31"/>
        <v>8474886.666666666</v>
      </c>
      <c r="L37">
        <v>11.4</v>
      </c>
      <c r="M37">
        <v>12.6</v>
      </c>
      <c r="O37">
        <f t="shared" si="32"/>
        <v>2130280.0000000005</v>
      </c>
      <c r="P37">
        <f t="shared" si="33"/>
        <v>2443559.9999999995</v>
      </c>
      <c r="R37">
        <v>3.94</v>
      </c>
      <c r="S37">
        <v>10.9</v>
      </c>
      <c r="U37">
        <f t="shared" si="34"/>
        <v>736254.66666666674</v>
      </c>
      <c r="V37">
        <f t="shared" si="35"/>
        <v>2113873.333333333</v>
      </c>
      <c r="X37">
        <v>16.3</v>
      </c>
      <c r="Y37">
        <v>40.799999999999997</v>
      </c>
      <c r="AA37">
        <v>1.54</v>
      </c>
      <c r="AB37">
        <v>3.32</v>
      </c>
      <c r="AD37">
        <v>29.6</v>
      </c>
      <c r="AE37">
        <v>7.75</v>
      </c>
    </row>
    <row r="38" spans="1:34" x14ac:dyDescent="0.2">
      <c r="A38">
        <v>2.85</v>
      </c>
      <c r="B38">
        <v>1.08</v>
      </c>
      <c r="C38">
        <f t="shared" ref="C38:D40" si="36">A38*3</f>
        <v>8.5500000000000007</v>
      </c>
      <c r="D38">
        <f t="shared" si="36"/>
        <v>3.24</v>
      </c>
      <c r="F38">
        <v>62.5</v>
      </c>
      <c r="G38">
        <v>29.1</v>
      </c>
      <c r="I38">
        <f t="shared" si="30"/>
        <v>11679166.666666668</v>
      </c>
      <c r="J38">
        <f t="shared" si="31"/>
        <v>5643460</v>
      </c>
      <c r="L38">
        <v>13.6</v>
      </c>
      <c r="M38">
        <v>14.4</v>
      </c>
      <c r="O38">
        <f t="shared" si="32"/>
        <v>2541386.6666666665</v>
      </c>
      <c r="P38">
        <f t="shared" si="33"/>
        <v>2792639.9999999995</v>
      </c>
      <c r="R38">
        <v>13</v>
      </c>
      <c r="S38">
        <v>14.3</v>
      </c>
      <c r="U38">
        <f t="shared" si="34"/>
        <v>2429266.666666667</v>
      </c>
      <c r="V38">
        <f t="shared" si="35"/>
        <v>2773246.6666666665</v>
      </c>
      <c r="Y38">
        <v>30.9</v>
      </c>
      <c r="AB38">
        <v>1.44</v>
      </c>
      <c r="AE38">
        <v>26.2</v>
      </c>
    </row>
    <row r="39" spans="1:34" x14ac:dyDescent="0.2">
      <c r="A39">
        <v>1.92</v>
      </c>
      <c r="B39">
        <v>4.45</v>
      </c>
      <c r="C39">
        <f t="shared" si="36"/>
        <v>5.76</v>
      </c>
      <c r="D39">
        <f t="shared" si="36"/>
        <v>13.350000000000001</v>
      </c>
      <c r="F39">
        <v>60.8</v>
      </c>
      <c r="G39">
        <v>31.2</v>
      </c>
      <c r="I39">
        <f t="shared" si="30"/>
        <v>11361493.333333332</v>
      </c>
      <c r="J39">
        <f t="shared" si="31"/>
        <v>6050719.9999999991</v>
      </c>
      <c r="M39">
        <v>16.100000000000001</v>
      </c>
      <c r="P39">
        <f t="shared" si="33"/>
        <v>3122326.666666667</v>
      </c>
      <c r="S39">
        <v>25.9</v>
      </c>
      <c r="V39">
        <f t="shared" si="35"/>
        <v>5022873.333333333</v>
      </c>
      <c r="Y39">
        <v>25.3</v>
      </c>
      <c r="AB39">
        <v>1.91</v>
      </c>
      <c r="AE39">
        <v>23.4</v>
      </c>
    </row>
    <row r="40" spans="1:34" x14ac:dyDescent="0.2">
      <c r="A40">
        <v>2.0699999999999998</v>
      </c>
      <c r="B40">
        <v>4.18</v>
      </c>
      <c r="C40">
        <f t="shared" si="36"/>
        <v>6.2099999999999991</v>
      </c>
      <c r="D40">
        <f t="shared" si="36"/>
        <v>12.54</v>
      </c>
      <c r="F40">
        <v>54.2</v>
      </c>
      <c r="G40">
        <v>8.81</v>
      </c>
      <c r="I40">
        <f t="shared" si="30"/>
        <v>10128173.333333334</v>
      </c>
      <c r="J40">
        <f t="shared" si="31"/>
        <v>1708552.6666666665</v>
      </c>
      <c r="M40">
        <v>18.2</v>
      </c>
      <c r="P40">
        <f t="shared" si="33"/>
        <v>3529586.6666666665</v>
      </c>
      <c r="S40">
        <v>25.3</v>
      </c>
      <c r="V40">
        <f t="shared" si="35"/>
        <v>4906513.333333333</v>
      </c>
    </row>
    <row r="41" spans="1:34" x14ac:dyDescent="0.2">
      <c r="B41" t="s">
        <v>35</v>
      </c>
      <c r="C41" s="1">
        <f>AVERAGE(C32:C40)</f>
        <v>6.2288888888888891</v>
      </c>
      <c r="D41" s="1">
        <f>AVERAGE(D32:D40)</f>
        <v>6.4644444444444442</v>
      </c>
      <c r="F41">
        <v>26.5</v>
      </c>
      <c r="G41">
        <v>23.3</v>
      </c>
      <c r="I41">
        <f t="shared" si="30"/>
        <v>4951966.666666667</v>
      </c>
      <c r="J41">
        <f t="shared" si="31"/>
        <v>4518646.666666666</v>
      </c>
      <c r="M41">
        <v>22.6</v>
      </c>
      <c r="P41">
        <f t="shared" si="33"/>
        <v>4382893.333333333</v>
      </c>
      <c r="X41">
        <f>AVERAGE(X33:X39)</f>
        <v>18.448</v>
      </c>
      <c r="Y41">
        <f t="shared" ref="Y41:AE41" si="37">AVERAGE(Y33:Y39)</f>
        <v>30.292857142857141</v>
      </c>
      <c r="AA41">
        <f t="shared" si="37"/>
        <v>2.1759999999999997</v>
      </c>
      <c r="AB41">
        <f t="shared" si="37"/>
        <v>2.56</v>
      </c>
      <c r="AD41">
        <f t="shared" si="37"/>
        <v>24.28</v>
      </c>
      <c r="AE41">
        <f t="shared" si="37"/>
        <v>17.49285714285714</v>
      </c>
      <c r="AG41">
        <f>SUM(X41,AA41,AD41)</f>
        <v>44.903999999999996</v>
      </c>
      <c r="AH41">
        <f>SUM(Y41,AB41,AE41)</f>
        <v>50.34571428571428</v>
      </c>
    </row>
    <row r="42" spans="1:34" x14ac:dyDescent="0.2">
      <c r="B42" t="s">
        <v>37</v>
      </c>
      <c r="C42" s="1">
        <f>C41*3</f>
        <v>18.686666666666667</v>
      </c>
      <c r="D42" s="1">
        <f>D41*3</f>
        <v>19.393333333333331</v>
      </c>
      <c r="F42">
        <v>33.9</v>
      </c>
      <c r="G42">
        <v>35.799999999999997</v>
      </c>
      <c r="I42">
        <f t="shared" si="30"/>
        <v>6334780</v>
      </c>
      <c r="J42">
        <f t="shared" si="31"/>
        <v>6942813.333333333</v>
      </c>
    </row>
    <row r="43" spans="1:34" x14ac:dyDescent="0.2">
      <c r="F43">
        <v>36.200000000000003</v>
      </c>
      <c r="I43">
        <f>F43*$C$42*1000000*0.01</f>
        <v>6764573.333333334</v>
      </c>
    </row>
    <row r="45" spans="1:34" x14ac:dyDescent="0.2">
      <c r="H45" t="s">
        <v>6</v>
      </c>
      <c r="I45">
        <f>AVERAGE(I33:I43)</f>
        <v>8843889.6969696954</v>
      </c>
      <c r="J45">
        <f>AVERAGE(J33:J43)</f>
        <v>7181545.2666666657</v>
      </c>
      <c r="N45" t="s">
        <v>6</v>
      </c>
      <c r="O45">
        <f>AVERAGE(O33:O41)</f>
        <v>3011667.777777778</v>
      </c>
      <c r="P45">
        <f>AVERAGE(P33:P41)</f>
        <v>3667494.8148148144</v>
      </c>
      <c r="T45" t="s">
        <v>6</v>
      </c>
      <c r="U45">
        <f>AVERAGE(U33:U40)</f>
        <v>2258595.1111111115</v>
      </c>
      <c r="V45">
        <f>AVERAGE(V33:V40)</f>
        <v>3405954.166666666</v>
      </c>
      <c r="X45">
        <f>TTEST(X33:X39,Y33:Y39,2,2)</f>
        <v>3.3866595474373047E-2</v>
      </c>
      <c r="AA45">
        <f>TTEST(AA33:AA39,AB33:AB39,2,2)</f>
        <v>0.59911300529364309</v>
      </c>
      <c r="AD45">
        <f>TTEST(AD33:AD39,AE33:AE39,2,2)</f>
        <v>6.382568527149371E-2</v>
      </c>
    </row>
    <row r="46" spans="1:34" x14ac:dyDescent="0.2">
      <c r="H46" t="s">
        <v>7</v>
      </c>
      <c r="I46">
        <f>FTEST(I33:I43,J33:J42)</f>
        <v>0.49206449229916993</v>
      </c>
      <c r="N46" t="s">
        <v>7</v>
      </c>
      <c r="O46">
        <f>FTEST(O33:O38,P33:P41)</f>
        <v>0.54468799867658091</v>
      </c>
      <c r="T46" t="s">
        <v>7</v>
      </c>
      <c r="U46">
        <f>FTEST(U33:U38,V33:V40)</f>
        <v>0.60217548274118959</v>
      </c>
    </row>
    <row r="47" spans="1:34" x14ac:dyDescent="0.2">
      <c r="H47" t="s">
        <v>8</v>
      </c>
      <c r="I47">
        <f>TTEST(I33:I43,J33:J42,2,2)</f>
        <v>0.14265908877436306</v>
      </c>
      <c r="N47" t="s">
        <v>8</v>
      </c>
      <c r="O47">
        <f>TTEST(O33:O38,P33:P41,2,2)</f>
        <v>0.22581035867163712</v>
      </c>
      <c r="T47" t="s">
        <v>8</v>
      </c>
      <c r="U47">
        <f>TTEST(U33:U38,V33:V40,2,2)</f>
        <v>5.8915700635953083E-2</v>
      </c>
    </row>
    <row r="48" spans="1:34" x14ac:dyDescent="0.2">
      <c r="X48">
        <f>X33*0.01*$AH$33*1000000</f>
        <v>5490252.666666667</v>
      </c>
      <c r="Y48">
        <f>Y33*0.01*$AG$33*1000000</f>
        <v>3204763.333333333</v>
      </c>
      <c r="AA48">
        <f t="shared" ref="AA48:AD48" si="38">AA33*0.01*$AH$33*1000000</f>
        <v>884335.99999999977</v>
      </c>
      <c r="AB48">
        <f>AB33*0.01*$AG$33*1000000</f>
        <v>437268.00000000006</v>
      </c>
      <c r="AD48">
        <f t="shared" si="38"/>
        <v>4499253.333333333</v>
      </c>
      <c r="AE48">
        <f>AE33*0.01*$AG$33*1000000</f>
        <v>3195420.0000000005</v>
      </c>
    </row>
    <row r="49" spans="1:31" x14ac:dyDescent="0.2">
      <c r="A49" t="s">
        <v>41</v>
      </c>
      <c r="F49" t="s">
        <v>42</v>
      </c>
      <c r="I49" t="s">
        <v>43</v>
      </c>
      <c r="L49" t="s">
        <v>44</v>
      </c>
      <c r="O49" t="s">
        <v>45</v>
      </c>
      <c r="R49" t="s">
        <v>46</v>
      </c>
      <c r="U49" t="s">
        <v>47</v>
      </c>
      <c r="X49">
        <f t="shared" ref="X49:AD52" si="39">X34*0.01*$AH$33*1000000</f>
        <v>2779064.6666666665</v>
      </c>
      <c r="Y49">
        <f t="shared" ref="Y49:Y54" si="40">Y34*0.01*$AG$33*1000000</f>
        <v>5456506.666666667</v>
      </c>
      <c r="AA49">
        <f t="shared" si="39"/>
        <v>294778.66666666663</v>
      </c>
      <c r="AB49">
        <f t="shared" ref="AB49:AB54" si="41">AB34*0.01*$AG$33*1000000</f>
        <v>753072.66666666674</v>
      </c>
      <c r="AD49">
        <f t="shared" si="39"/>
        <v>3723519.9999999995</v>
      </c>
      <c r="AE49">
        <f t="shared" ref="AE49:AE54" si="42">AE34*0.01*$AG$33*1000000</f>
        <v>3457033.3333333335</v>
      </c>
    </row>
    <row r="50" spans="1:31" x14ac:dyDescent="0.2">
      <c r="A50" t="s">
        <v>0</v>
      </c>
      <c r="B50" t="s">
        <v>1</v>
      </c>
      <c r="F50" t="s">
        <v>0</v>
      </c>
      <c r="G50" t="s">
        <v>1</v>
      </c>
      <c r="I50" t="s">
        <v>0</v>
      </c>
      <c r="J50" t="s">
        <v>1</v>
      </c>
      <c r="L50" t="s">
        <v>0</v>
      </c>
      <c r="M50" t="s">
        <v>1</v>
      </c>
      <c r="O50" t="s">
        <v>0</v>
      </c>
      <c r="P50" t="s">
        <v>1</v>
      </c>
      <c r="R50" t="s">
        <v>0</v>
      </c>
      <c r="S50" t="s">
        <v>1</v>
      </c>
      <c r="U50" t="s">
        <v>0</v>
      </c>
      <c r="V50" t="s">
        <v>1</v>
      </c>
      <c r="X50">
        <f t="shared" si="39"/>
        <v>3199899.9999999995</v>
      </c>
      <c r="Y50">
        <f t="shared" si="40"/>
        <v>4503486.666666667</v>
      </c>
      <c r="AA50">
        <f t="shared" si="39"/>
        <v>329686.66666666663</v>
      </c>
      <c r="AB50">
        <f t="shared" si="41"/>
        <v>227977.33333333337</v>
      </c>
      <c r="AD50">
        <f t="shared" si="39"/>
        <v>5371953.333333333</v>
      </c>
      <c r="AE50">
        <f t="shared" si="42"/>
        <v>3251480</v>
      </c>
    </row>
    <row r="51" spans="1:31" x14ac:dyDescent="0.2">
      <c r="A51">
        <v>10</v>
      </c>
      <c r="B51">
        <v>4.2699999999999996</v>
      </c>
      <c r="F51">
        <v>13.1</v>
      </c>
      <c r="G51">
        <v>13.2</v>
      </c>
      <c r="I51">
        <f>F51*$C$58*1000000*0.01</f>
        <v>2212028.5714285714</v>
      </c>
      <c r="J51">
        <f>G51*$D$58*1000000*0.01</f>
        <v>2082960</v>
      </c>
      <c r="L51">
        <v>3.85</v>
      </c>
      <c r="M51">
        <v>4.9000000000000004</v>
      </c>
      <c r="O51">
        <f>L51*$C$58*1000000*0.01</f>
        <v>650100.00000000012</v>
      </c>
      <c r="P51">
        <f>M51*$D$58*1000000*0.01</f>
        <v>773220</v>
      </c>
      <c r="R51">
        <v>81.099999999999994</v>
      </c>
      <c r="S51">
        <v>80.099999999999994</v>
      </c>
      <c r="U51">
        <f>R51*$C$58*1000000*0.01</f>
        <v>13694314.285714285</v>
      </c>
      <c r="V51">
        <f>S51*$D$58*1000000*0.01</f>
        <v>12639779.999999998</v>
      </c>
      <c r="X51">
        <f t="shared" si="39"/>
        <v>3258079.9999999995</v>
      </c>
      <c r="Y51">
        <f t="shared" si="40"/>
        <v>8334253.3333333349</v>
      </c>
      <c r="AA51">
        <f t="shared" si="39"/>
        <v>302536</v>
      </c>
      <c r="AB51">
        <f t="shared" si="41"/>
        <v>683932</v>
      </c>
      <c r="AD51">
        <f t="shared" si="39"/>
        <v>4208353.333333333</v>
      </c>
      <c r="AE51">
        <f t="shared" si="42"/>
        <v>2261086.666666667</v>
      </c>
    </row>
    <row r="52" spans="1:31" x14ac:dyDescent="0.2">
      <c r="A52">
        <v>8.09</v>
      </c>
      <c r="B52">
        <v>8.74</v>
      </c>
      <c r="F52">
        <v>22.4</v>
      </c>
      <c r="G52">
        <v>11.7</v>
      </c>
      <c r="I52">
        <f t="shared" ref="I52:I56" si="43">F52*$C$58*1000000*0.01</f>
        <v>3782400</v>
      </c>
      <c r="J52">
        <f t="shared" ref="J52:J56" si="44">G52*$D$58*1000000*0.01</f>
        <v>1846259.9999999998</v>
      </c>
      <c r="L52">
        <v>3.78</v>
      </c>
      <c r="M52">
        <v>4.6900000000000004</v>
      </c>
      <c r="O52">
        <f t="shared" ref="O52:O56" si="45">L52*$C$58*1000000*0.01</f>
        <v>638279.99999999988</v>
      </c>
      <c r="P52">
        <f t="shared" ref="P52:P56" si="46">M52*$D$58*1000000*0.01</f>
        <v>740082</v>
      </c>
      <c r="R52">
        <v>70.7</v>
      </c>
      <c r="S52">
        <v>82.3</v>
      </c>
      <c r="U52">
        <f t="shared" ref="U52:U56" si="47">R52*$C$58*1000000*0.01</f>
        <v>11938200.000000002</v>
      </c>
      <c r="V52">
        <f t="shared" ref="V52:V56" si="48">S52*$D$58*1000000*0.01</f>
        <v>12986940</v>
      </c>
      <c r="X52">
        <f t="shared" si="39"/>
        <v>3161113.333333333</v>
      </c>
      <c r="Y52">
        <f t="shared" si="40"/>
        <v>7624160</v>
      </c>
      <c r="AA52">
        <f t="shared" si="39"/>
        <v>298657.33333333331</v>
      </c>
      <c r="AB52">
        <f t="shared" si="41"/>
        <v>620397.33333333337</v>
      </c>
      <c r="AD52">
        <f t="shared" si="39"/>
        <v>5740426.666666667</v>
      </c>
      <c r="AE52">
        <f t="shared" si="42"/>
        <v>1448216.6666666667</v>
      </c>
    </row>
    <row r="53" spans="1:31" x14ac:dyDescent="0.2">
      <c r="A53">
        <v>4.41</v>
      </c>
      <c r="B53">
        <v>4.71</v>
      </c>
      <c r="F53">
        <v>26.9</v>
      </c>
      <c r="G53">
        <v>9.15</v>
      </c>
      <c r="I53">
        <f t="shared" si="43"/>
        <v>4542257.1428571427</v>
      </c>
      <c r="J53">
        <f t="shared" si="44"/>
        <v>1443870</v>
      </c>
      <c r="L53">
        <v>3.35</v>
      </c>
      <c r="M53">
        <v>4.8600000000000003</v>
      </c>
      <c r="O53">
        <f t="shared" si="45"/>
        <v>565671.42857142864</v>
      </c>
      <c r="P53">
        <f t="shared" si="46"/>
        <v>766908</v>
      </c>
      <c r="R53">
        <v>65.8</v>
      </c>
      <c r="S53">
        <v>84.6</v>
      </c>
      <c r="U53">
        <f t="shared" si="47"/>
        <v>11110800</v>
      </c>
      <c r="V53">
        <f t="shared" si="48"/>
        <v>13349879.999999998</v>
      </c>
      <c r="Y53">
        <f t="shared" si="40"/>
        <v>5774180</v>
      </c>
      <c r="AB53">
        <f t="shared" si="41"/>
        <v>269088</v>
      </c>
      <c r="AE53">
        <f t="shared" si="42"/>
        <v>4895906.666666667</v>
      </c>
    </row>
    <row r="54" spans="1:31" x14ac:dyDescent="0.2">
      <c r="A54">
        <v>4.1399999999999997</v>
      </c>
      <c r="B54">
        <v>2.82</v>
      </c>
      <c r="F54">
        <v>14.49</v>
      </c>
      <c r="G54">
        <v>14.9</v>
      </c>
      <c r="I54">
        <f t="shared" si="43"/>
        <v>2446740</v>
      </c>
      <c r="J54">
        <f t="shared" si="44"/>
        <v>2351220</v>
      </c>
      <c r="L54">
        <v>7.2</v>
      </c>
      <c r="M54">
        <v>3.74</v>
      </c>
      <c r="O54">
        <f t="shared" si="45"/>
        <v>1215771.4285714286</v>
      </c>
      <c r="P54">
        <f t="shared" si="46"/>
        <v>590172</v>
      </c>
      <c r="R54">
        <v>71.8</v>
      </c>
      <c r="S54">
        <v>83.4</v>
      </c>
      <c r="U54">
        <f t="shared" si="47"/>
        <v>12123942.857142856</v>
      </c>
      <c r="V54">
        <f t="shared" si="48"/>
        <v>13160520.000000002</v>
      </c>
      <c r="Y54">
        <f t="shared" si="40"/>
        <v>4727726.666666667</v>
      </c>
      <c r="AB54">
        <f t="shared" si="41"/>
        <v>356915.33333333331</v>
      </c>
      <c r="AE54">
        <f t="shared" si="42"/>
        <v>4372680</v>
      </c>
    </row>
    <row r="55" spans="1:31" x14ac:dyDescent="0.2">
      <c r="A55">
        <v>10.1</v>
      </c>
      <c r="B55">
        <v>5.76</v>
      </c>
      <c r="F55">
        <v>21.2</v>
      </c>
      <c r="G55">
        <v>13.28</v>
      </c>
      <c r="I55">
        <f t="shared" si="43"/>
        <v>3579771.4285714286</v>
      </c>
      <c r="J55">
        <f t="shared" si="44"/>
        <v>2095583.9999999998</v>
      </c>
      <c r="L55">
        <v>3.38</v>
      </c>
      <c r="M55">
        <v>3.15</v>
      </c>
      <c r="O55">
        <f t="shared" si="45"/>
        <v>570737.14285714296</v>
      </c>
      <c r="P55">
        <f t="shared" si="46"/>
        <v>497069.99999999994</v>
      </c>
      <c r="R55">
        <v>74.5</v>
      </c>
      <c r="S55">
        <v>86.6</v>
      </c>
      <c r="U55">
        <f t="shared" si="47"/>
        <v>12579857.142857142</v>
      </c>
      <c r="V55">
        <f t="shared" si="48"/>
        <v>13665479.999999998</v>
      </c>
    </row>
    <row r="56" spans="1:31" x14ac:dyDescent="0.2">
      <c r="A56">
        <v>1.62</v>
      </c>
      <c r="F56">
        <v>14.45</v>
      </c>
      <c r="G56">
        <v>16.73</v>
      </c>
      <c r="I56">
        <f t="shared" si="43"/>
        <v>2439985.7142857141</v>
      </c>
      <c r="J56">
        <f t="shared" si="44"/>
        <v>2639993.9999999995</v>
      </c>
      <c r="L56">
        <v>3.38</v>
      </c>
      <c r="M56">
        <v>4.92</v>
      </c>
      <c r="O56">
        <f t="shared" si="45"/>
        <v>570737.14285714296</v>
      </c>
      <c r="P56">
        <f t="shared" si="46"/>
        <v>776375.99999999988</v>
      </c>
      <c r="R56">
        <v>80.099999999999994</v>
      </c>
      <c r="S56">
        <v>77</v>
      </c>
      <c r="U56">
        <f t="shared" si="47"/>
        <v>13525457.142857142</v>
      </c>
      <c r="V56">
        <f t="shared" si="48"/>
        <v>12150600</v>
      </c>
    </row>
    <row r="57" spans="1:31" x14ac:dyDescent="0.2">
      <c r="A57">
        <v>1.04</v>
      </c>
    </row>
    <row r="58" spans="1:31" x14ac:dyDescent="0.2">
      <c r="A58">
        <f>AVERAGE(A51:A57)</f>
        <v>5.6285714285714281</v>
      </c>
      <c r="B58">
        <f>AVERAGE(B51:B56)</f>
        <v>5.26</v>
      </c>
      <c r="C58" s="1">
        <f>A58*3</f>
        <v>16.885714285714286</v>
      </c>
      <c r="D58" s="1">
        <f>B58*3</f>
        <v>15.78</v>
      </c>
      <c r="H58" t="s">
        <v>6</v>
      </c>
      <c r="I58">
        <f>AVERAGE(I51:I56)</f>
        <v>3167197.1428571423</v>
      </c>
      <c r="J58">
        <f>AVERAGE(J51:J56)</f>
        <v>2076648</v>
      </c>
      <c r="N58" t="s">
        <v>6</v>
      </c>
      <c r="O58">
        <f>AVERAGE(O51:O56)</f>
        <v>701882.85714285716</v>
      </c>
      <c r="P58">
        <f>AVERAGE(P51:P56)</f>
        <v>690638</v>
      </c>
      <c r="T58" t="s">
        <v>6</v>
      </c>
      <c r="U58">
        <f>AVERAGE(U51:U56)</f>
        <v>12495428.571428573</v>
      </c>
      <c r="V58">
        <f>AVERAGE(V51:V56)</f>
        <v>12992200</v>
      </c>
      <c r="X58">
        <f>AVERAGE(X48:X54)</f>
        <v>3577682.1333333338</v>
      </c>
      <c r="Y58">
        <f t="shared" ref="Y58:AE58" si="49">AVERAGE(Y48:Y54)</f>
        <v>5660725.2380952379</v>
      </c>
      <c r="AA58">
        <f t="shared" si="49"/>
        <v>421998.93333333329</v>
      </c>
      <c r="AB58">
        <f t="shared" si="49"/>
        <v>478378.66666666669</v>
      </c>
      <c r="AD58">
        <f t="shared" si="49"/>
        <v>4708701.333333333</v>
      </c>
      <c r="AE58">
        <f t="shared" si="49"/>
        <v>3268831.9047619044</v>
      </c>
    </row>
    <row r="59" spans="1:31" x14ac:dyDescent="0.2">
      <c r="H59" t="s">
        <v>7</v>
      </c>
      <c r="I59">
        <f>FTEST(I51:I56,J51:J56)</f>
        <v>9.4642191643697096E-2</v>
      </c>
      <c r="N59" t="s">
        <v>7</v>
      </c>
      <c r="O59">
        <f>FTEST(O51:O56,P51:P56)</f>
        <v>0.11816035502900971</v>
      </c>
      <c r="T59" t="s">
        <v>7</v>
      </c>
      <c r="U59">
        <f>FTEST(U51:U56,V51:V56)</f>
        <v>0.20768018148104758</v>
      </c>
      <c r="X59">
        <f>STDEV(X48:X54)/SQRT(5)</f>
        <v>485495.12521088042</v>
      </c>
      <c r="Y59">
        <f>STDEV(Y48:Y54)/SQRT(7)</f>
        <v>677861.51962888159</v>
      </c>
      <c r="AA59">
        <f t="shared" ref="AA59:AD59" si="50">STDEV(AA48:AA54)/SQRT(5)</f>
        <v>115746.84807219963</v>
      </c>
      <c r="AB59">
        <f>STDEV(AB48:AB54)/SQRT(7)</f>
        <v>78804.324770936058</v>
      </c>
      <c r="AD59">
        <f t="shared" si="50"/>
        <v>372099.39695612586</v>
      </c>
      <c r="AE59">
        <f>STDEV(AE48:AE54)/SQRT(7)</f>
        <v>442857.42579279258</v>
      </c>
    </row>
    <row r="60" spans="1:31" x14ac:dyDescent="0.2">
      <c r="H60" t="s">
        <v>8</v>
      </c>
      <c r="I60">
        <f>TTEST(I51:I56,J51:J56,2,2)</f>
        <v>2.6138576766661755E-2</v>
      </c>
      <c r="N60" t="s">
        <v>8</v>
      </c>
      <c r="O60">
        <f>TTEST(O51:O56,P51:P56,2,2)</f>
        <v>0.92375068871238675</v>
      </c>
      <c r="T60" t="s">
        <v>8</v>
      </c>
      <c r="U60">
        <f>TTEST(U51:U56,V51:V56,2,2)</f>
        <v>0.30426849733613209</v>
      </c>
    </row>
    <row r="61" spans="1:31" x14ac:dyDescent="0.2">
      <c r="X61">
        <f>TTEST(X48:X54,Y48:Y54,2,2)</f>
        <v>4.4577805666314543E-2</v>
      </c>
      <c r="AA61">
        <f t="shared" ref="AA61" si="51">TTEST(AA48:AA54,AB48:AB54,2,2)</f>
        <v>0.68426603818418164</v>
      </c>
      <c r="AD61">
        <f t="shared" ref="AD61" si="52">TTEST(AD48:AD54,AE48:AE54,2,2)</f>
        <v>4.1063136799888197E-2</v>
      </c>
    </row>
    <row r="62" spans="1:31" x14ac:dyDescent="0.2">
      <c r="A62" t="s">
        <v>48</v>
      </c>
    </row>
    <row r="63" spans="1:31" x14ac:dyDescent="0.2">
      <c r="A63" t="s">
        <v>50</v>
      </c>
      <c r="D63" t="s">
        <v>54</v>
      </c>
      <c r="G63" t="s">
        <v>55</v>
      </c>
    </row>
    <row r="64" spans="1:31" x14ac:dyDescent="0.2">
      <c r="A64" t="s">
        <v>0</v>
      </c>
      <c r="B64" t="s">
        <v>49</v>
      </c>
      <c r="D64" t="s">
        <v>51</v>
      </c>
      <c r="E64" t="s">
        <v>52</v>
      </c>
      <c r="F64" t="s">
        <v>53</v>
      </c>
      <c r="G64" t="s">
        <v>51</v>
      </c>
      <c r="H64" t="s">
        <v>52</v>
      </c>
      <c r="I64" t="s">
        <v>53</v>
      </c>
    </row>
    <row r="65" spans="1:16" x14ac:dyDescent="0.2">
      <c r="A65">
        <v>1.0900000000000001</v>
      </c>
      <c r="B65">
        <v>1.78</v>
      </c>
      <c r="D65">
        <v>61.1</v>
      </c>
      <c r="E65">
        <v>12.4</v>
      </c>
      <c r="F65">
        <v>10.1</v>
      </c>
      <c r="G65">
        <v>64.8</v>
      </c>
      <c r="H65">
        <v>11.3</v>
      </c>
      <c r="I65">
        <v>9.0299999999999994</v>
      </c>
    </row>
    <row r="66" spans="1:16" x14ac:dyDescent="0.2">
      <c r="A66">
        <v>1.55</v>
      </c>
      <c r="B66">
        <v>2.5299999999999998</v>
      </c>
      <c r="D66">
        <v>58.8</v>
      </c>
      <c r="E66">
        <v>9.49</v>
      </c>
      <c r="F66">
        <v>10.199999999999999</v>
      </c>
      <c r="G66">
        <v>59.9</v>
      </c>
      <c r="H66">
        <v>10.8</v>
      </c>
      <c r="I66">
        <v>12.5</v>
      </c>
    </row>
    <row r="67" spans="1:16" x14ac:dyDescent="0.2">
      <c r="A67">
        <v>3.62</v>
      </c>
      <c r="B67">
        <v>2.2200000000000002</v>
      </c>
      <c r="D67">
        <v>47.1</v>
      </c>
      <c r="E67">
        <v>19.100000000000001</v>
      </c>
      <c r="F67">
        <v>14</v>
      </c>
      <c r="G67">
        <v>53.6</v>
      </c>
      <c r="H67">
        <v>6.56</v>
      </c>
      <c r="I67">
        <v>25.6</v>
      </c>
    </row>
    <row r="68" spans="1:16" x14ac:dyDescent="0.2">
      <c r="A68">
        <v>1.76</v>
      </c>
      <c r="B68">
        <v>1.63</v>
      </c>
      <c r="D68">
        <v>46.2</v>
      </c>
      <c r="E68">
        <v>14.7</v>
      </c>
      <c r="F68">
        <v>20.6</v>
      </c>
      <c r="G68">
        <v>58.2</v>
      </c>
      <c r="H68">
        <v>10.6</v>
      </c>
      <c r="I68">
        <v>14.9</v>
      </c>
    </row>
    <row r="69" spans="1:16" x14ac:dyDescent="0.2">
      <c r="D69">
        <v>56.7</v>
      </c>
      <c r="E69">
        <v>18.3</v>
      </c>
      <c r="F69">
        <v>3.01</v>
      </c>
      <c r="G69">
        <v>55.9</v>
      </c>
      <c r="H69">
        <v>5.08</v>
      </c>
      <c r="I69">
        <v>15.1</v>
      </c>
    </row>
    <row r="70" spans="1:16" x14ac:dyDescent="0.2">
      <c r="D70">
        <v>47.7</v>
      </c>
      <c r="E70">
        <v>13.6</v>
      </c>
      <c r="F70">
        <v>18</v>
      </c>
      <c r="G70">
        <v>50.5</v>
      </c>
      <c r="H70">
        <v>5.56</v>
      </c>
      <c r="I70">
        <v>26.4</v>
      </c>
    </row>
    <row r="71" spans="1:16" x14ac:dyDescent="0.2">
      <c r="D71">
        <v>43.2</v>
      </c>
      <c r="E71">
        <v>16.899999999999999</v>
      </c>
      <c r="F71">
        <v>21.2</v>
      </c>
      <c r="G71">
        <v>71.2</v>
      </c>
      <c r="H71">
        <v>6.24</v>
      </c>
      <c r="I71">
        <v>14.1</v>
      </c>
    </row>
    <row r="72" spans="1:16" x14ac:dyDescent="0.2">
      <c r="C72" t="s">
        <v>56</v>
      </c>
      <c r="D72">
        <f>AVERAGE(D65:D71)</f>
        <v>51.542857142857137</v>
      </c>
      <c r="E72">
        <f t="shared" ref="E72:I72" si="53">AVERAGE(E65:E71)</f>
        <v>14.927142857142854</v>
      </c>
      <c r="F72">
        <f t="shared" si="53"/>
        <v>13.872857142857143</v>
      </c>
      <c r="G72">
        <f t="shared" si="53"/>
        <v>59.157142857142851</v>
      </c>
      <c r="H72">
        <f t="shared" si="53"/>
        <v>8.02</v>
      </c>
      <c r="I72">
        <f t="shared" si="53"/>
        <v>16.804285714285715</v>
      </c>
    </row>
    <row r="73" spans="1:16" x14ac:dyDescent="0.2">
      <c r="C73" t="s">
        <v>57</v>
      </c>
      <c r="D73">
        <f>STDEV(D65:D71)/SQRT(7)</f>
        <v>2.6870817187546558</v>
      </c>
      <c r="E73">
        <f t="shared" ref="E73:I73" si="54">STDEV(E65:E71)/SQRT(7)</f>
        <v>1.2950725559481548</v>
      </c>
      <c r="F73">
        <f t="shared" si="54"/>
        <v>2.4962683714522611</v>
      </c>
      <c r="G73">
        <f t="shared" si="54"/>
        <v>2.6492458174659137</v>
      </c>
      <c r="H73">
        <f t="shared" si="54"/>
        <v>1.0366888682356972</v>
      </c>
      <c r="I73">
        <f t="shared" si="54"/>
        <v>2.4988224437606967</v>
      </c>
    </row>
    <row r="75" spans="1:16" x14ac:dyDescent="0.2">
      <c r="D75">
        <f>TTEST(D65:D71,G65:G71,2,2)</f>
        <v>6.6534909295564951E-2</v>
      </c>
      <c r="E75">
        <f>TTEST(E65:E71,H65:H71,2,2)</f>
        <v>1.3141081695340672E-3</v>
      </c>
      <c r="F75">
        <f t="shared" ref="F75" si="55">TTEST(F65:F71,I65:I71,2,2)</f>
        <v>0.42277227896802461</v>
      </c>
    </row>
    <row r="79" spans="1:16" x14ac:dyDescent="0.2">
      <c r="D79" t="s">
        <v>61</v>
      </c>
      <c r="G79" t="s">
        <v>62</v>
      </c>
    </row>
    <row r="80" spans="1:16" x14ac:dyDescent="0.2">
      <c r="D80" t="s">
        <v>0</v>
      </c>
      <c r="E80" t="s">
        <v>49</v>
      </c>
      <c r="G80" t="s">
        <v>0</v>
      </c>
      <c r="H80" t="s">
        <v>49</v>
      </c>
      <c r="P80" s="2"/>
    </row>
    <row r="81" spans="1:25" x14ac:dyDescent="0.2">
      <c r="A81">
        <v>9044.7942857142862</v>
      </c>
      <c r="B81">
        <v>1114.4640000000004</v>
      </c>
      <c r="D81">
        <v>23</v>
      </c>
      <c r="E81">
        <v>48</v>
      </c>
      <c r="G81">
        <f>100-D81</f>
        <v>77</v>
      </c>
      <c r="H81">
        <f>100-E81</f>
        <v>52</v>
      </c>
      <c r="J81" s="2">
        <f>A81*$D$104*0.01</f>
        <v>4164.2232891428575</v>
      </c>
      <c r="K81" s="2">
        <f>B81*$E$104*0.01</f>
        <v>760.39878720000036</v>
      </c>
      <c r="S81">
        <v>4164.2232891428575</v>
      </c>
      <c r="T81">
        <v>760.39878720000036</v>
      </c>
      <c r="U81">
        <v>2384.5221771428573</v>
      </c>
      <c r="V81">
        <v>347.25626640000013</v>
      </c>
      <c r="X81">
        <f>S81+U81</f>
        <v>6548.7454662857144</v>
      </c>
      <c r="Y81">
        <f>T81+V81</f>
        <v>1107.6550536000004</v>
      </c>
    </row>
    <row r="82" spans="1:25" x14ac:dyDescent="0.2">
      <c r="A82">
        <v>4511.005714285714</v>
      </c>
      <c r="B82">
        <v>1864.5840000000005</v>
      </c>
      <c r="D82">
        <v>49</v>
      </c>
      <c r="E82">
        <v>43</v>
      </c>
      <c r="G82">
        <f t="shared" ref="G82:G94" si="56">100-D82</f>
        <v>51</v>
      </c>
      <c r="H82">
        <f t="shared" ref="H82:H97" si="57">100-E82</f>
        <v>57</v>
      </c>
      <c r="J82" s="2">
        <f t="shared" ref="J82:J94" si="58">A82*$D$104*0.01</f>
        <v>2076.8670308571427</v>
      </c>
      <c r="K82" s="2">
        <f t="shared" ref="K82:K97" si="59">B82*$E$104*0.01</f>
        <v>1272.2056632000003</v>
      </c>
      <c r="S82">
        <v>2076.8670308571427</v>
      </c>
      <c r="T82">
        <v>1272.2056632000003</v>
      </c>
      <c r="U82">
        <v>4769.0443542857147</v>
      </c>
      <c r="V82">
        <v>640.04096160000029</v>
      </c>
      <c r="X82">
        <f t="shared" ref="X82:X91" si="60">S82+U82</f>
        <v>6845.9113851428574</v>
      </c>
      <c r="Y82">
        <f t="shared" ref="Y82:Y94" si="61">T82+V82</f>
        <v>1912.2466248000005</v>
      </c>
    </row>
    <row r="83" spans="1:25" x14ac:dyDescent="0.2">
      <c r="A83">
        <v>4829.9657142857141</v>
      </c>
      <c r="B83">
        <v>2164.6320000000005</v>
      </c>
      <c r="D83">
        <v>41</v>
      </c>
      <c r="E83">
        <v>28</v>
      </c>
      <c r="G83">
        <f t="shared" si="56"/>
        <v>59</v>
      </c>
      <c r="H83">
        <f t="shared" si="57"/>
        <v>72</v>
      </c>
      <c r="J83" s="2">
        <f t="shared" si="58"/>
        <v>2223.7162148571429</v>
      </c>
      <c r="K83" s="2">
        <f t="shared" si="59"/>
        <v>1476.9284136000006</v>
      </c>
      <c r="S83">
        <v>2223.7162148571429</v>
      </c>
      <c r="T83">
        <v>1476.9284136000006</v>
      </c>
      <c r="U83">
        <v>2187.8605542857149</v>
      </c>
      <c r="V83">
        <v>803.45567520000009</v>
      </c>
      <c r="X83">
        <f t="shared" si="60"/>
        <v>4411.5767691428573</v>
      </c>
      <c r="Y83">
        <f t="shared" si="61"/>
        <v>2280.3840888000004</v>
      </c>
    </row>
    <row r="84" spans="1:25" x14ac:dyDescent="0.2">
      <c r="A84">
        <v>4419.8742857142861</v>
      </c>
      <c r="B84">
        <v>1093.0320000000004</v>
      </c>
      <c r="D84">
        <v>27</v>
      </c>
      <c r="E84">
        <v>44</v>
      </c>
      <c r="G84">
        <f t="shared" si="56"/>
        <v>73</v>
      </c>
      <c r="H84">
        <f t="shared" si="57"/>
        <v>56</v>
      </c>
      <c r="J84" s="2">
        <f t="shared" si="58"/>
        <v>2034.9101211428572</v>
      </c>
      <c r="K84" s="2">
        <f t="shared" si="59"/>
        <v>745.77573360000031</v>
      </c>
      <c r="M84">
        <f t="shared" ref="M84:M94" si="62">A84*0.01*$G$104</f>
        <v>2384.5221771428573</v>
      </c>
      <c r="N84">
        <f t="shared" ref="N84:N97" si="63">B84*0.01*$H$104</f>
        <v>347.25626640000013</v>
      </c>
      <c r="S84">
        <v>2034.9101211428572</v>
      </c>
      <c r="T84">
        <v>745.77573360000031</v>
      </c>
      <c r="U84">
        <v>1671.6237942857144</v>
      </c>
      <c r="V84">
        <v>463.00835520000015</v>
      </c>
      <c r="X84">
        <f t="shared" si="60"/>
        <v>3706.5339154285716</v>
      </c>
      <c r="Y84">
        <f t="shared" si="61"/>
        <v>1208.7840888000005</v>
      </c>
    </row>
    <row r="85" spans="1:25" x14ac:dyDescent="0.2">
      <c r="A85">
        <v>8839.7485714285722</v>
      </c>
      <c r="B85">
        <v>2014.6080000000006</v>
      </c>
      <c r="D85">
        <v>39</v>
      </c>
      <c r="E85">
        <v>36</v>
      </c>
      <c r="G85">
        <f t="shared" si="56"/>
        <v>61</v>
      </c>
      <c r="H85">
        <f t="shared" si="57"/>
        <v>64</v>
      </c>
      <c r="J85" s="2">
        <f t="shared" si="58"/>
        <v>4069.8202422857144</v>
      </c>
      <c r="K85" s="2">
        <f t="shared" si="59"/>
        <v>1374.5670384000007</v>
      </c>
      <c r="M85">
        <f t="shared" si="62"/>
        <v>4769.0443542857147</v>
      </c>
      <c r="N85">
        <f t="shared" si="63"/>
        <v>640.04096160000029</v>
      </c>
      <c r="S85">
        <v>4069.8202422857144</v>
      </c>
      <c r="T85">
        <v>1374.5670384000007</v>
      </c>
      <c r="U85">
        <v>2433.6875828571428</v>
      </c>
      <c r="V85">
        <v>1021.3419600000003</v>
      </c>
      <c r="X85">
        <f t="shared" si="60"/>
        <v>6503.5078251428567</v>
      </c>
      <c r="Y85">
        <f t="shared" si="61"/>
        <v>2395.9089984000011</v>
      </c>
    </row>
    <row r="86" spans="1:25" x14ac:dyDescent="0.2">
      <c r="A86">
        <v>4055.3485714285716</v>
      </c>
      <c r="B86">
        <v>2528.9760000000006</v>
      </c>
      <c r="D86">
        <v>24</v>
      </c>
      <c r="E86">
        <v>41</v>
      </c>
      <c r="G86">
        <f t="shared" si="56"/>
        <v>76</v>
      </c>
      <c r="H86">
        <f t="shared" si="57"/>
        <v>59</v>
      </c>
      <c r="J86" s="2">
        <f t="shared" si="58"/>
        <v>1867.0824822857144</v>
      </c>
      <c r="K86" s="2">
        <f t="shared" si="59"/>
        <v>1725.5203248000005</v>
      </c>
      <c r="M86">
        <f t="shared" si="62"/>
        <v>2187.8605542857149</v>
      </c>
      <c r="N86">
        <f t="shared" si="63"/>
        <v>803.45567520000009</v>
      </c>
      <c r="S86">
        <v>1867.0824822857144</v>
      </c>
      <c r="T86">
        <v>1725.5203248000005</v>
      </c>
      <c r="U86">
        <v>3552.2005628571428</v>
      </c>
      <c r="V86">
        <v>1130.2851024000001</v>
      </c>
      <c r="X86">
        <f t="shared" si="60"/>
        <v>5419.2830451428572</v>
      </c>
      <c r="Y86">
        <f t="shared" si="61"/>
        <v>2855.8054272000008</v>
      </c>
    </row>
    <row r="87" spans="1:25" x14ac:dyDescent="0.2">
      <c r="A87">
        <v>3098.4685714285715</v>
      </c>
      <c r="B87">
        <v>1457.3760000000004</v>
      </c>
      <c r="D87">
        <v>30</v>
      </c>
      <c r="E87">
        <v>45</v>
      </c>
      <c r="G87">
        <f t="shared" si="56"/>
        <v>70</v>
      </c>
      <c r="H87">
        <f t="shared" si="57"/>
        <v>55</v>
      </c>
      <c r="J87" s="2"/>
      <c r="K87" s="2"/>
      <c r="M87">
        <f t="shared" si="62"/>
        <v>1671.6237942857144</v>
      </c>
      <c r="N87">
        <f t="shared" si="63"/>
        <v>463.00835520000015</v>
      </c>
      <c r="S87">
        <v>1961.4855291428571</v>
      </c>
      <c r="T87">
        <v>2866.1185056000013</v>
      </c>
      <c r="U87">
        <v>2298.4827171428569</v>
      </c>
      <c r="V87">
        <v>1334.5534944000005</v>
      </c>
      <c r="X87">
        <f t="shared" si="60"/>
        <v>4259.9682462857145</v>
      </c>
      <c r="Y87">
        <f t="shared" si="61"/>
        <v>4200.6720000000023</v>
      </c>
    </row>
    <row r="88" spans="1:25" x14ac:dyDescent="0.2">
      <c r="A88">
        <v>4511.005714285714</v>
      </c>
      <c r="B88">
        <v>3214.8000000000006</v>
      </c>
      <c r="D88">
        <v>41.7</v>
      </c>
      <c r="E88">
        <v>77</v>
      </c>
      <c r="G88">
        <f t="shared" si="56"/>
        <v>58.3</v>
      </c>
      <c r="H88">
        <f t="shared" si="57"/>
        <v>23</v>
      </c>
      <c r="J88" s="2"/>
      <c r="K88" s="2"/>
      <c r="M88">
        <f t="shared" si="62"/>
        <v>2433.6875828571428</v>
      </c>
      <c r="N88">
        <f t="shared" si="63"/>
        <v>1021.3419600000003</v>
      </c>
      <c r="S88">
        <v>2423.011536</v>
      </c>
      <c r="T88">
        <v>2266.5733080000009</v>
      </c>
      <c r="U88">
        <v>2839.3021800000001</v>
      </c>
      <c r="V88">
        <v>1055.3866920000003</v>
      </c>
      <c r="X88">
        <f t="shared" si="60"/>
        <v>5262.3137160000006</v>
      </c>
      <c r="Y88">
        <f t="shared" si="61"/>
        <v>3321.9600000000009</v>
      </c>
    </row>
    <row r="89" spans="1:25" x14ac:dyDescent="0.2">
      <c r="A89">
        <v>6584.2457142857147</v>
      </c>
      <c r="B89">
        <v>3557.7120000000009</v>
      </c>
      <c r="D89">
        <v>32.200000000000003</v>
      </c>
      <c r="E89">
        <v>79</v>
      </c>
      <c r="G89">
        <f t="shared" si="56"/>
        <v>67.8</v>
      </c>
      <c r="H89">
        <f t="shared" si="57"/>
        <v>21</v>
      </c>
      <c r="J89" s="2"/>
      <c r="K89" s="2"/>
      <c r="M89">
        <f t="shared" si="62"/>
        <v>3552.2005628571428</v>
      </c>
      <c r="N89">
        <f t="shared" si="63"/>
        <v>1130.2851024000001</v>
      </c>
      <c r="S89">
        <v>2947.4729074285715</v>
      </c>
      <c r="T89">
        <v>2032.6044504000006</v>
      </c>
      <c r="U89">
        <v>3453.8697514285718</v>
      </c>
      <c r="V89">
        <v>946.44354960000021</v>
      </c>
      <c r="X89">
        <f t="shared" si="60"/>
        <v>6401.3426588571438</v>
      </c>
      <c r="Y89">
        <f t="shared" si="61"/>
        <v>2979.0480000000007</v>
      </c>
    </row>
    <row r="90" spans="1:25" x14ac:dyDescent="0.2">
      <c r="A90">
        <v>4260.3942857142856</v>
      </c>
      <c r="B90">
        <v>4200.6720000000014</v>
      </c>
      <c r="D90">
        <v>49</v>
      </c>
      <c r="E90">
        <v>68</v>
      </c>
      <c r="G90">
        <f t="shared" si="56"/>
        <v>51</v>
      </c>
      <c r="H90">
        <f t="shared" si="57"/>
        <v>32</v>
      </c>
      <c r="J90" s="2">
        <f t="shared" si="58"/>
        <v>1961.4855291428571</v>
      </c>
      <c r="K90" s="2">
        <f t="shared" si="59"/>
        <v>2866.1185056000013</v>
      </c>
      <c r="M90">
        <f t="shared" si="62"/>
        <v>2298.4827171428569</v>
      </c>
      <c r="N90">
        <f t="shared" si="63"/>
        <v>1334.5534944000005</v>
      </c>
      <c r="S90">
        <v>1961.4855291428571</v>
      </c>
      <c r="T90">
        <v>3889.732257600001</v>
      </c>
      <c r="U90">
        <v>2298.4827171428569</v>
      </c>
      <c r="V90">
        <v>1811.1797424000004</v>
      </c>
      <c r="X90">
        <f t="shared" si="60"/>
        <v>4259.9682462857145</v>
      </c>
      <c r="Y90">
        <f t="shared" si="61"/>
        <v>5700.9120000000012</v>
      </c>
    </row>
    <row r="91" spans="1:25" x14ac:dyDescent="0.2">
      <c r="A91">
        <v>5262.84</v>
      </c>
      <c r="B91">
        <v>3321.9600000000009</v>
      </c>
      <c r="D91">
        <v>58.7</v>
      </c>
      <c r="E91">
        <v>82</v>
      </c>
      <c r="G91">
        <f t="shared" si="56"/>
        <v>41.3</v>
      </c>
      <c r="H91">
        <f t="shared" si="57"/>
        <v>18</v>
      </c>
      <c r="J91" s="2">
        <f t="shared" si="58"/>
        <v>2423.011536</v>
      </c>
      <c r="K91" s="2">
        <f t="shared" si="59"/>
        <v>2266.5733080000009</v>
      </c>
      <c r="M91">
        <f t="shared" si="62"/>
        <v>2839.3021800000001</v>
      </c>
      <c r="N91">
        <f t="shared" si="63"/>
        <v>1055.3866920000003</v>
      </c>
      <c r="S91">
        <v>2706.2206765714286</v>
      </c>
      <c r="T91">
        <v>1008.9906984000004</v>
      </c>
      <c r="U91">
        <v>3171.168668571429</v>
      </c>
      <c r="V91">
        <v>469.81730160000012</v>
      </c>
      <c r="X91">
        <f t="shared" si="60"/>
        <v>5877.3893451428576</v>
      </c>
      <c r="Y91">
        <f t="shared" si="61"/>
        <v>1478.8080000000004</v>
      </c>
    </row>
    <row r="92" spans="1:25" x14ac:dyDescent="0.2">
      <c r="A92">
        <v>6401.982857142857</v>
      </c>
      <c r="B92">
        <v>2979.0480000000007</v>
      </c>
      <c r="D92">
        <v>27</v>
      </c>
      <c r="E92">
        <v>74</v>
      </c>
      <c r="G92">
        <f t="shared" si="56"/>
        <v>73</v>
      </c>
      <c r="H92">
        <f t="shared" si="57"/>
        <v>26</v>
      </c>
      <c r="J92" s="2">
        <f t="shared" si="58"/>
        <v>2947.4729074285715</v>
      </c>
      <c r="K92" s="2">
        <f t="shared" si="59"/>
        <v>2032.6044504000006</v>
      </c>
      <c r="M92">
        <f t="shared" si="62"/>
        <v>3453.8697514285718</v>
      </c>
      <c r="N92">
        <f t="shared" si="63"/>
        <v>946.44354960000021</v>
      </c>
      <c r="T92">
        <v>2661.3957552000006</v>
      </c>
      <c r="V92">
        <v>1239.2282448000003</v>
      </c>
      <c r="Y92">
        <f t="shared" si="61"/>
        <v>3900.6240000000007</v>
      </c>
    </row>
    <row r="93" spans="1:25" x14ac:dyDescent="0.2">
      <c r="A93">
        <v>4260.3942857142856</v>
      </c>
      <c r="B93">
        <v>5700.9120000000012</v>
      </c>
      <c r="D93">
        <v>39</v>
      </c>
      <c r="E93">
        <v>63</v>
      </c>
      <c r="G93">
        <f t="shared" si="56"/>
        <v>61</v>
      </c>
      <c r="H93">
        <f t="shared" si="57"/>
        <v>37</v>
      </c>
      <c r="J93" s="2">
        <f t="shared" si="58"/>
        <v>1961.4855291428571</v>
      </c>
      <c r="K93" s="2">
        <f t="shared" si="59"/>
        <v>3889.732257600001</v>
      </c>
      <c r="M93">
        <f t="shared" si="62"/>
        <v>2298.4827171428569</v>
      </c>
      <c r="N93">
        <f t="shared" si="63"/>
        <v>1811.1797424000004</v>
      </c>
      <c r="T93">
        <v>2485.919112000001</v>
      </c>
      <c r="V93">
        <v>1157.5208880000002</v>
      </c>
      <c r="Y93">
        <f t="shared" si="61"/>
        <v>3643.4400000000014</v>
      </c>
    </row>
    <row r="94" spans="1:25" x14ac:dyDescent="0.2">
      <c r="A94">
        <v>5877.977142857143</v>
      </c>
      <c r="B94">
        <v>1478.8080000000004</v>
      </c>
      <c r="D94">
        <v>24</v>
      </c>
      <c r="E94">
        <v>67</v>
      </c>
      <c r="G94">
        <f t="shared" si="56"/>
        <v>76</v>
      </c>
      <c r="H94">
        <f t="shared" si="57"/>
        <v>33</v>
      </c>
      <c r="J94" s="2">
        <f t="shared" si="58"/>
        <v>2706.2206765714286</v>
      </c>
      <c r="K94" s="2">
        <f t="shared" si="59"/>
        <v>1008.9906984000004</v>
      </c>
      <c r="M94">
        <f t="shared" si="62"/>
        <v>3171.168668571429</v>
      </c>
      <c r="N94">
        <f t="shared" si="63"/>
        <v>469.81730160000012</v>
      </c>
      <c r="T94">
        <v>1535.4206280000005</v>
      </c>
      <c r="V94">
        <v>714.93937200000016</v>
      </c>
      <c r="Y94">
        <f t="shared" si="61"/>
        <v>2250.3600000000006</v>
      </c>
    </row>
    <row r="95" spans="1:25" x14ac:dyDescent="0.2">
      <c r="B95">
        <v>3900.6240000000012</v>
      </c>
      <c r="E95">
        <v>63</v>
      </c>
      <c r="H95">
        <f t="shared" si="57"/>
        <v>37</v>
      </c>
      <c r="J95" s="2"/>
      <c r="K95" s="2">
        <f t="shared" si="59"/>
        <v>2661.3957552000006</v>
      </c>
      <c r="N95">
        <f t="shared" si="63"/>
        <v>1239.2282448000003</v>
      </c>
    </row>
    <row r="96" spans="1:25" x14ac:dyDescent="0.2">
      <c r="B96">
        <v>3643.440000000001</v>
      </c>
      <c r="E96">
        <v>66</v>
      </c>
      <c r="H96">
        <f t="shared" si="57"/>
        <v>34</v>
      </c>
      <c r="J96" s="2"/>
      <c r="K96" s="2">
        <f t="shared" si="59"/>
        <v>2485.919112000001</v>
      </c>
      <c r="N96">
        <f t="shared" si="63"/>
        <v>1157.5208880000002</v>
      </c>
    </row>
    <row r="97" spans="2:25" x14ac:dyDescent="0.2">
      <c r="B97">
        <v>2250.3600000000006</v>
      </c>
      <c r="E97">
        <v>65.8</v>
      </c>
      <c r="H97">
        <f t="shared" si="57"/>
        <v>34.200000000000003</v>
      </c>
      <c r="J97" s="2"/>
      <c r="K97" s="2">
        <f t="shared" si="59"/>
        <v>1535.4206280000005</v>
      </c>
      <c r="N97">
        <f t="shared" si="63"/>
        <v>714.93937200000016</v>
      </c>
      <c r="X97">
        <f>AVERAGE(X81:X94)</f>
        <v>5408.7764198961049</v>
      </c>
      <c r="Y97">
        <f>AVERAGE(Y81:Y94)</f>
        <v>2802.6148772571441</v>
      </c>
    </row>
    <row r="98" spans="2:25" x14ac:dyDescent="0.2">
      <c r="X98">
        <f>STDEV(X81:X91)/SQRT(11)</f>
        <v>334.68068685514305</v>
      </c>
      <c r="Y98">
        <f>STDEV(Y81:Y94)/SQRT(14)</f>
        <v>341.87993414725662</v>
      </c>
    </row>
    <row r="100" spans="2:25" x14ac:dyDescent="0.2">
      <c r="J100">
        <f>AVERAGE(J81:J97)</f>
        <v>2585.1177780779221</v>
      </c>
      <c r="K100">
        <f>AVERAGE(K81:K97)</f>
        <v>1864.4393340000004</v>
      </c>
      <c r="M100">
        <f t="shared" ref="M100:N100" si="64">AVERAGE(M81:M97)</f>
        <v>2823.6586418181819</v>
      </c>
      <c r="N100">
        <f t="shared" si="64"/>
        <v>938.1755432571432</v>
      </c>
      <c r="P100">
        <f>SUM(J100+M100)</f>
        <v>5408.776419896104</v>
      </c>
      <c r="Q100">
        <f>SUM(K100+N100)</f>
        <v>2802.6148772571437</v>
      </c>
    </row>
    <row r="101" spans="2:25" x14ac:dyDescent="0.2">
      <c r="J101">
        <f>STDEV(J81:J97)/SQRT(11)</f>
        <v>249.64026181937527</v>
      </c>
      <c r="K101">
        <f>STDEV(K81:K97)/SQRT(14)</f>
        <v>238.89717693253988</v>
      </c>
      <c r="M101">
        <f>STDEV(M81:M97)/SQRT(11)</f>
        <v>260.44427332457428</v>
      </c>
      <c r="N101">
        <f>STDEV(N81:N97)/SQRT(14)</f>
        <v>106.5653444695607</v>
      </c>
      <c r="P101">
        <f>SUM(J101+M101)</f>
        <v>510.08453514394955</v>
      </c>
      <c r="Q101">
        <f>SUM(K101+N101)</f>
        <v>345.46252140210061</v>
      </c>
    </row>
    <row r="104" spans="2:25" x14ac:dyDescent="0.2">
      <c r="D104">
        <v>46.04</v>
      </c>
      <c r="E104">
        <v>68.23</v>
      </c>
      <c r="G104">
        <v>53.95</v>
      </c>
      <c r="H104">
        <v>31.77</v>
      </c>
      <c r="J104">
        <f>TTEST(J81:J94,K81:K97,2,2)</f>
        <v>5.0287004022040248E-2</v>
      </c>
      <c r="M104">
        <f>TTEST(M84:M97,N84:N97,2,2)</f>
        <v>2.12390938037694E-7</v>
      </c>
      <c r="P104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Chart1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</dc:creator>
  <cp:lastModifiedBy>Microsoft Office User</cp:lastModifiedBy>
  <dcterms:created xsi:type="dcterms:W3CDTF">2016-01-07T19:42:10Z</dcterms:created>
  <dcterms:modified xsi:type="dcterms:W3CDTF">2024-03-20T12:55:00Z</dcterms:modified>
</cp:coreProperties>
</file>