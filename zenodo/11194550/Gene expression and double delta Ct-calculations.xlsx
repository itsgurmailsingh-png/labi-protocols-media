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Celinevaaga/Documents/NIVA oppgave /Utkast masteroppgaver/Utkast hele oppgaven/Files for Zenodo/"/>
    </mc:Choice>
  </mc:AlternateContent>
  <xr:revisionPtr revIDLastSave="0" documentId="13_ncr:1_{2D24A499-D812-DD48-9872-221286F80859}" xr6:coauthVersionLast="47" xr6:coauthVersionMax="47" xr10:uidLastSave="{00000000-0000-0000-0000-000000000000}"/>
  <bookViews>
    <workbookView xWindow="0" yWindow="460" windowWidth="28800" windowHeight="16200" xr2:uid="{EF47ABBC-5244-4DEF-A008-7EC8882B9E40}"/>
  </bookViews>
  <sheets>
    <sheet name="ACT" sheetId="3" r:id="rId1"/>
    <sheet name="16s" sheetId="5" r:id="rId2"/>
    <sheet name="EF1α" sheetId="6" r:id="rId3"/>
    <sheet name="GAPDH" sheetId="4" r:id="rId4"/>
    <sheet name="Normalization factor" sheetId="7" r:id="rId5"/>
    <sheet name="CCAP" sheetId="1" r:id="rId6"/>
    <sheet name="NaGase" sheetId="8" r:id="rId7"/>
    <sheet name="CDA" sheetId="9" r:id="rId8"/>
    <sheet name="GFAT" sheetId="14" r:id="rId9"/>
    <sheet name="GS2" sheetId="15" r:id="rId10"/>
    <sheet name="CHS-2" sheetId="19" r:id="rId11"/>
    <sheet name="PAGM" sheetId="20" r:id="rId12"/>
    <sheet name="20E" sheetId="21" r:id="rId13"/>
    <sheet name="CHT3" sheetId="22" r:id="rId14"/>
    <sheet name="ETHR" sheetId="23" r:id="rId15"/>
    <sheet name="GNA" sheetId="24" r:id="rId16"/>
    <sheet name="ERC-A" sheetId="25" r:id="rId17"/>
    <sheet name="GP1" sheetId="26" r:id="rId18"/>
    <sheet name="CHT1" sheetId="27" r:id="rId19"/>
    <sheet name="RXR" sheetId="28" r:id="rId20"/>
    <sheet name="CHT2" sheetId="29" r:id="rId21"/>
    <sheet name="UDP" sheetId="30" r:id="rId22"/>
    <sheet name="ECH" sheetId="31" r:id="rId23"/>
    <sheet name="ERC-B" sheetId="32" r:id="rId24"/>
    <sheet name="GS1" sheetId="33" r:id="rId25"/>
    <sheet name="HK" sheetId="34" r:id="rId26"/>
    <sheet name="CHS1" sheetId="35" r:id="rId2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33" l="1"/>
  <c r="K32" i="33"/>
  <c r="F42" i="31"/>
  <c r="I42" i="31"/>
  <c r="L42" i="31"/>
  <c r="M42" i="31"/>
  <c r="K42" i="31"/>
  <c r="K44" i="31"/>
  <c r="K46" i="31"/>
  <c r="K48" i="31"/>
  <c r="I44" i="31"/>
  <c r="I46" i="31"/>
  <c r="I48" i="31"/>
  <c r="H42" i="31"/>
  <c r="H44" i="31"/>
  <c r="H46" i="31"/>
  <c r="H48" i="31"/>
  <c r="F44" i="31"/>
  <c r="F46" i="31"/>
  <c r="F48" i="31"/>
  <c r="D42" i="31"/>
  <c r="D44" i="31"/>
  <c r="D46" i="31"/>
  <c r="D48" i="31"/>
  <c r="M42" i="22"/>
  <c r="L42" i="22"/>
  <c r="K42" i="22"/>
  <c r="K44" i="22"/>
  <c r="K46" i="22"/>
  <c r="K48" i="22"/>
  <c r="I42" i="22"/>
  <c r="I44" i="22"/>
  <c r="I46" i="22"/>
  <c r="I48" i="22"/>
  <c r="H42" i="22"/>
  <c r="H44" i="22"/>
  <c r="H46" i="22"/>
  <c r="H48" i="22"/>
  <c r="F30" i="22"/>
  <c r="F42" i="22"/>
  <c r="F44" i="22"/>
  <c r="F46" i="22"/>
  <c r="F48" i="22"/>
  <c r="D42" i="22"/>
  <c r="D44" i="22"/>
  <c r="D46" i="22"/>
  <c r="D48" i="22"/>
  <c r="M42" i="21"/>
  <c r="L42" i="21"/>
  <c r="K42" i="21"/>
  <c r="K44" i="21"/>
  <c r="K46" i="21"/>
  <c r="K48" i="21"/>
  <c r="I42" i="21"/>
  <c r="I44" i="21"/>
  <c r="I46" i="21"/>
  <c r="I48" i="21"/>
  <c r="H42" i="21"/>
  <c r="H44" i="21"/>
  <c r="H46" i="21"/>
  <c r="H48" i="21"/>
  <c r="F42" i="21"/>
  <c r="F44" i="21"/>
  <c r="F46" i="21"/>
  <c r="F48" i="21"/>
  <c r="D42" i="21"/>
  <c r="D44" i="21"/>
  <c r="D46" i="21"/>
  <c r="D48" i="21"/>
  <c r="F42" i="20"/>
  <c r="K46" i="20"/>
  <c r="K42" i="20"/>
  <c r="I44" i="20"/>
  <c r="H34" i="20"/>
  <c r="H42" i="20"/>
  <c r="F34" i="20"/>
  <c r="D48" i="20"/>
  <c r="F48" i="20" s="1"/>
  <c r="H48" i="20" s="1"/>
  <c r="I48" i="20" s="1"/>
  <c r="K48" i="20" s="1"/>
  <c r="D42" i="20"/>
  <c r="I42" i="20" s="1"/>
  <c r="K44" i="20"/>
  <c r="I46" i="20"/>
  <c r="H44" i="20"/>
  <c r="H46" i="20"/>
  <c r="F46" i="20"/>
  <c r="F30" i="20"/>
  <c r="F44" i="20"/>
  <c r="D44" i="20"/>
  <c r="D46" i="20"/>
  <c r="D42" i="14"/>
  <c r="D44" i="14"/>
  <c r="D46" i="14"/>
  <c r="D48" i="14"/>
  <c r="F42" i="14"/>
  <c r="H42" i="14" s="1"/>
  <c r="I42" i="14" s="1"/>
  <c r="K42" i="14" s="1"/>
  <c r="F30" i="14"/>
  <c r="F18" i="14"/>
  <c r="D36" i="14"/>
  <c r="F44" i="14"/>
  <c r="H44" i="14" s="1"/>
  <c r="I44" i="14" s="1"/>
  <c r="K44" i="14" s="1"/>
  <c r="F46" i="14"/>
  <c r="H46" i="14" s="1"/>
  <c r="I46" i="14" s="1"/>
  <c r="K46" i="14" s="1"/>
  <c r="F48" i="14"/>
  <c r="H48" i="14" s="1"/>
  <c r="I48" i="14" s="1"/>
  <c r="K48" i="14" s="1"/>
  <c r="M42" i="9"/>
  <c r="L42" i="9"/>
  <c r="K42" i="9"/>
  <c r="K44" i="9"/>
  <c r="K46" i="9"/>
  <c r="K48" i="9"/>
  <c r="I42" i="9"/>
  <c r="I44" i="9"/>
  <c r="I46" i="9"/>
  <c r="I48" i="9"/>
  <c r="H42" i="9"/>
  <c r="H44" i="9"/>
  <c r="H46" i="9"/>
  <c r="H48" i="9"/>
  <c r="F46" i="9"/>
  <c r="F32" i="9"/>
  <c r="F42" i="9"/>
  <c r="F44" i="9"/>
  <c r="F48" i="9"/>
  <c r="D44" i="9"/>
  <c r="D28" i="9"/>
  <c r="D42" i="9"/>
  <c r="D46" i="9"/>
  <c r="D48" i="9"/>
  <c r="K48" i="19"/>
  <c r="K46" i="19"/>
  <c r="K30" i="19"/>
  <c r="K42" i="19"/>
  <c r="M42" i="8"/>
  <c r="L42" i="8"/>
  <c r="K48" i="8"/>
  <c r="K42" i="8"/>
  <c r="K44" i="8"/>
  <c r="K46" i="8"/>
  <c r="I42" i="8"/>
  <c r="I44" i="8"/>
  <c r="I46" i="8"/>
  <c r="I48" i="8"/>
  <c r="F34" i="8"/>
  <c r="F48" i="8"/>
  <c r="H48" i="8" s="1"/>
  <c r="F42" i="8"/>
  <c r="H42" i="8" s="1"/>
  <c r="F44" i="8"/>
  <c r="H44" i="8" s="1"/>
  <c r="F46" i="8"/>
  <c r="H46" i="8" s="1"/>
  <c r="D42" i="8"/>
  <c r="D44" i="8"/>
  <c r="D46" i="8"/>
  <c r="D48" i="8"/>
  <c r="M42" i="19"/>
  <c r="L42" i="19"/>
  <c r="L34" i="19"/>
  <c r="H42" i="19"/>
  <c r="I42" i="19"/>
  <c r="K44" i="19"/>
  <c r="J2" i="19"/>
  <c r="I44" i="19"/>
  <c r="I46" i="19"/>
  <c r="I48" i="19"/>
  <c r="H48" i="19"/>
  <c r="H44" i="19"/>
  <c r="H46" i="19"/>
  <c r="H30" i="19"/>
  <c r="G2" i="19"/>
  <c r="F22" i="19"/>
  <c r="F42" i="19"/>
  <c r="F44" i="19"/>
  <c r="F46" i="19"/>
  <c r="F48" i="19"/>
  <c r="F2" i="19"/>
  <c r="G47" i="7"/>
  <c r="G49" i="7"/>
  <c r="G37" i="7"/>
  <c r="G45" i="7"/>
  <c r="G43" i="7"/>
  <c r="H49" i="7"/>
  <c r="H47" i="7"/>
  <c r="H45" i="7"/>
  <c r="H43" i="7"/>
  <c r="H35" i="7"/>
  <c r="H3" i="7"/>
  <c r="G42" i="6"/>
  <c r="F44" i="6"/>
  <c r="F42" i="6"/>
  <c r="F46" i="6"/>
  <c r="F48" i="6"/>
  <c r="D48" i="6"/>
  <c r="D44" i="6"/>
  <c r="D42" i="6"/>
  <c r="D46" i="6"/>
  <c r="G42" i="3"/>
  <c r="F48" i="3"/>
  <c r="F46" i="3"/>
  <c r="F44" i="3"/>
  <c r="F42" i="3"/>
  <c r="F2" i="3"/>
  <c r="E2" i="3"/>
  <c r="D42" i="3"/>
  <c r="D44" i="3"/>
  <c r="D46" i="3"/>
  <c r="D48" i="3"/>
  <c r="D48" i="19"/>
  <c r="D46" i="19"/>
  <c r="D44" i="19"/>
  <c r="D42" i="19"/>
  <c r="D40" i="9"/>
  <c r="D38" i="9"/>
  <c r="D22" i="9"/>
  <c r="H38" i="28"/>
  <c r="D24" i="9"/>
  <c r="F24" i="9" s="1"/>
  <c r="I40" i="1"/>
  <c r="J2" i="1"/>
  <c r="D40" i="1"/>
  <c r="I2" i="1"/>
  <c r="F2" i="1"/>
  <c r="H2" i="1"/>
  <c r="G2" i="1"/>
  <c r="G2" i="35"/>
  <c r="D40" i="35"/>
  <c r="F40" i="35" s="1"/>
  <c r="D38" i="35"/>
  <c r="F38" i="35" s="1"/>
  <c r="F36" i="35"/>
  <c r="D36" i="35"/>
  <c r="D34" i="35"/>
  <c r="F34" i="35" s="1"/>
  <c r="F32" i="35"/>
  <c r="D32" i="35"/>
  <c r="D30" i="35"/>
  <c r="F30" i="35" s="1"/>
  <c r="F28" i="35"/>
  <c r="D28" i="35"/>
  <c r="D26" i="35"/>
  <c r="F26" i="35" s="1"/>
  <c r="F24" i="35"/>
  <c r="D24" i="35"/>
  <c r="D22" i="35"/>
  <c r="F22" i="35" s="1"/>
  <c r="D20" i="35"/>
  <c r="F20" i="35" s="1"/>
  <c r="D18" i="35"/>
  <c r="F18" i="35" s="1"/>
  <c r="D16" i="35"/>
  <c r="F16" i="35" s="1"/>
  <c r="D14" i="35"/>
  <c r="F14" i="35" s="1"/>
  <c r="F12" i="35"/>
  <c r="D12" i="35"/>
  <c r="D10" i="35"/>
  <c r="F10" i="35" s="1"/>
  <c r="F8" i="35"/>
  <c r="D8" i="35"/>
  <c r="D6" i="35"/>
  <c r="F6" i="35" s="1"/>
  <c r="D4" i="35"/>
  <c r="F4" i="35" s="1"/>
  <c r="F2" i="35"/>
  <c r="D2" i="35"/>
  <c r="D40" i="34"/>
  <c r="F40" i="34" s="1"/>
  <c r="D38" i="34"/>
  <c r="F38" i="34" s="1"/>
  <c r="D36" i="34"/>
  <c r="F36" i="34" s="1"/>
  <c r="D34" i="34"/>
  <c r="F34" i="34" s="1"/>
  <c r="D32" i="34"/>
  <c r="F32" i="34" s="1"/>
  <c r="D30" i="34"/>
  <c r="F30" i="34" s="1"/>
  <c r="D28" i="34"/>
  <c r="F28" i="34" s="1"/>
  <c r="D26" i="34"/>
  <c r="F26" i="34" s="1"/>
  <c r="D24" i="34"/>
  <c r="F24" i="34" s="1"/>
  <c r="D22" i="34"/>
  <c r="F22" i="34" s="1"/>
  <c r="D20" i="34"/>
  <c r="F20" i="34" s="1"/>
  <c r="D18" i="34"/>
  <c r="F18" i="34" s="1"/>
  <c r="D16" i="34"/>
  <c r="F16" i="34" s="1"/>
  <c r="D14" i="34"/>
  <c r="F14" i="34" s="1"/>
  <c r="D12" i="34"/>
  <c r="F12" i="34" s="1"/>
  <c r="D10" i="34"/>
  <c r="F10" i="34" s="1"/>
  <c r="D8" i="34"/>
  <c r="F8" i="34" s="1"/>
  <c r="D6" i="34"/>
  <c r="F6" i="34" s="1"/>
  <c r="D4" i="34"/>
  <c r="F4" i="34" s="1"/>
  <c r="D2" i="34"/>
  <c r="F2" i="34" s="1"/>
  <c r="D40" i="33"/>
  <c r="F40" i="33" s="1"/>
  <c r="D38" i="33"/>
  <c r="F38" i="33" s="1"/>
  <c r="D36" i="33"/>
  <c r="F36" i="33" s="1"/>
  <c r="D34" i="33"/>
  <c r="F34" i="33" s="1"/>
  <c r="D32" i="33"/>
  <c r="F32" i="33" s="1"/>
  <c r="D30" i="33"/>
  <c r="F30" i="33" s="1"/>
  <c r="D28" i="33"/>
  <c r="F28" i="33" s="1"/>
  <c r="D26" i="33"/>
  <c r="F26" i="33" s="1"/>
  <c r="D24" i="33"/>
  <c r="F24" i="33" s="1"/>
  <c r="D22" i="33"/>
  <c r="F22" i="33" s="1"/>
  <c r="D20" i="33"/>
  <c r="F20" i="33" s="1"/>
  <c r="D18" i="33"/>
  <c r="F18" i="33" s="1"/>
  <c r="D16" i="33"/>
  <c r="F16" i="33" s="1"/>
  <c r="D14" i="33"/>
  <c r="F14" i="33" s="1"/>
  <c r="D12" i="33"/>
  <c r="F12" i="33" s="1"/>
  <c r="D10" i="33"/>
  <c r="F10" i="33" s="1"/>
  <c r="D8" i="33"/>
  <c r="F8" i="33" s="1"/>
  <c r="D6" i="33"/>
  <c r="F6" i="33" s="1"/>
  <c r="D4" i="33"/>
  <c r="F4" i="33" s="1"/>
  <c r="D2" i="33"/>
  <c r="F2" i="33" s="1"/>
  <c r="D40" i="32"/>
  <c r="F40" i="32" s="1"/>
  <c r="D38" i="32"/>
  <c r="F38" i="32" s="1"/>
  <c r="D36" i="32"/>
  <c r="F36" i="32" s="1"/>
  <c r="D34" i="32"/>
  <c r="F34" i="32" s="1"/>
  <c r="D32" i="32"/>
  <c r="F32" i="32" s="1"/>
  <c r="D30" i="32"/>
  <c r="F30" i="32" s="1"/>
  <c r="D28" i="32"/>
  <c r="F28" i="32" s="1"/>
  <c r="D26" i="32"/>
  <c r="F26" i="32" s="1"/>
  <c r="D24" i="32"/>
  <c r="F24" i="32" s="1"/>
  <c r="D22" i="32"/>
  <c r="F22" i="32" s="1"/>
  <c r="D20" i="32"/>
  <c r="F20" i="32" s="1"/>
  <c r="D18" i="32"/>
  <c r="F18" i="32" s="1"/>
  <c r="D16" i="32"/>
  <c r="F16" i="32" s="1"/>
  <c r="D14" i="32"/>
  <c r="F14" i="32" s="1"/>
  <c r="D12" i="32"/>
  <c r="F12" i="32" s="1"/>
  <c r="D10" i="32"/>
  <c r="F10" i="32" s="1"/>
  <c r="D8" i="32"/>
  <c r="F8" i="32" s="1"/>
  <c r="D6" i="32"/>
  <c r="F6" i="32" s="1"/>
  <c r="D4" i="32"/>
  <c r="F4" i="32" s="1"/>
  <c r="D2" i="32"/>
  <c r="F2" i="32" s="1"/>
  <c r="D40" i="31"/>
  <c r="F40" i="31" s="1"/>
  <c r="D38" i="31"/>
  <c r="F38" i="31" s="1"/>
  <c r="D36" i="31"/>
  <c r="F36" i="31" s="1"/>
  <c r="D34" i="31"/>
  <c r="F34" i="31" s="1"/>
  <c r="D32" i="31"/>
  <c r="F32" i="31" s="1"/>
  <c r="D30" i="31"/>
  <c r="F30" i="31" s="1"/>
  <c r="D28" i="31"/>
  <c r="F28" i="31" s="1"/>
  <c r="D26" i="31"/>
  <c r="F26" i="31" s="1"/>
  <c r="D24" i="31"/>
  <c r="F24" i="31" s="1"/>
  <c r="D22" i="31"/>
  <c r="F22" i="31" s="1"/>
  <c r="D20" i="31"/>
  <c r="F20" i="31" s="1"/>
  <c r="D18" i="31"/>
  <c r="F18" i="31" s="1"/>
  <c r="D16" i="31"/>
  <c r="F16" i="31" s="1"/>
  <c r="D14" i="31"/>
  <c r="F14" i="31" s="1"/>
  <c r="D12" i="31"/>
  <c r="F12" i="31" s="1"/>
  <c r="D10" i="31"/>
  <c r="F10" i="31" s="1"/>
  <c r="D8" i="31"/>
  <c r="F8" i="31" s="1"/>
  <c r="D6" i="31"/>
  <c r="F6" i="31" s="1"/>
  <c r="D4" i="31"/>
  <c r="F4" i="31" s="1"/>
  <c r="D2" i="31"/>
  <c r="F2" i="31" s="1"/>
  <c r="D40" i="30"/>
  <c r="F40" i="30" s="1"/>
  <c r="D38" i="30"/>
  <c r="F38" i="30" s="1"/>
  <c r="D36" i="30"/>
  <c r="F36" i="30" s="1"/>
  <c r="D34" i="30"/>
  <c r="F34" i="30" s="1"/>
  <c r="D32" i="30"/>
  <c r="F32" i="30" s="1"/>
  <c r="D30" i="30"/>
  <c r="F30" i="30" s="1"/>
  <c r="D28" i="30"/>
  <c r="F28" i="30" s="1"/>
  <c r="D26" i="30"/>
  <c r="F26" i="30" s="1"/>
  <c r="D24" i="30"/>
  <c r="F24" i="30" s="1"/>
  <c r="D22" i="30"/>
  <c r="F22" i="30" s="1"/>
  <c r="I20" i="30"/>
  <c r="D20" i="30"/>
  <c r="F20" i="30" s="1"/>
  <c r="D18" i="30"/>
  <c r="F18" i="30" s="1"/>
  <c r="D16" i="30"/>
  <c r="F16" i="30" s="1"/>
  <c r="D14" i="30"/>
  <c r="F14" i="30" s="1"/>
  <c r="D12" i="30"/>
  <c r="F12" i="30" s="1"/>
  <c r="D10" i="30"/>
  <c r="F10" i="30" s="1"/>
  <c r="D8" i="30"/>
  <c r="F8" i="30" s="1"/>
  <c r="D6" i="30"/>
  <c r="F6" i="30" s="1"/>
  <c r="D4" i="30"/>
  <c r="F4" i="30" s="1"/>
  <c r="D2" i="30"/>
  <c r="F2" i="30" s="1"/>
  <c r="D40" i="29"/>
  <c r="F40" i="29" s="1"/>
  <c r="D38" i="29"/>
  <c r="F38" i="29" s="1"/>
  <c r="D36" i="29"/>
  <c r="F36" i="29" s="1"/>
  <c r="D34" i="29"/>
  <c r="F34" i="29" s="1"/>
  <c r="D32" i="29"/>
  <c r="F32" i="29" s="1"/>
  <c r="D30" i="29"/>
  <c r="F30" i="29" s="1"/>
  <c r="D28" i="29"/>
  <c r="F28" i="29" s="1"/>
  <c r="D26" i="29"/>
  <c r="F26" i="29" s="1"/>
  <c r="D24" i="29"/>
  <c r="F24" i="29" s="1"/>
  <c r="D22" i="29"/>
  <c r="F22" i="29" s="1"/>
  <c r="I20" i="29"/>
  <c r="D20" i="29"/>
  <c r="F20" i="29" s="1"/>
  <c r="D18" i="29"/>
  <c r="F18" i="29" s="1"/>
  <c r="D16" i="29"/>
  <c r="F16" i="29" s="1"/>
  <c r="D14" i="29"/>
  <c r="F14" i="29" s="1"/>
  <c r="D12" i="29"/>
  <c r="F12" i="29" s="1"/>
  <c r="D10" i="29"/>
  <c r="F10" i="29" s="1"/>
  <c r="D8" i="29"/>
  <c r="F8" i="29" s="1"/>
  <c r="D6" i="29"/>
  <c r="F6" i="29" s="1"/>
  <c r="D4" i="29"/>
  <c r="F4" i="29" s="1"/>
  <c r="D2" i="29"/>
  <c r="F2" i="29" s="1"/>
  <c r="D30" i="26"/>
  <c r="F30" i="26" s="1"/>
  <c r="I20" i="28"/>
  <c r="D40" i="28"/>
  <c r="D38" i="28"/>
  <c r="F38" i="28" s="1"/>
  <c r="D36" i="28"/>
  <c r="F36" i="28" s="1"/>
  <c r="D34" i="28"/>
  <c r="F34" i="28" s="1"/>
  <c r="D32" i="28"/>
  <c r="F32" i="28" s="1"/>
  <c r="D30" i="28"/>
  <c r="F30" i="28" s="1"/>
  <c r="D28" i="28"/>
  <c r="F28" i="28" s="1"/>
  <c r="D26" i="28"/>
  <c r="F26" i="28" s="1"/>
  <c r="D24" i="28"/>
  <c r="F24" i="28" s="1"/>
  <c r="D22" i="28"/>
  <c r="F22" i="28" s="1"/>
  <c r="D20" i="28"/>
  <c r="F20" i="28" s="1"/>
  <c r="D18" i="28"/>
  <c r="F18" i="28" s="1"/>
  <c r="D16" i="28"/>
  <c r="F16" i="28" s="1"/>
  <c r="D14" i="28"/>
  <c r="F14" i="28" s="1"/>
  <c r="D12" i="28"/>
  <c r="F12" i="28" s="1"/>
  <c r="D10" i="28"/>
  <c r="F10" i="28" s="1"/>
  <c r="D8" i="28"/>
  <c r="F8" i="28" s="1"/>
  <c r="D6" i="28"/>
  <c r="F6" i="28" s="1"/>
  <c r="D4" i="28"/>
  <c r="F4" i="28" s="1"/>
  <c r="D2" i="28"/>
  <c r="F2" i="28" s="1"/>
  <c r="M26" i="27"/>
  <c r="L26" i="27"/>
  <c r="M18" i="27"/>
  <c r="D28" i="27"/>
  <c r="D26" i="27"/>
  <c r="D40" i="27"/>
  <c r="F40" i="27" s="1"/>
  <c r="D38" i="27"/>
  <c r="F38" i="27" s="1"/>
  <c r="D36" i="27"/>
  <c r="F36" i="27" s="1"/>
  <c r="D34" i="27"/>
  <c r="F34" i="27" s="1"/>
  <c r="D32" i="27"/>
  <c r="F32" i="27" s="1"/>
  <c r="D30" i="27"/>
  <c r="F30" i="27" s="1"/>
  <c r="F28" i="27"/>
  <c r="F26" i="27"/>
  <c r="D24" i="27"/>
  <c r="F24" i="27" s="1"/>
  <c r="D22" i="27"/>
  <c r="F22" i="27" s="1"/>
  <c r="D20" i="27"/>
  <c r="F20" i="27" s="1"/>
  <c r="D18" i="27"/>
  <c r="F18" i="27" s="1"/>
  <c r="D16" i="27"/>
  <c r="F16" i="27" s="1"/>
  <c r="D14" i="27"/>
  <c r="F14" i="27" s="1"/>
  <c r="D12" i="27"/>
  <c r="F12" i="27" s="1"/>
  <c r="D10" i="27"/>
  <c r="F10" i="27" s="1"/>
  <c r="D8" i="27"/>
  <c r="F8" i="27" s="1"/>
  <c r="D6" i="27"/>
  <c r="F6" i="27" s="1"/>
  <c r="D4" i="27"/>
  <c r="F4" i="27" s="1"/>
  <c r="D2" i="27"/>
  <c r="F2" i="27" s="1"/>
  <c r="F28" i="26"/>
  <c r="D2" i="26"/>
  <c r="F2" i="26" s="1"/>
  <c r="D4" i="26"/>
  <c r="F4" i="26" s="1"/>
  <c r="D6" i="26"/>
  <c r="D8" i="26"/>
  <c r="D10" i="26"/>
  <c r="F10" i="26" s="1"/>
  <c r="D12" i="26"/>
  <c r="F12" i="26" s="1"/>
  <c r="D14" i="26"/>
  <c r="D16" i="26"/>
  <c r="D18" i="26"/>
  <c r="F18" i="26" s="1"/>
  <c r="D20" i="26"/>
  <c r="F20" i="26" s="1"/>
  <c r="D22" i="26"/>
  <c r="D24" i="26"/>
  <c r="D26" i="26"/>
  <c r="F26" i="26" s="1"/>
  <c r="D32" i="26"/>
  <c r="F32" i="26" s="1"/>
  <c r="D34" i="26"/>
  <c r="D36" i="26"/>
  <c r="D38" i="26"/>
  <c r="F38" i="26" s="1"/>
  <c r="D40" i="26"/>
  <c r="F40" i="26" s="1"/>
  <c r="F36" i="26"/>
  <c r="F34" i="26"/>
  <c r="F24" i="26"/>
  <c r="F22" i="26"/>
  <c r="F16" i="26"/>
  <c r="F14" i="26"/>
  <c r="F8" i="26"/>
  <c r="F6" i="26"/>
  <c r="J2" i="22"/>
  <c r="I2" i="22"/>
  <c r="H4" i="22"/>
  <c r="H2" i="22"/>
  <c r="G2" i="22"/>
  <c r="K16" i="24"/>
  <c r="K14" i="24"/>
  <c r="K12" i="24"/>
  <c r="K10" i="24"/>
  <c r="D40" i="25"/>
  <c r="F40" i="25" s="1"/>
  <c r="D38" i="25"/>
  <c r="F38" i="25" s="1"/>
  <c r="D36" i="25"/>
  <c r="F36" i="25" s="1"/>
  <c r="D34" i="25"/>
  <c r="F34" i="25" s="1"/>
  <c r="D32" i="25"/>
  <c r="F32" i="25" s="1"/>
  <c r="D30" i="25"/>
  <c r="F30" i="25" s="1"/>
  <c r="D28" i="25"/>
  <c r="F28" i="25" s="1"/>
  <c r="D26" i="25"/>
  <c r="F26" i="25" s="1"/>
  <c r="D24" i="25"/>
  <c r="F24" i="25" s="1"/>
  <c r="D22" i="25"/>
  <c r="F22" i="25" s="1"/>
  <c r="D20" i="25"/>
  <c r="F20" i="25" s="1"/>
  <c r="D18" i="25"/>
  <c r="F18" i="25" s="1"/>
  <c r="D16" i="25"/>
  <c r="F16" i="25" s="1"/>
  <c r="D14" i="25"/>
  <c r="F14" i="25" s="1"/>
  <c r="D12" i="25"/>
  <c r="F12" i="25" s="1"/>
  <c r="D10" i="25"/>
  <c r="F10" i="25" s="1"/>
  <c r="D8" i="25"/>
  <c r="F8" i="25" s="1"/>
  <c r="D6" i="25"/>
  <c r="F6" i="25" s="1"/>
  <c r="D4" i="25"/>
  <c r="F4" i="25" s="1"/>
  <c r="D2" i="25"/>
  <c r="F2" i="25" s="1"/>
  <c r="D40" i="24"/>
  <c r="F40" i="24" s="1"/>
  <c r="D38" i="24"/>
  <c r="F38" i="24" s="1"/>
  <c r="D36" i="24"/>
  <c r="F36" i="24" s="1"/>
  <c r="D34" i="24"/>
  <c r="F34" i="24" s="1"/>
  <c r="D32" i="24"/>
  <c r="F32" i="24" s="1"/>
  <c r="D30" i="24"/>
  <c r="F30" i="24" s="1"/>
  <c r="D28" i="24"/>
  <c r="F28" i="24" s="1"/>
  <c r="D26" i="24"/>
  <c r="F26" i="24" s="1"/>
  <c r="D24" i="24"/>
  <c r="F24" i="24" s="1"/>
  <c r="D22" i="24"/>
  <c r="F22" i="24" s="1"/>
  <c r="D20" i="24"/>
  <c r="F20" i="24" s="1"/>
  <c r="D18" i="24"/>
  <c r="F18" i="24" s="1"/>
  <c r="D16" i="24"/>
  <c r="F16" i="24" s="1"/>
  <c r="D14" i="24"/>
  <c r="F14" i="24" s="1"/>
  <c r="D12" i="24"/>
  <c r="F12" i="24" s="1"/>
  <c r="D10" i="24"/>
  <c r="F10" i="24" s="1"/>
  <c r="D8" i="24"/>
  <c r="F8" i="24" s="1"/>
  <c r="D6" i="24"/>
  <c r="F6" i="24" s="1"/>
  <c r="D4" i="24"/>
  <c r="F4" i="24" s="1"/>
  <c r="D2" i="24"/>
  <c r="F2" i="24" s="1"/>
  <c r="D40" i="23"/>
  <c r="F40" i="23" s="1"/>
  <c r="D38" i="23"/>
  <c r="F38" i="23" s="1"/>
  <c r="D36" i="23"/>
  <c r="F36" i="23" s="1"/>
  <c r="D34" i="23"/>
  <c r="F34" i="23" s="1"/>
  <c r="D32" i="23"/>
  <c r="F32" i="23" s="1"/>
  <c r="D30" i="23"/>
  <c r="F30" i="23" s="1"/>
  <c r="D28" i="23"/>
  <c r="F28" i="23" s="1"/>
  <c r="D26" i="23"/>
  <c r="F26" i="23" s="1"/>
  <c r="D24" i="23"/>
  <c r="F24" i="23" s="1"/>
  <c r="D22" i="23"/>
  <c r="F22" i="23" s="1"/>
  <c r="D20" i="23"/>
  <c r="F20" i="23" s="1"/>
  <c r="D18" i="23"/>
  <c r="F18" i="23" s="1"/>
  <c r="D16" i="23"/>
  <c r="F16" i="23" s="1"/>
  <c r="D14" i="23"/>
  <c r="F14" i="23" s="1"/>
  <c r="D12" i="23"/>
  <c r="F12" i="23" s="1"/>
  <c r="D10" i="23"/>
  <c r="F10" i="23" s="1"/>
  <c r="D8" i="23"/>
  <c r="F8" i="23" s="1"/>
  <c r="D6" i="23"/>
  <c r="F6" i="23" s="1"/>
  <c r="D4" i="23"/>
  <c r="F4" i="23" s="1"/>
  <c r="D2" i="23"/>
  <c r="F2" i="23" s="1"/>
  <c r="D40" i="22"/>
  <c r="F40" i="22" s="1"/>
  <c r="D38" i="22"/>
  <c r="F38" i="22" s="1"/>
  <c r="D36" i="22"/>
  <c r="F36" i="22" s="1"/>
  <c r="D34" i="22"/>
  <c r="F34" i="22" s="1"/>
  <c r="D32" i="22"/>
  <c r="F32" i="22" s="1"/>
  <c r="D30" i="22"/>
  <c r="D28" i="22"/>
  <c r="F28" i="22" s="1"/>
  <c r="D26" i="22"/>
  <c r="F26" i="22" s="1"/>
  <c r="D24" i="22"/>
  <c r="F24" i="22" s="1"/>
  <c r="D22" i="22"/>
  <c r="F22" i="22" s="1"/>
  <c r="D20" i="22"/>
  <c r="F20" i="22" s="1"/>
  <c r="D18" i="22"/>
  <c r="F18" i="22" s="1"/>
  <c r="D16" i="22"/>
  <c r="F16" i="22" s="1"/>
  <c r="D14" i="22"/>
  <c r="F14" i="22" s="1"/>
  <c r="D12" i="22"/>
  <c r="F12" i="22" s="1"/>
  <c r="D10" i="22"/>
  <c r="F10" i="22" s="1"/>
  <c r="D8" i="22"/>
  <c r="F8" i="22" s="1"/>
  <c r="D6" i="22"/>
  <c r="F6" i="22" s="1"/>
  <c r="D4" i="22"/>
  <c r="F4" i="22" s="1"/>
  <c r="D2" i="22"/>
  <c r="F2" i="22" s="1"/>
  <c r="D40" i="21"/>
  <c r="F40" i="21" s="1"/>
  <c r="D38" i="21"/>
  <c r="F38" i="21" s="1"/>
  <c r="D36" i="21"/>
  <c r="F36" i="21" s="1"/>
  <c r="D34" i="21"/>
  <c r="F34" i="21" s="1"/>
  <c r="D32" i="21"/>
  <c r="F32" i="21" s="1"/>
  <c r="D30" i="21"/>
  <c r="F30" i="21" s="1"/>
  <c r="D28" i="21"/>
  <c r="F28" i="21" s="1"/>
  <c r="D26" i="21"/>
  <c r="F26" i="21" s="1"/>
  <c r="D24" i="21"/>
  <c r="F24" i="21" s="1"/>
  <c r="D22" i="21"/>
  <c r="F22" i="21" s="1"/>
  <c r="D20" i="21"/>
  <c r="F20" i="21" s="1"/>
  <c r="D18" i="21"/>
  <c r="F18" i="21" s="1"/>
  <c r="D16" i="21"/>
  <c r="F16" i="21" s="1"/>
  <c r="D14" i="21"/>
  <c r="F14" i="21" s="1"/>
  <c r="D12" i="21"/>
  <c r="F12" i="21" s="1"/>
  <c r="D10" i="21"/>
  <c r="F10" i="21" s="1"/>
  <c r="D8" i="21"/>
  <c r="F8" i="21" s="1"/>
  <c r="D6" i="21"/>
  <c r="F6" i="21" s="1"/>
  <c r="D4" i="21"/>
  <c r="F4" i="21" s="1"/>
  <c r="D2" i="21"/>
  <c r="F2" i="21" s="1"/>
  <c r="D40" i="20"/>
  <c r="F40" i="20" s="1"/>
  <c r="D38" i="20"/>
  <c r="F38" i="20" s="1"/>
  <c r="D36" i="20"/>
  <c r="F36" i="20" s="1"/>
  <c r="D34" i="20"/>
  <c r="D32" i="20"/>
  <c r="F32" i="20" s="1"/>
  <c r="D30" i="20"/>
  <c r="D28" i="20"/>
  <c r="F28" i="20" s="1"/>
  <c r="D26" i="20"/>
  <c r="F26" i="20" s="1"/>
  <c r="D24" i="20"/>
  <c r="F24" i="20" s="1"/>
  <c r="D22" i="20"/>
  <c r="F22" i="20" s="1"/>
  <c r="D20" i="20"/>
  <c r="F20" i="20" s="1"/>
  <c r="D18" i="20"/>
  <c r="F18" i="20" s="1"/>
  <c r="D16" i="20"/>
  <c r="F16" i="20" s="1"/>
  <c r="D14" i="20"/>
  <c r="F14" i="20" s="1"/>
  <c r="D12" i="20"/>
  <c r="F12" i="20" s="1"/>
  <c r="D10" i="20"/>
  <c r="F10" i="20" s="1"/>
  <c r="D8" i="20"/>
  <c r="F8" i="20" s="1"/>
  <c r="D6" i="20"/>
  <c r="F6" i="20" s="1"/>
  <c r="D4" i="20"/>
  <c r="F4" i="20" s="1"/>
  <c r="D2" i="20"/>
  <c r="F2" i="20" s="1"/>
  <c r="D40" i="19"/>
  <c r="F40" i="19" s="1"/>
  <c r="D38" i="19"/>
  <c r="F38" i="19" s="1"/>
  <c r="D36" i="19"/>
  <c r="F36" i="19" s="1"/>
  <c r="D34" i="19"/>
  <c r="F34" i="19" s="1"/>
  <c r="D32" i="19"/>
  <c r="F32" i="19" s="1"/>
  <c r="D30" i="19"/>
  <c r="F30" i="19" s="1"/>
  <c r="D28" i="19"/>
  <c r="F28" i="19" s="1"/>
  <c r="D26" i="19"/>
  <c r="F26" i="19" s="1"/>
  <c r="D24" i="19"/>
  <c r="F24" i="19" s="1"/>
  <c r="D22" i="19"/>
  <c r="D20" i="19"/>
  <c r="F20" i="19" s="1"/>
  <c r="D18" i="19"/>
  <c r="F18" i="19" s="1"/>
  <c r="D16" i="19"/>
  <c r="F16" i="19" s="1"/>
  <c r="D14" i="19"/>
  <c r="F14" i="19" s="1"/>
  <c r="D12" i="19"/>
  <c r="F12" i="19" s="1"/>
  <c r="D10" i="19"/>
  <c r="F10" i="19" s="1"/>
  <c r="D8" i="19"/>
  <c r="F8" i="19" s="1"/>
  <c r="D6" i="19"/>
  <c r="F6" i="19" s="1"/>
  <c r="D4" i="19"/>
  <c r="F4" i="19" s="1"/>
  <c r="D2" i="19"/>
  <c r="M42" i="20" l="1"/>
  <c r="L42" i="20"/>
  <c r="L42" i="14"/>
  <c r="M42" i="14"/>
  <c r="F40" i="28"/>
  <c r="H40" i="28" s="1"/>
  <c r="I40" i="28" s="1"/>
  <c r="H36" i="35"/>
  <c r="I36" i="35" s="1"/>
  <c r="H30" i="35"/>
  <c r="I30" i="35" s="1"/>
  <c r="H28" i="35"/>
  <c r="I28" i="35" s="1"/>
  <c r="H24" i="35"/>
  <c r="I24" i="35" s="1"/>
  <c r="H12" i="35"/>
  <c r="I12" i="35" s="1"/>
  <c r="H8" i="35"/>
  <c r="I8" i="35" s="1"/>
  <c r="H18" i="35"/>
  <c r="I18" i="35" s="1"/>
  <c r="H32" i="35"/>
  <c r="I32" i="35" s="1"/>
  <c r="H4" i="35"/>
  <c r="I4" i="35" s="1"/>
  <c r="H20" i="35"/>
  <c r="I20" i="35" s="1"/>
  <c r="H6" i="35"/>
  <c r="I6" i="35" s="1"/>
  <c r="H10" i="35"/>
  <c r="I10" i="35" s="1"/>
  <c r="H14" i="35"/>
  <c r="I14" i="35" s="1"/>
  <c r="H22" i="35"/>
  <c r="I22" i="35" s="1"/>
  <c r="H26" i="35"/>
  <c r="I26" i="35" s="1"/>
  <c r="H34" i="35"/>
  <c r="I34" i="35" s="1"/>
  <c r="H38" i="35"/>
  <c r="I38" i="35" s="1"/>
  <c r="H16" i="35"/>
  <c r="I16" i="35" s="1"/>
  <c r="H40" i="35"/>
  <c r="I40" i="35" s="1"/>
  <c r="H2" i="35"/>
  <c r="I2" i="35" s="1"/>
  <c r="G2" i="34"/>
  <c r="H12" i="34" s="1"/>
  <c r="I12" i="34" s="1"/>
  <c r="G2" i="33"/>
  <c r="H2" i="33" s="1"/>
  <c r="I2" i="33" s="1"/>
  <c r="H4" i="33"/>
  <c r="I4" i="33" s="1"/>
  <c r="H6" i="33"/>
  <c r="I6" i="33" s="1"/>
  <c r="H8" i="33"/>
  <c r="I8" i="33" s="1"/>
  <c r="H10" i="33"/>
  <c r="I10" i="33" s="1"/>
  <c r="H12" i="33"/>
  <c r="I12" i="33" s="1"/>
  <c r="H14" i="33"/>
  <c r="I14" i="33" s="1"/>
  <c r="H16" i="33"/>
  <c r="I16" i="33" s="1"/>
  <c r="H18" i="33"/>
  <c r="I18" i="33" s="1"/>
  <c r="H20" i="33"/>
  <c r="I20" i="33" s="1"/>
  <c r="H22" i="33"/>
  <c r="I22" i="33" s="1"/>
  <c r="H24" i="33"/>
  <c r="I24" i="33" s="1"/>
  <c r="H26" i="33"/>
  <c r="I26" i="33" s="1"/>
  <c r="H28" i="33"/>
  <c r="I28" i="33" s="1"/>
  <c r="H30" i="33"/>
  <c r="I30" i="33" s="1"/>
  <c r="H32" i="33"/>
  <c r="I32" i="33" s="1"/>
  <c r="H34" i="33"/>
  <c r="I34" i="33" s="1"/>
  <c r="H36" i="33"/>
  <c r="I36" i="33" s="1"/>
  <c r="H38" i="33"/>
  <c r="I38" i="33" s="1"/>
  <c r="H40" i="33"/>
  <c r="I40" i="33" s="1"/>
  <c r="G2" i="32"/>
  <c r="H2" i="32" s="1"/>
  <c r="I2" i="32" s="1"/>
  <c r="H4" i="32"/>
  <c r="I4" i="32" s="1"/>
  <c r="H6" i="32"/>
  <c r="I6" i="32" s="1"/>
  <c r="H8" i="32"/>
  <c r="I8" i="32" s="1"/>
  <c r="H10" i="32"/>
  <c r="I10" i="32" s="1"/>
  <c r="H12" i="32"/>
  <c r="I12" i="32" s="1"/>
  <c r="H14" i="32"/>
  <c r="I14" i="32" s="1"/>
  <c r="H16" i="32"/>
  <c r="I16" i="32" s="1"/>
  <c r="H18" i="32"/>
  <c r="I18" i="32" s="1"/>
  <c r="H20" i="32"/>
  <c r="I20" i="32" s="1"/>
  <c r="H22" i="32"/>
  <c r="I22" i="32" s="1"/>
  <c r="H24" i="32"/>
  <c r="I24" i="32" s="1"/>
  <c r="H26" i="32"/>
  <c r="I26" i="32" s="1"/>
  <c r="H28" i="32"/>
  <c r="I28" i="32" s="1"/>
  <c r="H30" i="32"/>
  <c r="I30" i="32" s="1"/>
  <c r="H32" i="32"/>
  <c r="I32" i="32" s="1"/>
  <c r="H34" i="32"/>
  <c r="I34" i="32" s="1"/>
  <c r="H36" i="32"/>
  <c r="I36" i="32" s="1"/>
  <c r="H38" i="32"/>
  <c r="I38" i="32" s="1"/>
  <c r="H40" i="32"/>
  <c r="I40" i="32" s="1"/>
  <c r="G2" i="31"/>
  <c r="H2" i="31" s="1"/>
  <c r="I2" i="31" s="1"/>
  <c r="H4" i="31"/>
  <c r="I4" i="31" s="1"/>
  <c r="H6" i="31"/>
  <c r="I6" i="31" s="1"/>
  <c r="H8" i="31"/>
  <c r="I8" i="31" s="1"/>
  <c r="H10" i="31"/>
  <c r="I10" i="31" s="1"/>
  <c r="H12" i="31"/>
  <c r="I12" i="31" s="1"/>
  <c r="H14" i="31"/>
  <c r="I14" i="31" s="1"/>
  <c r="H16" i="31"/>
  <c r="I16" i="31" s="1"/>
  <c r="H18" i="31"/>
  <c r="I18" i="31" s="1"/>
  <c r="H20" i="31"/>
  <c r="I20" i="31" s="1"/>
  <c r="H22" i="31"/>
  <c r="I22" i="31" s="1"/>
  <c r="H24" i="31"/>
  <c r="I24" i="31" s="1"/>
  <c r="H26" i="31"/>
  <c r="I26" i="31" s="1"/>
  <c r="H28" i="31"/>
  <c r="I28" i="31" s="1"/>
  <c r="H30" i="31"/>
  <c r="I30" i="31" s="1"/>
  <c r="H32" i="31"/>
  <c r="I32" i="31" s="1"/>
  <c r="H34" i="31"/>
  <c r="I34" i="31" s="1"/>
  <c r="H36" i="31"/>
  <c r="I36" i="31" s="1"/>
  <c r="H38" i="31"/>
  <c r="I38" i="31" s="1"/>
  <c r="H40" i="31"/>
  <c r="I40" i="31" s="1"/>
  <c r="G2" i="30"/>
  <c r="H2" i="30" s="1"/>
  <c r="I2" i="30" s="1"/>
  <c r="H4" i="30"/>
  <c r="I4" i="30" s="1"/>
  <c r="H6" i="30"/>
  <c r="I6" i="30" s="1"/>
  <c r="H8" i="30"/>
  <c r="I8" i="30" s="1"/>
  <c r="H10" i="30"/>
  <c r="I10" i="30" s="1"/>
  <c r="H12" i="30"/>
  <c r="I12" i="30" s="1"/>
  <c r="H14" i="30"/>
  <c r="I14" i="30" s="1"/>
  <c r="H16" i="30"/>
  <c r="I16" i="30" s="1"/>
  <c r="H18" i="30"/>
  <c r="I18" i="30" s="1"/>
  <c r="H22" i="30"/>
  <c r="I22" i="30" s="1"/>
  <c r="H24" i="30"/>
  <c r="I24" i="30" s="1"/>
  <c r="H26" i="30"/>
  <c r="I26" i="30" s="1"/>
  <c r="H28" i="30"/>
  <c r="I28" i="30" s="1"/>
  <c r="H30" i="30"/>
  <c r="I30" i="30" s="1"/>
  <c r="H32" i="30"/>
  <c r="I32" i="30" s="1"/>
  <c r="H34" i="30"/>
  <c r="I34" i="30" s="1"/>
  <c r="H36" i="30"/>
  <c r="I36" i="30" s="1"/>
  <c r="H38" i="30"/>
  <c r="I38" i="30" s="1"/>
  <c r="H40" i="30"/>
  <c r="I40" i="30" s="1"/>
  <c r="G2" i="29"/>
  <c r="H2" i="29" s="1"/>
  <c r="I2" i="29" s="1"/>
  <c r="H4" i="29"/>
  <c r="I4" i="29" s="1"/>
  <c r="H6" i="29"/>
  <c r="I6" i="29" s="1"/>
  <c r="H8" i="29"/>
  <c r="I8" i="29" s="1"/>
  <c r="H10" i="29"/>
  <c r="I10" i="29" s="1"/>
  <c r="H12" i="29"/>
  <c r="I12" i="29" s="1"/>
  <c r="H14" i="29"/>
  <c r="I14" i="29" s="1"/>
  <c r="H16" i="29"/>
  <c r="I16" i="29" s="1"/>
  <c r="H18" i="29"/>
  <c r="I18" i="29" s="1"/>
  <c r="H22" i="29"/>
  <c r="I22" i="29" s="1"/>
  <c r="H24" i="29"/>
  <c r="I24" i="29" s="1"/>
  <c r="H26" i="29"/>
  <c r="I26" i="29" s="1"/>
  <c r="H28" i="29"/>
  <c r="I28" i="29" s="1"/>
  <c r="H30" i="29"/>
  <c r="I30" i="29" s="1"/>
  <c r="H32" i="29"/>
  <c r="I32" i="29" s="1"/>
  <c r="H34" i="29"/>
  <c r="I34" i="29" s="1"/>
  <c r="H36" i="29"/>
  <c r="I36" i="29" s="1"/>
  <c r="H38" i="29"/>
  <c r="I38" i="29" s="1"/>
  <c r="H40" i="29"/>
  <c r="I40" i="29" s="1"/>
  <c r="G2" i="28"/>
  <c r="H2" i="28" s="1"/>
  <c r="I2" i="28" s="1"/>
  <c r="H4" i="28"/>
  <c r="I4" i="28" s="1"/>
  <c r="H6" i="28"/>
  <c r="I6" i="28" s="1"/>
  <c r="H8" i="28"/>
  <c r="I8" i="28" s="1"/>
  <c r="H10" i="28"/>
  <c r="I10" i="28" s="1"/>
  <c r="H12" i="28"/>
  <c r="I12" i="28" s="1"/>
  <c r="H14" i="28"/>
  <c r="I14" i="28" s="1"/>
  <c r="H16" i="28"/>
  <c r="I16" i="28" s="1"/>
  <c r="H18" i="28"/>
  <c r="I18" i="28" s="1"/>
  <c r="H22" i="28"/>
  <c r="I22" i="28" s="1"/>
  <c r="H24" i="28"/>
  <c r="I24" i="28" s="1"/>
  <c r="H26" i="28"/>
  <c r="I26" i="28" s="1"/>
  <c r="H28" i="28"/>
  <c r="I28" i="28" s="1"/>
  <c r="H30" i="28"/>
  <c r="I30" i="28" s="1"/>
  <c r="H32" i="28"/>
  <c r="I32" i="28" s="1"/>
  <c r="H34" i="28"/>
  <c r="I34" i="28" s="1"/>
  <c r="H36" i="28"/>
  <c r="I36" i="28" s="1"/>
  <c r="I38" i="28"/>
  <c r="G2" i="27"/>
  <c r="H2" i="27" s="1"/>
  <c r="I2" i="27" s="1"/>
  <c r="H4" i="27"/>
  <c r="I4" i="27" s="1"/>
  <c r="H6" i="27"/>
  <c r="I6" i="27" s="1"/>
  <c r="H8" i="27"/>
  <c r="I8" i="27" s="1"/>
  <c r="H10" i="27"/>
  <c r="I10" i="27" s="1"/>
  <c r="H12" i="27"/>
  <c r="I12" i="27" s="1"/>
  <c r="H14" i="27"/>
  <c r="I14" i="27" s="1"/>
  <c r="H16" i="27"/>
  <c r="I16" i="27" s="1"/>
  <c r="H18" i="27"/>
  <c r="I18" i="27" s="1"/>
  <c r="H20" i="27"/>
  <c r="I20" i="27" s="1"/>
  <c r="H22" i="27"/>
  <c r="I22" i="27" s="1"/>
  <c r="H24" i="27"/>
  <c r="I24" i="27" s="1"/>
  <c r="H26" i="27"/>
  <c r="I26" i="27" s="1"/>
  <c r="H28" i="27"/>
  <c r="I28" i="27" s="1"/>
  <c r="H30" i="27"/>
  <c r="I30" i="27" s="1"/>
  <c r="H32" i="27"/>
  <c r="I32" i="27" s="1"/>
  <c r="H34" i="27"/>
  <c r="I34" i="27" s="1"/>
  <c r="H36" i="27"/>
  <c r="I36" i="27" s="1"/>
  <c r="H38" i="27"/>
  <c r="I38" i="27" s="1"/>
  <c r="H40" i="27"/>
  <c r="I40" i="27" s="1"/>
  <c r="G2" i="26"/>
  <c r="H18" i="26" s="1"/>
  <c r="I18" i="26" s="1"/>
  <c r="G2" i="25"/>
  <c r="H4" i="25" s="1"/>
  <c r="I4" i="25" s="1"/>
  <c r="G2" i="24"/>
  <c r="H2" i="24" s="1"/>
  <c r="I2" i="24" s="1"/>
  <c r="G2" i="23"/>
  <c r="H4" i="23" s="1"/>
  <c r="I4" i="23" s="1"/>
  <c r="H40" i="23"/>
  <c r="I40" i="23" s="1"/>
  <c r="I4" i="22"/>
  <c r="G2" i="21"/>
  <c r="H40" i="21" s="1"/>
  <c r="I40" i="21" s="1"/>
  <c r="H24" i="21"/>
  <c r="I24" i="21" s="1"/>
  <c r="H26" i="21"/>
  <c r="I26" i="21" s="1"/>
  <c r="H28" i="21"/>
  <c r="I28" i="21" s="1"/>
  <c r="H30" i="21"/>
  <c r="I30" i="21" s="1"/>
  <c r="H32" i="21"/>
  <c r="I32" i="21" s="1"/>
  <c r="H34" i="21"/>
  <c r="I34" i="21" s="1"/>
  <c r="H36" i="21"/>
  <c r="I36" i="21" s="1"/>
  <c r="G2" i="20"/>
  <c r="H6" i="20" s="1"/>
  <c r="I6" i="20" s="1"/>
  <c r="H4" i="19"/>
  <c r="I4" i="19" s="1"/>
  <c r="D40" i="15"/>
  <c r="F40" i="15" s="1"/>
  <c r="D38" i="15"/>
  <c r="F38" i="15" s="1"/>
  <c r="D36" i="15"/>
  <c r="F36" i="15" s="1"/>
  <c r="D34" i="15"/>
  <c r="F34" i="15" s="1"/>
  <c r="D32" i="15"/>
  <c r="F32" i="15" s="1"/>
  <c r="D30" i="15"/>
  <c r="F30" i="15" s="1"/>
  <c r="D28" i="15"/>
  <c r="F28" i="15" s="1"/>
  <c r="D26" i="15"/>
  <c r="F26" i="15" s="1"/>
  <c r="D24" i="15"/>
  <c r="F24" i="15" s="1"/>
  <c r="D22" i="15"/>
  <c r="F22" i="15" s="1"/>
  <c r="D20" i="15"/>
  <c r="F20" i="15" s="1"/>
  <c r="D18" i="15"/>
  <c r="F18" i="15" s="1"/>
  <c r="D16" i="15"/>
  <c r="F16" i="15" s="1"/>
  <c r="F14" i="15"/>
  <c r="D14" i="15"/>
  <c r="F12" i="15"/>
  <c r="D12" i="15"/>
  <c r="D10" i="15"/>
  <c r="F10" i="15" s="1"/>
  <c r="D8" i="15"/>
  <c r="F8" i="15" s="1"/>
  <c r="D6" i="15"/>
  <c r="F6" i="15" s="1"/>
  <c r="D4" i="15"/>
  <c r="F4" i="15" s="1"/>
  <c r="D2" i="15"/>
  <c r="F2" i="15" s="1"/>
  <c r="D40" i="14"/>
  <c r="F40" i="14" s="1"/>
  <c r="D38" i="14"/>
  <c r="F38" i="14" s="1"/>
  <c r="F36" i="14"/>
  <c r="D34" i="14"/>
  <c r="F34" i="14" s="1"/>
  <c r="D32" i="14"/>
  <c r="F32" i="14" s="1"/>
  <c r="D30" i="14"/>
  <c r="D28" i="14"/>
  <c r="F28" i="14" s="1"/>
  <c r="D26" i="14"/>
  <c r="F26" i="14" s="1"/>
  <c r="D24" i="14"/>
  <c r="F24" i="14" s="1"/>
  <c r="D22" i="14"/>
  <c r="F22" i="14" s="1"/>
  <c r="D20" i="14"/>
  <c r="F20" i="14" s="1"/>
  <c r="D18" i="14"/>
  <c r="D16" i="14"/>
  <c r="F16" i="14" s="1"/>
  <c r="D14" i="14"/>
  <c r="F14" i="14" s="1"/>
  <c r="D12" i="14"/>
  <c r="F12" i="14" s="1"/>
  <c r="H12" i="14" s="1"/>
  <c r="I12" i="14" s="1"/>
  <c r="D10" i="14"/>
  <c r="F10" i="14" s="1"/>
  <c r="H10" i="14" s="1"/>
  <c r="D8" i="14"/>
  <c r="F8" i="14" s="1"/>
  <c r="D6" i="14"/>
  <c r="F6" i="14" s="1"/>
  <c r="D4" i="14"/>
  <c r="F4" i="14" s="1"/>
  <c r="D2" i="14"/>
  <c r="F2" i="14" s="1"/>
  <c r="G2" i="14" s="1"/>
  <c r="H2" i="14" s="1"/>
  <c r="I5" i="7"/>
  <c r="I7" i="7"/>
  <c r="I9" i="7"/>
  <c r="I11" i="7"/>
  <c r="I13" i="7"/>
  <c r="I15" i="7"/>
  <c r="I17" i="7"/>
  <c r="I19" i="7"/>
  <c r="I21" i="7"/>
  <c r="I23" i="7"/>
  <c r="I25" i="7"/>
  <c r="I27" i="7"/>
  <c r="I29" i="7"/>
  <c r="I31" i="7"/>
  <c r="I33" i="7"/>
  <c r="I35" i="7"/>
  <c r="I37" i="7"/>
  <c r="I39" i="7"/>
  <c r="I41" i="7"/>
  <c r="H5" i="7"/>
  <c r="H7" i="7"/>
  <c r="H9" i="7"/>
  <c r="H11" i="7"/>
  <c r="H13" i="7"/>
  <c r="H15" i="7"/>
  <c r="H17" i="7"/>
  <c r="H19" i="7"/>
  <c r="H21" i="7"/>
  <c r="H23" i="7"/>
  <c r="H25" i="7"/>
  <c r="H27" i="7"/>
  <c r="H29" i="7"/>
  <c r="H31" i="7"/>
  <c r="H33" i="7"/>
  <c r="H37" i="7"/>
  <c r="H39" i="7"/>
  <c r="H41" i="7"/>
  <c r="G5" i="7"/>
  <c r="G7" i="7"/>
  <c r="G9" i="7"/>
  <c r="G11" i="7"/>
  <c r="G13" i="7"/>
  <c r="G15" i="7"/>
  <c r="G17" i="7"/>
  <c r="G19" i="7"/>
  <c r="G21" i="7"/>
  <c r="G23" i="7"/>
  <c r="G25" i="7"/>
  <c r="G27" i="7"/>
  <c r="G29" i="7"/>
  <c r="G31" i="7"/>
  <c r="G33" i="7"/>
  <c r="G35" i="7"/>
  <c r="G39" i="7"/>
  <c r="G41" i="7"/>
  <c r="F5" i="7"/>
  <c r="F7" i="7"/>
  <c r="F9" i="7"/>
  <c r="F11" i="7"/>
  <c r="F13" i="7"/>
  <c r="F15" i="7"/>
  <c r="F17" i="7"/>
  <c r="F19" i="7"/>
  <c r="F21" i="7"/>
  <c r="F23" i="7"/>
  <c r="F25" i="7"/>
  <c r="F27" i="7"/>
  <c r="F29" i="7"/>
  <c r="F31" i="7"/>
  <c r="F33" i="7"/>
  <c r="F35" i="7"/>
  <c r="F37" i="7"/>
  <c r="F39" i="7"/>
  <c r="F41" i="7"/>
  <c r="I3" i="7"/>
  <c r="G3" i="7"/>
  <c r="F3" i="7"/>
  <c r="D40" i="6"/>
  <c r="D38" i="6"/>
  <c r="D36" i="6"/>
  <c r="D34" i="6"/>
  <c r="D32" i="6"/>
  <c r="D30" i="6"/>
  <c r="D28" i="6"/>
  <c r="D26" i="6"/>
  <c r="D24" i="6"/>
  <c r="D22" i="6"/>
  <c r="D20" i="6"/>
  <c r="D18" i="6"/>
  <c r="D16" i="6"/>
  <c r="D14" i="6"/>
  <c r="D12" i="6"/>
  <c r="D10" i="6"/>
  <c r="D8" i="6"/>
  <c r="D6" i="6"/>
  <c r="D4" i="6"/>
  <c r="D2" i="6"/>
  <c r="E2" i="6" s="1"/>
  <c r="D40" i="5"/>
  <c r="D38" i="5"/>
  <c r="D36" i="5"/>
  <c r="D34" i="5"/>
  <c r="D32" i="5"/>
  <c r="D30" i="5"/>
  <c r="D28" i="5"/>
  <c r="D26" i="5"/>
  <c r="D24" i="5"/>
  <c r="D22" i="5"/>
  <c r="D20" i="5"/>
  <c r="D18" i="5"/>
  <c r="D16" i="5"/>
  <c r="D14" i="5"/>
  <c r="D12" i="5"/>
  <c r="D10" i="5"/>
  <c r="D8" i="5"/>
  <c r="D6" i="5"/>
  <c r="D4" i="5"/>
  <c r="D2" i="5"/>
  <c r="E2" i="5" s="1"/>
  <c r="D22" i="4"/>
  <c r="D40" i="4"/>
  <c r="D38" i="4"/>
  <c r="D36" i="4"/>
  <c r="D34" i="4"/>
  <c r="D32" i="4"/>
  <c r="D30" i="4"/>
  <c r="D28" i="4"/>
  <c r="D26" i="4"/>
  <c r="D24" i="4"/>
  <c r="D20" i="4"/>
  <c r="D18" i="4"/>
  <c r="D16" i="4"/>
  <c r="D14" i="4"/>
  <c r="D12" i="4"/>
  <c r="D10" i="4"/>
  <c r="D8" i="4"/>
  <c r="D6" i="4"/>
  <c r="D4" i="4"/>
  <c r="D2" i="4"/>
  <c r="E2" i="4" s="1"/>
  <c r="F2" i="4" s="1"/>
  <c r="D36" i="9"/>
  <c r="D34" i="9"/>
  <c r="D32" i="9"/>
  <c r="D30" i="9"/>
  <c r="D26" i="9"/>
  <c r="D20" i="9"/>
  <c r="D18" i="9"/>
  <c r="D16" i="9"/>
  <c r="D14" i="9"/>
  <c r="D12" i="9"/>
  <c r="D10" i="9"/>
  <c r="D8" i="9"/>
  <c r="D6" i="9"/>
  <c r="D4" i="9"/>
  <c r="D2" i="9"/>
  <c r="D40" i="8"/>
  <c r="F40" i="8" s="1"/>
  <c r="D38" i="8"/>
  <c r="F38" i="8" s="1"/>
  <c r="D36" i="8"/>
  <c r="F36" i="8" s="1"/>
  <c r="D34" i="8"/>
  <c r="D32" i="8"/>
  <c r="F32" i="8" s="1"/>
  <c r="D30" i="8"/>
  <c r="F30" i="8" s="1"/>
  <c r="D28" i="8"/>
  <c r="F28" i="8" s="1"/>
  <c r="D26" i="8"/>
  <c r="F26" i="8" s="1"/>
  <c r="D24" i="8"/>
  <c r="F24" i="8" s="1"/>
  <c r="D22" i="8"/>
  <c r="F22" i="8" s="1"/>
  <c r="D20" i="8"/>
  <c r="F20" i="8" s="1"/>
  <c r="D18" i="8"/>
  <c r="F18" i="8" s="1"/>
  <c r="D16" i="8"/>
  <c r="F16" i="8" s="1"/>
  <c r="D14" i="8"/>
  <c r="F14" i="8" s="1"/>
  <c r="D12" i="8"/>
  <c r="F12" i="8" s="1"/>
  <c r="D10" i="8"/>
  <c r="F10" i="8" s="1"/>
  <c r="D8" i="8"/>
  <c r="F8" i="8" s="1"/>
  <c r="D6" i="8"/>
  <c r="F6" i="8" s="1"/>
  <c r="D4" i="8"/>
  <c r="F4" i="8" s="1"/>
  <c r="D2" i="8"/>
  <c r="F2" i="8" s="1"/>
  <c r="D2" i="1"/>
  <c r="D4" i="1"/>
  <c r="F4" i="1" s="1"/>
  <c r="D6" i="1"/>
  <c r="F6" i="1" s="1"/>
  <c r="D8" i="1"/>
  <c r="F8" i="1" s="1"/>
  <c r="D10" i="1"/>
  <c r="F10" i="1" s="1"/>
  <c r="D12" i="1"/>
  <c r="F12" i="1" s="1"/>
  <c r="D14" i="1"/>
  <c r="F14" i="1" s="1"/>
  <c r="D16" i="1"/>
  <c r="F16" i="1" s="1"/>
  <c r="D18" i="1"/>
  <c r="F18" i="1" s="1"/>
  <c r="D20" i="1"/>
  <c r="F20" i="1" s="1"/>
  <c r="D22" i="1"/>
  <c r="F22" i="1" s="1"/>
  <c r="D24" i="1"/>
  <c r="F24" i="1" s="1"/>
  <c r="D26" i="1"/>
  <c r="F26" i="1" s="1"/>
  <c r="D28" i="1"/>
  <c r="F28" i="1" s="1"/>
  <c r="D30" i="1"/>
  <c r="F30" i="1" s="1"/>
  <c r="D32" i="1"/>
  <c r="F32" i="1" s="1"/>
  <c r="D34" i="1"/>
  <c r="F34" i="1" s="1"/>
  <c r="D36" i="1"/>
  <c r="F36" i="1" s="1"/>
  <c r="D38" i="1"/>
  <c r="F38" i="1" s="1"/>
  <c r="F40" i="1"/>
  <c r="H10" i="26" l="1"/>
  <c r="I10" i="26" s="1"/>
  <c r="H34" i="26"/>
  <c r="I34" i="26" s="1"/>
  <c r="H2" i="26"/>
  <c r="I2" i="26" s="1"/>
  <c r="H28" i="26"/>
  <c r="H40" i="26"/>
  <c r="I40" i="26" s="1"/>
  <c r="H32" i="26"/>
  <c r="I32" i="26" s="1"/>
  <c r="H24" i="26"/>
  <c r="I24" i="26" s="1"/>
  <c r="H16" i="26"/>
  <c r="I16" i="26" s="1"/>
  <c r="H8" i="26"/>
  <c r="I8" i="26" s="1"/>
  <c r="H38" i="26"/>
  <c r="I38" i="26" s="1"/>
  <c r="H30" i="26"/>
  <c r="I30" i="26" s="1"/>
  <c r="H22" i="26"/>
  <c r="I22" i="26" s="1"/>
  <c r="H14" i="26"/>
  <c r="I14" i="26" s="1"/>
  <c r="H6" i="26"/>
  <c r="I6" i="26" s="1"/>
  <c r="H36" i="26"/>
  <c r="I36" i="26" s="1"/>
  <c r="H20" i="26"/>
  <c r="I20" i="26" s="1"/>
  <c r="H12" i="26"/>
  <c r="I12" i="26" s="1"/>
  <c r="H4" i="26"/>
  <c r="I4" i="26" s="1"/>
  <c r="H26" i="26"/>
  <c r="I26" i="26" s="1"/>
  <c r="J2" i="35"/>
  <c r="K6" i="35" s="1"/>
  <c r="K24" i="35"/>
  <c r="K20" i="35"/>
  <c r="K38" i="35"/>
  <c r="K14" i="35"/>
  <c r="K4" i="35"/>
  <c r="H8" i="34"/>
  <c r="I8" i="34" s="1"/>
  <c r="H28" i="34"/>
  <c r="I28" i="34" s="1"/>
  <c r="H24" i="34"/>
  <c r="I24" i="34" s="1"/>
  <c r="H18" i="34"/>
  <c r="I18" i="34" s="1"/>
  <c r="H36" i="34"/>
  <c r="I36" i="34" s="1"/>
  <c r="H32" i="34"/>
  <c r="I32" i="34" s="1"/>
  <c r="H40" i="34"/>
  <c r="I40" i="34" s="1"/>
  <c r="H38" i="34"/>
  <c r="I38" i="34" s="1"/>
  <c r="H16" i="34"/>
  <c r="I16" i="34" s="1"/>
  <c r="H22" i="34"/>
  <c r="I22" i="34" s="1"/>
  <c r="H34" i="34"/>
  <c r="I34" i="34" s="1"/>
  <c r="H20" i="34"/>
  <c r="I20" i="34" s="1"/>
  <c r="H2" i="34"/>
  <c r="I2" i="34" s="1"/>
  <c r="H6" i="34"/>
  <c r="I6" i="34" s="1"/>
  <c r="H30" i="34"/>
  <c r="I30" i="34" s="1"/>
  <c r="H26" i="34"/>
  <c r="I26" i="34" s="1"/>
  <c r="H14" i="34"/>
  <c r="I14" i="34" s="1"/>
  <c r="H10" i="34"/>
  <c r="I10" i="34" s="1"/>
  <c r="H4" i="34"/>
  <c r="I4" i="34" s="1"/>
  <c r="H28" i="1"/>
  <c r="I28" i="1" s="1"/>
  <c r="J2" i="33"/>
  <c r="J2" i="32"/>
  <c r="J2" i="31"/>
  <c r="J2" i="30"/>
  <c r="J2" i="29"/>
  <c r="J2" i="28"/>
  <c r="J2" i="27"/>
  <c r="H8" i="25"/>
  <c r="I8" i="25" s="1"/>
  <c r="H38" i="25"/>
  <c r="I38" i="25" s="1"/>
  <c r="H6" i="25"/>
  <c r="I6" i="25" s="1"/>
  <c r="H36" i="25"/>
  <c r="I36" i="25" s="1"/>
  <c r="H34" i="25"/>
  <c r="I34" i="25" s="1"/>
  <c r="H34" i="24"/>
  <c r="I34" i="24" s="1"/>
  <c r="H32" i="24"/>
  <c r="I32" i="24" s="1"/>
  <c r="H30" i="24"/>
  <c r="I30" i="24" s="1"/>
  <c r="H16" i="24"/>
  <c r="I16" i="24" s="1"/>
  <c r="H40" i="24"/>
  <c r="I40" i="24" s="1"/>
  <c r="H26" i="24"/>
  <c r="I26" i="24" s="1"/>
  <c r="H22" i="24"/>
  <c r="I22" i="24" s="1"/>
  <c r="H8" i="24"/>
  <c r="I8" i="24" s="1"/>
  <c r="H28" i="24"/>
  <c r="I28" i="24" s="1"/>
  <c r="H24" i="24"/>
  <c r="I24" i="24" s="1"/>
  <c r="H14" i="24"/>
  <c r="I14" i="24" s="1"/>
  <c r="H10" i="24"/>
  <c r="I10" i="24" s="1"/>
  <c r="H38" i="24"/>
  <c r="I38" i="24" s="1"/>
  <c r="H20" i="24"/>
  <c r="I20" i="24" s="1"/>
  <c r="H12" i="24"/>
  <c r="I12" i="24" s="1"/>
  <c r="H6" i="24"/>
  <c r="I6" i="24" s="1"/>
  <c r="H18" i="24"/>
  <c r="I18" i="24" s="1"/>
  <c r="H4" i="24"/>
  <c r="I4" i="24" s="1"/>
  <c r="J2" i="24" s="1"/>
  <c r="H36" i="24"/>
  <c r="I36" i="24" s="1"/>
  <c r="H22" i="23"/>
  <c r="I22" i="23" s="1"/>
  <c r="H30" i="25"/>
  <c r="I30" i="25" s="1"/>
  <c r="H26" i="25"/>
  <c r="I26" i="25" s="1"/>
  <c r="H22" i="25"/>
  <c r="I22" i="25" s="1"/>
  <c r="H18" i="25"/>
  <c r="I18" i="25" s="1"/>
  <c r="H14" i="25"/>
  <c r="I14" i="25" s="1"/>
  <c r="H40" i="25"/>
  <c r="I40" i="25" s="1"/>
  <c r="H28" i="25"/>
  <c r="I28" i="25" s="1"/>
  <c r="H24" i="25"/>
  <c r="I24" i="25" s="1"/>
  <c r="H12" i="25"/>
  <c r="I12" i="25" s="1"/>
  <c r="H32" i="25"/>
  <c r="I32" i="25" s="1"/>
  <c r="H2" i="25"/>
  <c r="I2" i="25" s="1"/>
  <c r="H20" i="25"/>
  <c r="I20" i="25" s="1"/>
  <c r="H16" i="25"/>
  <c r="I16" i="25" s="1"/>
  <c r="H10" i="25"/>
  <c r="I10" i="25" s="1"/>
  <c r="H2" i="23"/>
  <c r="I2" i="23" s="1"/>
  <c r="H38" i="23"/>
  <c r="I38" i="23" s="1"/>
  <c r="H36" i="23"/>
  <c r="I36" i="23" s="1"/>
  <c r="H34" i="23"/>
  <c r="I34" i="23" s="1"/>
  <c r="H32" i="23"/>
  <c r="I32" i="23" s="1"/>
  <c r="H30" i="23"/>
  <c r="I30" i="23" s="1"/>
  <c r="H28" i="23"/>
  <c r="I28" i="23" s="1"/>
  <c r="H26" i="23"/>
  <c r="I26" i="23" s="1"/>
  <c r="H24" i="23"/>
  <c r="I24" i="23" s="1"/>
  <c r="H20" i="23"/>
  <c r="I20" i="23" s="1"/>
  <c r="H18" i="23"/>
  <c r="I18" i="23" s="1"/>
  <c r="H16" i="23"/>
  <c r="I16" i="23" s="1"/>
  <c r="H14" i="23"/>
  <c r="I14" i="23" s="1"/>
  <c r="H12" i="23"/>
  <c r="I12" i="23" s="1"/>
  <c r="H10" i="23"/>
  <c r="I10" i="23" s="1"/>
  <c r="H8" i="23"/>
  <c r="I8" i="23" s="1"/>
  <c r="H6" i="23"/>
  <c r="I6" i="23" s="1"/>
  <c r="H20" i="21"/>
  <c r="I20" i="21" s="1"/>
  <c r="H22" i="21"/>
  <c r="I22" i="21" s="1"/>
  <c r="H18" i="21"/>
  <c r="I18" i="21" s="1"/>
  <c r="H16" i="21"/>
  <c r="I16" i="21" s="1"/>
  <c r="H14" i="21"/>
  <c r="I14" i="21" s="1"/>
  <c r="H12" i="21"/>
  <c r="I12" i="21" s="1"/>
  <c r="H10" i="21"/>
  <c r="I10" i="21" s="1"/>
  <c r="H40" i="19"/>
  <c r="I40" i="19" s="1"/>
  <c r="H4" i="14"/>
  <c r="H6" i="21"/>
  <c r="I6" i="21" s="1"/>
  <c r="H38" i="20"/>
  <c r="I38" i="20" s="1"/>
  <c r="H4" i="20"/>
  <c r="I4" i="20" s="1"/>
  <c r="H36" i="22"/>
  <c r="I36" i="22" s="1"/>
  <c r="H34" i="22"/>
  <c r="I34" i="22" s="1"/>
  <c r="H30" i="22"/>
  <c r="I30" i="22" s="1"/>
  <c r="H28" i="22"/>
  <c r="I28" i="22" s="1"/>
  <c r="H16" i="22"/>
  <c r="I16" i="22" s="1"/>
  <c r="H14" i="22"/>
  <c r="I14" i="22" s="1"/>
  <c r="H10" i="22"/>
  <c r="I10" i="22" s="1"/>
  <c r="H6" i="22"/>
  <c r="I6" i="22" s="1"/>
  <c r="H8" i="22"/>
  <c r="I8" i="22" s="1"/>
  <c r="H38" i="22"/>
  <c r="I38" i="22" s="1"/>
  <c r="H32" i="22"/>
  <c r="I32" i="22" s="1"/>
  <c r="H26" i="22"/>
  <c r="I26" i="22" s="1"/>
  <c r="H24" i="22"/>
  <c r="I24" i="22" s="1"/>
  <c r="H22" i="22"/>
  <c r="I22" i="22" s="1"/>
  <c r="H18" i="22"/>
  <c r="I18" i="22" s="1"/>
  <c r="H12" i="22"/>
  <c r="I12" i="22" s="1"/>
  <c r="H20" i="22"/>
  <c r="I20" i="22" s="1"/>
  <c r="H40" i="22"/>
  <c r="I40" i="22" s="1"/>
  <c r="H2" i="21"/>
  <c r="I2" i="21" s="1"/>
  <c r="H4" i="21"/>
  <c r="I4" i="21" s="1"/>
  <c r="H8" i="21"/>
  <c r="I8" i="21" s="1"/>
  <c r="H38" i="21"/>
  <c r="I38" i="21" s="1"/>
  <c r="H2" i="20"/>
  <c r="I2" i="20" s="1"/>
  <c r="H36" i="20"/>
  <c r="I36" i="20" s="1"/>
  <c r="I34" i="20"/>
  <c r="H32" i="20"/>
  <c r="I32" i="20" s="1"/>
  <c r="H30" i="20"/>
  <c r="I30" i="20" s="1"/>
  <c r="H28" i="20"/>
  <c r="I28" i="20" s="1"/>
  <c r="H26" i="20"/>
  <c r="I26" i="20" s="1"/>
  <c r="H24" i="20"/>
  <c r="I24" i="20" s="1"/>
  <c r="H22" i="20"/>
  <c r="I22" i="20" s="1"/>
  <c r="H20" i="20"/>
  <c r="I20" i="20" s="1"/>
  <c r="H18" i="20"/>
  <c r="I18" i="20" s="1"/>
  <c r="H16" i="20"/>
  <c r="I16" i="20" s="1"/>
  <c r="H14" i="20"/>
  <c r="I14" i="20" s="1"/>
  <c r="H12" i="20"/>
  <c r="I12" i="20" s="1"/>
  <c r="H10" i="20"/>
  <c r="I10" i="20" s="1"/>
  <c r="H8" i="20"/>
  <c r="I8" i="20" s="1"/>
  <c r="H40" i="20"/>
  <c r="I40" i="20" s="1"/>
  <c r="H6" i="19"/>
  <c r="I6" i="19" s="1"/>
  <c r="H32" i="19"/>
  <c r="I32" i="19" s="1"/>
  <c r="I30" i="19"/>
  <c r="H26" i="19"/>
  <c r="I26" i="19" s="1"/>
  <c r="H22" i="19"/>
  <c r="I22" i="19" s="1"/>
  <c r="H8" i="19"/>
  <c r="I8" i="19" s="1"/>
  <c r="H38" i="19"/>
  <c r="I38" i="19" s="1"/>
  <c r="H34" i="19"/>
  <c r="I34" i="19" s="1"/>
  <c r="H36" i="19"/>
  <c r="I36" i="19" s="1"/>
  <c r="H24" i="19"/>
  <c r="I24" i="19" s="1"/>
  <c r="H20" i="19"/>
  <c r="I20" i="19" s="1"/>
  <c r="H18" i="19"/>
  <c r="I18" i="19" s="1"/>
  <c r="H2" i="19"/>
  <c r="I2" i="19" s="1"/>
  <c r="H28" i="19"/>
  <c r="I28" i="19" s="1"/>
  <c r="H16" i="19"/>
  <c r="I16" i="19" s="1"/>
  <c r="H14" i="19"/>
  <c r="I14" i="19" s="1"/>
  <c r="H12" i="19"/>
  <c r="I12" i="19" s="1"/>
  <c r="H10" i="19"/>
  <c r="I10" i="19" s="1"/>
  <c r="G2" i="15"/>
  <c r="H32" i="15" s="1"/>
  <c r="I32" i="15" s="1"/>
  <c r="I2" i="14"/>
  <c r="G18" i="4"/>
  <c r="F10" i="6"/>
  <c r="F36" i="6"/>
  <c r="F26" i="6"/>
  <c r="F34" i="6"/>
  <c r="F12" i="6"/>
  <c r="F30" i="6"/>
  <c r="F16" i="6"/>
  <c r="F2" i="6"/>
  <c r="F18" i="6"/>
  <c r="G18" i="6" s="1"/>
  <c r="F4" i="6"/>
  <c r="F20" i="6"/>
  <c r="F28" i="6"/>
  <c r="F6" i="6"/>
  <c r="F14" i="6"/>
  <c r="F22" i="6"/>
  <c r="F38" i="6"/>
  <c r="F8" i="6"/>
  <c r="F24" i="6"/>
  <c r="F32" i="6"/>
  <c r="F40" i="6"/>
  <c r="F32" i="5"/>
  <c r="F28" i="5"/>
  <c r="F18" i="5"/>
  <c r="F14" i="5"/>
  <c r="F12" i="5"/>
  <c r="F34" i="5"/>
  <c r="F30" i="5"/>
  <c r="F16" i="5"/>
  <c r="F2" i="5"/>
  <c r="F26" i="5"/>
  <c r="G26" i="5" s="1"/>
  <c r="F4" i="5"/>
  <c r="F20" i="5"/>
  <c r="F36" i="5"/>
  <c r="F10" i="5"/>
  <c r="G10" i="5" s="1"/>
  <c r="F6" i="5"/>
  <c r="F22" i="5"/>
  <c r="F38" i="5"/>
  <c r="F8" i="5"/>
  <c r="F24" i="5"/>
  <c r="F40" i="5"/>
  <c r="F40" i="4"/>
  <c r="F30" i="4"/>
  <c r="F38" i="4"/>
  <c r="F20" i="4"/>
  <c r="F6" i="4"/>
  <c r="F16" i="4"/>
  <c r="F24" i="4"/>
  <c r="F12" i="4"/>
  <c r="F14" i="4"/>
  <c r="F10" i="4"/>
  <c r="G10" i="4" s="1"/>
  <c r="F18" i="4"/>
  <c r="F4" i="4"/>
  <c r="F8" i="4"/>
  <c r="F26" i="4"/>
  <c r="F36" i="4"/>
  <c r="G2" i="8"/>
  <c r="H30" i="8" s="1"/>
  <c r="I30" i="8" s="1"/>
  <c r="D40" i="3"/>
  <c r="D38" i="3"/>
  <c r="D34" i="3"/>
  <c r="D28" i="3"/>
  <c r="D26" i="3"/>
  <c r="D24" i="3"/>
  <c r="D18" i="3"/>
  <c r="D12" i="3"/>
  <c r="D10" i="3"/>
  <c r="D8" i="3"/>
  <c r="D2" i="3"/>
  <c r="D36" i="3"/>
  <c r="D32" i="3"/>
  <c r="D30" i="3"/>
  <c r="D22" i="3"/>
  <c r="D20" i="3"/>
  <c r="D16" i="3"/>
  <c r="D14" i="3"/>
  <c r="D6" i="3"/>
  <c r="D4" i="3"/>
  <c r="J2" i="26" l="1"/>
  <c r="K30" i="26"/>
  <c r="K28" i="35"/>
  <c r="K36" i="35"/>
  <c r="L34" i="35" s="1"/>
  <c r="K8" i="35"/>
  <c r="K18" i="35"/>
  <c r="K10" i="35"/>
  <c r="K22" i="35"/>
  <c r="L18" i="35" s="1"/>
  <c r="K40" i="35"/>
  <c r="K2" i="35"/>
  <c r="M34" i="35"/>
  <c r="K12" i="35"/>
  <c r="K16" i="35"/>
  <c r="K26" i="35"/>
  <c r="M18" i="35"/>
  <c r="M2" i="35"/>
  <c r="L2" i="35"/>
  <c r="J2" i="34"/>
  <c r="K26" i="34" s="1"/>
  <c r="K40" i="33"/>
  <c r="K38" i="33"/>
  <c r="K34" i="33"/>
  <c r="K30" i="33"/>
  <c r="K26" i="33"/>
  <c r="K24" i="33"/>
  <c r="K22" i="33"/>
  <c r="K20" i="33"/>
  <c r="K18" i="33"/>
  <c r="K16" i="33"/>
  <c r="K14" i="33"/>
  <c r="K12" i="33"/>
  <c r="K10" i="33"/>
  <c r="K8" i="33"/>
  <c r="K6" i="33"/>
  <c r="K4" i="33"/>
  <c r="K2" i="33"/>
  <c r="K40" i="32"/>
  <c r="K38" i="32"/>
  <c r="K36" i="32"/>
  <c r="K26" i="32"/>
  <c r="K24" i="32"/>
  <c r="K20" i="32"/>
  <c r="K18" i="32"/>
  <c r="K16" i="32"/>
  <c r="K14" i="32"/>
  <c r="K12" i="32"/>
  <c r="K10" i="32"/>
  <c r="K8" i="32"/>
  <c r="K6" i="32"/>
  <c r="K4" i="32"/>
  <c r="K2" i="32"/>
  <c r="K40" i="31"/>
  <c r="K38" i="31"/>
  <c r="K36" i="31"/>
  <c r="K34" i="31"/>
  <c r="K30" i="31"/>
  <c r="K28" i="31"/>
  <c r="K26" i="31"/>
  <c r="K24" i="31"/>
  <c r="K22" i="31"/>
  <c r="K20" i="31"/>
  <c r="K18" i="31"/>
  <c r="K16" i="31"/>
  <c r="K14" i="31"/>
  <c r="K12" i="31"/>
  <c r="K10" i="31"/>
  <c r="K8" i="31"/>
  <c r="K6" i="31"/>
  <c r="K4" i="31"/>
  <c r="K2" i="31"/>
  <c r="K20" i="30"/>
  <c r="K40" i="30"/>
  <c r="K38" i="30"/>
  <c r="K36" i="30"/>
  <c r="K34" i="30"/>
  <c r="K30" i="30"/>
  <c r="K28" i="30"/>
  <c r="K26" i="30"/>
  <c r="K24" i="30"/>
  <c r="K22" i="30"/>
  <c r="K18" i="30"/>
  <c r="K16" i="30"/>
  <c r="K14" i="30"/>
  <c r="K12" i="30"/>
  <c r="K10" i="30"/>
  <c r="K8" i="30"/>
  <c r="K6" i="30"/>
  <c r="K4" i="30"/>
  <c r="K2" i="30"/>
  <c r="K20" i="29"/>
  <c r="K40" i="29"/>
  <c r="K38" i="29"/>
  <c r="K36" i="29"/>
  <c r="K34" i="29"/>
  <c r="K32" i="29"/>
  <c r="K30" i="29"/>
  <c r="K28" i="29"/>
  <c r="K26" i="29"/>
  <c r="K24" i="29"/>
  <c r="K22" i="29"/>
  <c r="K18" i="29"/>
  <c r="K16" i="29"/>
  <c r="K14" i="29"/>
  <c r="K12" i="29"/>
  <c r="K10" i="29"/>
  <c r="K8" i="29"/>
  <c r="K6" i="29"/>
  <c r="K4" i="29"/>
  <c r="K2" i="29"/>
  <c r="K40" i="28"/>
  <c r="K38" i="28"/>
  <c r="K36" i="28"/>
  <c r="K34" i="28"/>
  <c r="K32" i="28"/>
  <c r="K30" i="28"/>
  <c r="K28" i="28"/>
  <c r="K26" i="28"/>
  <c r="K24" i="28"/>
  <c r="K22" i="28"/>
  <c r="K20" i="28"/>
  <c r="K18" i="28"/>
  <c r="K16" i="28"/>
  <c r="K14" i="28"/>
  <c r="K12" i="28"/>
  <c r="K10" i="28"/>
  <c r="K8" i="28"/>
  <c r="K6" i="28"/>
  <c r="K4" i="28"/>
  <c r="K2" i="28"/>
  <c r="K40" i="27"/>
  <c r="K38" i="27"/>
  <c r="K36" i="27"/>
  <c r="K34" i="27"/>
  <c r="K32" i="27"/>
  <c r="K30" i="27"/>
  <c r="K28" i="27"/>
  <c r="K26" i="27"/>
  <c r="K24" i="27"/>
  <c r="K22" i="27"/>
  <c r="K20" i="27"/>
  <c r="K18" i="27"/>
  <c r="K16" i="27"/>
  <c r="K14" i="27"/>
  <c r="K12" i="27"/>
  <c r="K10" i="27"/>
  <c r="K8" i="27"/>
  <c r="K6" i="27"/>
  <c r="K4" i="27"/>
  <c r="K2" i="27"/>
  <c r="K40" i="26"/>
  <c r="K38" i="26"/>
  <c r="K36" i="26"/>
  <c r="K34" i="26"/>
  <c r="K32" i="26"/>
  <c r="K24" i="26"/>
  <c r="K22" i="26"/>
  <c r="K20" i="26"/>
  <c r="K18" i="26"/>
  <c r="K16" i="26"/>
  <c r="K14" i="26"/>
  <c r="K12" i="26"/>
  <c r="K10" i="26"/>
  <c r="K8" i="26"/>
  <c r="K6" i="26"/>
  <c r="K4" i="26"/>
  <c r="K2" i="26"/>
  <c r="K30" i="24"/>
  <c r="K22" i="24"/>
  <c r="K26" i="24"/>
  <c r="K24" i="24"/>
  <c r="K18" i="24"/>
  <c r="K20" i="24"/>
  <c r="K4" i="24"/>
  <c r="K28" i="24"/>
  <c r="J2" i="25"/>
  <c r="K20" i="25" s="1"/>
  <c r="K30" i="25"/>
  <c r="M18" i="24"/>
  <c r="L18" i="24"/>
  <c r="K32" i="24"/>
  <c r="M26" i="24" s="1"/>
  <c r="K2" i="24"/>
  <c r="K34" i="24"/>
  <c r="K36" i="24"/>
  <c r="K6" i="24"/>
  <c r="K38" i="24"/>
  <c r="K8" i="24"/>
  <c r="K40" i="24"/>
  <c r="J2" i="23"/>
  <c r="K4" i="22"/>
  <c r="J2" i="21"/>
  <c r="J2" i="20"/>
  <c r="K18" i="20" s="1"/>
  <c r="H28" i="15"/>
  <c r="I28" i="15" s="1"/>
  <c r="H30" i="15"/>
  <c r="I30" i="15" s="1"/>
  <c r="H8" i="15"/>
  <c r="I8" i="15" s="1"/>
  <c r="H14" i="15"/>
  <c r="I14" i="15" s="1"/>
  <c r="H4" i="15"/>
  <c r="I4" i="15" s="1"/>
  <c r="H24" i="15"/>
  <c r="I24" i="15" s="1"/>
  <c r="H2" i="15"/>
  <c r="I2" i="15" s="1"/>
  <c r="H26" i="15"/>
  <c r="I26" i="15" s="1"/>
  <c r="H22" i="15"/>
  <c r="I22" i="15" s="1"/>
  <c r="H18" i="15"/>
  <c r="I18" i="15" s="1"/>
  <c r="H38" i="15"/>
  <c r="I38" i="15" s="1"/>
  <c r="H6" i="15"/>
  <c r="I6" i="15" s="1"/>
  <c r="H34" i="15"/>
  <c r="I34" i="15" s="1"/>
  <c r="H12" i="15"/>
  <c r="I12" i="15" s="1"/>
  <c r="H16" i="15"/>
  <c r="I16" i="15" s="1"/>
  <c r="H20" i="15"/>
  <c r="I20" i="15" s="1"/>
  <c r="H40" i="15"/>
  <c r="I40" i="15" s="1"/>
  <c r="H36" i="15"/>
  <c r="I36" i="15" s="1"/>
  <c r="H10" i="15"/>
  <c r="I10" i="15" s="1"/>
  <c r="H6" i="14"/>
  <c r="I6" i="14" s="1"/>
  <c r="H26" i="14"/>
  <c r="I26" i="14" s="1"/>
  <c r="H34" i="14"/>
  <c r="I34" i="14" s="1"/>
  <c r="H32" i="14"/>
  <c r="I32" i="14" s="1"/>
  <c r="H20" i="14"/>
  <c r="I20" i="14" s="1"/>
  <c r="I10" i="14"/>
  <c r="H30" i="14"/>
  <c r="I30" i="14" s="1"/>
  <c r="H40" i="14"/>
  <c r="I40" i="14" s="1"/>
  <c r="H14" i="14"/>
  <c r="I14" i="14" s="1"/>
  <c r="H24" i="14"/>
  <c r="I24" i="14" s="1"/>
  <c r="H8" i="14"/>
  <c r="I8" i="14" s="1"/>
  <c r="H18" i="14"/>
  <c r="I18" i="14" s="1"/>
  <c r="H36" i="14"/>
  <c r="I36" i="14" s="1"/>
  <c r="I4" i="14"/>
  <c r="H28" i="14"/>
  <c r="I28" i="14" s="1"/>
  <c r="H16" i="14"/>
  <c r="I16" i="14" s="1"/>
  <c r="H38" i="14"/>
  <c r="I38" i="14" s="1"/>
  <c r="H22" i="14"/>
  <c r="I22" i="14" s="1"/>
  <c r="G10" i="6"/>
  <c r="G2" i="6"/>
  <c r="G34" i="6"/>
  <c r="G26" i="6"/>
  <c r="G18" i="5"/>
  <c r="G34" i="5"/>
  <c r="G2" i="5"/>
  <c r="G34" i="4"/>
  <c r="G26" i="4"/>
  <c r="G2" i="4"/>
  <c r="H28" i="8"/>
  <c r="I28" i="8" s="1"/>
  <c r="H24" i="8"/>
  <c r="I24" i="8" s="1"/>
  <c r="H10" i="8"/>
  <c r="I10" i="8" s="1"/>
  <c r="H2" i="8"/>
  <c r="I2" i="8" s="1"/>
  <c r="H20" i="8"/>
  <c r="I20" i="8" s="1"/>
  <c r="H22" i="8"/>
  <c r="I22" i="8" s="1"/>
  <c r="H36" i="8"/>
  <c r="I36" i="8" s="1"/>
  <c r="H26" i="8"/>
  <c r="I26" i="8" s="1"/>
  <c r="H14" i="8"/>
  <c r="I14" i="8" s="1"/>
  <c r="H16" i="8"/>
  <c r="I16" i="8" s="1"/>
  <c r="H4" i="8"/>
  <c r="I4" i="8" s="1"/>
  <c r="H38" i="8"/>
  <c r="I38" i="8" s="1"/>
  <c r="H18" i="8"/>
  <c r="I18" i="8" s="1"/>
  <c r="H8" i="8"/>
  <c r="I8" i="8" s="1"/>
  <c r="H6" i="8"/>
  <c r="I6" i="8" s="1"/>
  <c r="H32" i="8"/>
  <c r="I32" i="8" s="1"/>
  <c r="H40" i="8"/>
  <c r="I40" i="8" s="1"/>
  <c r="H34" i="8"/>
  <c r="I34" i="8" s="1"/>
  <c r="H12" i="8"/>
  <c r="I12" i="8" s="1"/>
  <c r="H4" i="1"/>
  <c r="I4" i="1" s="1"/>
  <c r="K2" i="1" s="1"/>
  <c r="H36" i="1"/>
  <c r="I36" i="1" s="1"/>
  <c r="H8" i="1"/>
  <c r="I8" i="1" s="1"/>
  <c r="H6" i="1"/>
  <c r="I6" i="1" s="1"/>
  <c r="H20" i="1"/>
  <c r="I20" i="1" s="1"/>
  <c r="H12" i="1"/>
  <c r="I12" i="1" s="1"/>
  <c r="H26" i="1"/>
  <c r="I26" i="1" s="1"/>
  <c r="H38" i="1"/>
  <c r="I38" i="1" s="1"/>
  <c r="H32" i="1"/>
  <c r="I32" i="1" s="1"/>
  <c r="H10" i="1"/>
  <c r="I10" i="1" s="1"/>
  <c r="H30" i="1"/>
  <c r="I30" i="1" s="1"/>
  <c r="H16" i="1"/>
  <c r="I16" i="1" s="1"/>
  <c r="H24" i="1"/>
  <c r="I24" i="1" s="1"/>
  <c r="H40" i="1"/>
  <c r="H22" i="1"/>
  <c r="I22" i="1" s="1"/>
  <c r="H14" i="1"/>
  <c r="I14" i="1" s="1"/>
  <c r="H18" i="1"/>
  <c r="I18" i="1" s="1"/>
  <c r="H34" i="1"/>
  <c r="I34" i="1" s="1"/>
  <c r="F4" i="3"/>
  <c r="M26" i="26" l="1"/>
  <c r="L26" i="26"/>
  <c r="K26" i="26"/>
  <c r="M10" i="35"/>
  <c r="M26" i="35"/>
  <c r="L26" i="35"/>
  <c r="L10" i="35"/>
  <c r="K10" i="34"/>
  <c r="K24" i="34"/>
  <c r="K6" i="34"/>
  <c r="K34" i="34"/>
  <c r="K12" i="34"/>
  <c r="K22" i="34"/>
  <c r="K18" i="34"/>
  <c r="K38" i="34"/>
  <c r="K28" i="34"/>
  <c r="M26" i="34" s="1"/>
  <c r="K20" i="34"/>
  <c r="K8" i="34"/>
  <c r="K36" i="34"/>
  <c r="K16" i="34"/>
  <c r="K2" i="34"/>
  <c r="K40" i="34"/>
  <c r="K30" i="34"/>
  <c r="K14" i="34"/>
  <c r="K4" i="34"/>
  <c r="M2" i="33"/>
  <c r="L2" i="33"/>
  <c r="M10" i="33"/>
  <c r="L10" i="33"/>
  <c r="M18" i="33"/>
  <c r="L18" i="33"/>
  <c r="M26" i="33"/>
  <c r="L26" i="33"/>
  <c r="M34" i="33"/>
  <c r="L34" i="33"/>
  <c r="M2" i="32"/>
  <c r="L2" i="32"/>
  <c r="M10" i="32"/>
  <c r="L10" i="32"/>
  <c r="M18" i="32"/>
  <c r="L18" i="32"/>
  <c r="M26" i="32"/>
  <c r="L26" i="32"/>
  <c r="M34" i="32"/>
  <c r="L34" i="32"/>
  <c r="M2" i="31"/>
  <c r="L2" i="31"/>
  <c r="M10" i="31"/>
  <c r="L10" i="31"/>
  <c r="M18" i="31"/>
  <c r="L18" i="31"/>
  <c r="M26" i="31"/>
  <c r="L26" i="31"/>
  <c r="M34" i="31"/>
  <c r="L34" i="31"/>
  <c r="M2" i="30"/>
  <c r="L2" i="30"/>
  <c r="M10" i="30"/>
  <c r="L10" i="30"/>
  <c r="M18" i="30"/>
  <c r="L18" i="30"/>
  <c r="M26" i="30"/>
  <c r="L26" i="30"/>
  <c r="M34" i="30"/>
  <c r="L34" i="30"/>
  <c r="M2" i="29"/>
  <c r="L2" i="29"/>
  <c r="M10" i="29"/>
  <c r="L10" i="29"/>
  <c r="M18" i="29"/>
  <c r="L18" i="29"/>
  <c r="M26" i="29"/>
  <c r="L26" i="29"/>
  <c r="M34" i="29"/>
  <c r="L34" i="29"/>
  <c r="M2" i="28"/>
  <c r="L2" i="28"/>
  <c r="M10" i="28"/>
  <c r="L10" i="28"/>
  <c r="M18" i="28"/>
  <c r="L18" i="28"/>
  <c r="M26" i="28"/>
  <c r="L26" i="28"/>
  <c r="M34" i="28"/>
  <c r="L34" i="28"/>
  <c r="M2" i="27"/>
  <c r="L2" i="27"/>
  <c r="M10" i="27"/>
  <c r="L10" i="27"/>
  <c r="L18" i="27"/>
  <c r="M34" i="27"/>
  <c r="L34" i="27"/>
  <c r="M2" i="26"/>
  <c r="L2" i="26"/>
  <c r="M10" i="26"/>
  <c r="L10" i="26"/>
  <c r="M18" i="26"/>
  <c r="L18" i="26"/>
  <c r="M34" i="26"/>
  <c r="L34" i="26"/>
  <c r="K26" i="25"/>
  <c r="K40" i="25"/>
  <c r="K18" i="25"/>
  <c r="K22" i="25"/>
  <c r="K14" i="25"/>
  <c r="K28" i="25"/>
  <c r="K24" i="25"/>
  <c r="M18" i="25" s="1"/>
  <c r="K4" i="25"/>
  <c r="K8" i="25"/>
  <c r="K6" i="25"/>
  <c r="K36" i="25"/>
  <c r="K38" i="25"/>
  <c r="K34" i="25"/>
  <c r="K2" i="25"/>
  <c r="K16" i="25"/>
  <c r="K12" i="25"/>
  <c r="K32" i="25"/>
  <c r="K10" i="25"/>
  <c r="M34" i="24"/>
  <c r="L34" i="24"/>
  <c r="M2" i="24"/>
  <c r="L2" i="24"/>
  <c r="L26" i="24"/>
  <c r="M10" i="24"/>
  <c r="L10" i="24"/>
  <c r="K40" i="23"/>
  <c r="K22" i="23"/>
  <c r="K4" i="23"/>
  <c r="K38" i="23"/>
  <c r="K34" i="23"/>
  <c r="K30" i="23"/>
  <c r="K28" i="23"/>
  <c r="K24" i="23"/>
  <c r="K18" i="23"/>
  <c r="K2" i="23"/>
  <c r="K36" i="23"/>
  <c r="K32" i="23"/>
  <c r="K26" i="23"/>
  <c r="K20" i="23"/>
  <c r="K16" i="23"/>
  <c r="K14" i="23"/>
  <c r="K12" i="23"/>
  <c r="K10" i="23"/>
  <c r="K8" i="23"/>
  <c r="K6" i="23"/>
  <c r="K18" i="22"/>
  <c r="K36" i="22"/>
  <c r="K28" i="22"/>
  <c r="K14" i="22"/>
  <c r="K6" i="22"/>
  <c r="K32" i="22"/>
  <c r="K24" i="22"/>
  <c r="K20" i="22"/>
  <c r="J2" i="14"/>
  <c r="K22" i="14" s="1"/>
  <c r="K18" i="14"/>
  <c r="K24" i="14"/>
  <c r="K2" i="22"/>
  <c r="K34" i="22"/>
  <c r="K30" i="22"/>
  <c r="K16" i="22"/>
  <c r="K10" i="22"/>
  <c r="K8" i="22"/>
  <c r="K38" i="22"/>
  <c r="K26" i="22"/>
  <c r="K22" i="22"/>
  <c r="L18" i="22" s="1"/>
  <c r="K12" i="22"/>
  <c r="K40" i="22"/>
  <c r="K28" i="21"/>
  <c r="K24" i="21"/>
  <c r="K20" i="21"/>
  <c r="K10" i="21"/>
  <c r="K36" i="21"/>
  <c r="K22" i="21"/>
  <c r="K16" i="21"/>
  <c r="K12" i="21"/>
  <c r="K34" i="21"/>
  <c r="K32" i="21"/>
  <c r="K30" i="21"/>
  <c r="K26" i="21"/>
  <c r="K18" i="21"/>
  <c r="K14" i="21"/>
  <c r="K40" i="21"/>
  <c r="K6" i="21"/>
  <c r="K4" i="21"/>
  <c r="K8" i="21"/>
  <c r="K2" i="21"/>
  <c r="K38" i="21"/>
  <c r="K6" i="20"/>
  <c r="K4" i="20"/>
  <c r="K38" i="20"/>
  <c r="K2" i="20"/>
  <c r="K36" i="20"/>
  <c r="K34" i="20"/>
  <c r="K32" i="20"/>
  <c r="K30" i="20"/>
  <c r="K28" i="20"/>
  <c r="K26" i="20"/>
  <c r="K24" i="20"/>
  <c r="K22" i="20"/>
  <c r="K20" i="20"/>
  <c r="K16" i="20"/>
  <c r="K14" i="20"/>
  <c r="K12" i="20"/>
  <c r="K10" i="20"/>
  <c r="K8" i="20"/>
  <c r="K40" i="20"/>
  <c r="K4" i="19"/>
  <c r="K6" i="19"/>
  <c r="K22" i="19"/>
  <c r="K8" i="19"/>
  <c r="K38" i="19"/>
  <c r="K34" i="19"/>
  <c r="K32" i="19"/>
  <c r="K26" i="19"/>
  <c r="K40" i="19"/>
  <c r="K24" i="19"/>
  <c r="K20" i="19"/>
  <c r="K18" i="19"/>
  <c r="K36" i="19"/>
  <c r="K28" i="19"/>
  <c r="K16" i="19"/>
  <c r="K14" i="19"/>
  <c r="K12" i="19"/>
  <c r="K2" i="19"/>
  <c r="K10" i="19"/>
  <c r="J2" i="15"/>
  <c r="K32" i="15" s="1"/>
  <c r="K10" i="14"/>
  <c r="K2" i="14"/>
  <c r="K34" i="14"/>
  <c r="K30" i="14"/>
  <c r="K36" i="14"/>
  <c r="K40" i="14"/>
  <c r="K26" i="14"/>
  <c r="K38" i="14"/>
  <c r="J2" i="8"/>
  <c r="K30" i="8" s="1"/>
  <c r="K28" i="1"/>
  <c r="F8" i="3"/>
  <c r="F16" i="3"/>
  <c r="F38" i="3"/>
  <c r="F10" i="3"/>
  <c r="F22" i="3"/>
  <c r="F26" i="3"/>
  <c r="F6" i="3"/>
  <c r="F36" i="3"/>
  <c r="F40" i="3"/>
  <c r="F32" i="3"/>
  <c r="F18" i="3"/>
  <c r="F14" i="3"/>
  <c r="F30" i="3"/>
  <c r="F28" i="3"/>
  <c r="F34" i="3"/>
  <c r="F12" i="3"/>
  <c r="F20" i="3"/>
  <c r="F24" i="3"/>
  <c r="L26" i="34" l="1"/>
  <c r="M10" i="34"/>
  <c r="L10" i="34"/>
  <c r="M2" i="34"/>
  <c r="L2" i="34"/>
  <c r="L34" i="34"/>
  <c r="M34" i="34"/>
  <c r="M18" i="34"/>
  <c r="L18" i="34"/>
  <c r="M26" i="25"/>
  <c r="M10" i="25"/>
  <c r="L10" i="25"/>
  <c r="M34" i="25"/>
  <c r="L34" i="25"/>
  <c r="M2" i="25"/>
  <c r="L2" i="25"/>
  <c r="L26" i="25"/>
  <c r="L18" i="25"/>
  <c r="M10" i="23"/>
  <c r="L10" i="23"/>
  <c r="M26" i="23"/>
  <c r="L26" i="23"/>
  <c r="M2" i="23"/>
  <c r="L2" i="23"/>
  <c r="L18" i="23"/>
  <c r="M18" i="23"/>
  <c r="L34" i="23"/>
  <c r="M34" i="23"/>
  <c r="K2" i="15"/>
  <c r="K32" i="14"/>
  <c r="K20" i="14"/>
  <c r="K8" i="14"/>
  <c r="L26" i="22"/>
  <c r="M26" i="22"/>
  <c r="M10" i="22"/>
  <c r="L10" i="22"/>
  <c r="M34" i="22"/>
  <c r="L34" i="22"/>
  <c r="M2" i="22"/>
  <c r="L2" i="22"/>
  <c r="M18" i="22"/>
  <c r="M2" i="21"/>
  <c r="L2" i="21"/>
  <c r="L18" i="21"/>
  <c r="M18" i="21"/>
  <c r="M34" i="21"/>
  <c r="L34" i="21"/>
  <c r="L26" i="21"/>
  <c r="M26" i="21"/>
  <c r="M10" i="21"/>
  <c r="L10" i="21"/>
  <c r="M10" i="20"/>
  <c r="L10" i="20"/>
  <c r="M18" i="20"/>
  <c r="L18" i="20"/>
  <c r="M26" i="20"/>
  <c r="L26" i="20"/>
  <c r="M34" i="20"/>
  <c r="L34" i="20"/>
  <c r="M2" i="20"/>
  <c r="L2" i="20"/>
  <c r="M2" i="19"/>
  <c r="L2" i="19"/>
  <c r="M18" i="19"/>
  <c r="L18" i="19"/>
  <c r="M10" i="19"/>
  <c r="L10" i="19"/>
  <c r="M26" i="19"/>
  <c r="L26" i="19"/>
  <c r="M34" i="19"/>
  <c r="K38" i="15"/>
  <c r="K40" i="15"/>
  <c r="K28" i="15"/>
  <c r="K22" i="15"/>
  <c r="K10" i="15"/>
  <c r="K30" i="15"/>
  <c r="K14" i="15"/>
  <c r="K36" i="15"/>
  <c r="K8" i="15"/>
  <c r="K6" i="15"/>
  <c r="K24" i="15"/>
  <c r="K26" i="15"/>
  <c r="K12" i="15"/>
  <c r="K20" i="15"/>
  <c r="K18" i="15"/>
  <c r="K34" i="15"/>
  <c r="K4" i="15"/>
  <c r="K16" i="15"/>
  <c r="K16" i="14"/>
  <c r="K28" i="14"/>
  <c r="K4" i="14"/>
  <c r="K6" i="14"/>
  <c r="K12" i="14"/>
  <c r="K14" i="14"/>
  <c r="L34" i="14"/>
  <c r="M34" i="14"/>
  <c r="M26" i="14"/>
  <c r="L26" i="14"/>
  <c r="K10" i="1"/>
  <c r="K18" i="1"/>
  <c r="K16" i="1"/>
  <c r="K22" i="1"/>
  <c r="G2" i="3"/>
  <c r="K12" i="8"/>
  <c r="K4" i="8"/>
  <c r="K18" i="8"/>
  <c r="K38" i="8"/>
  <c r="K8" i="8"/>
  <c r="K24" i="8"/>
  <c r="K2" i="8"/>
  <c r="K26" i="8"/>
  <c r="K6" i="8"/>
  <c r="K32" i="8"/>
  <c r="K16" i="8"/>
  <c r="K20" i="8"/>
  <c r="K28" i="8"/>
  <c r="K34" i="8"/>
  <c r="K36" i="8"/>
  <c r="K14" i="8"/>
  <c r="K10" i="8"/>
  <c r="K22" i="8"/>
  <c r="K26" i="1"/>
  <c r="K8" i="1"/>
  <c r="K30" i="1"/>
  <c r="K34" i="1"/>
  <c r="K4" i="1"/>
  <c r="K38" i="1"/>
  <c r="K14" i="1"/>
  <c r="K24" i="1"/>
  <c r="K6" i="1"/>
  <c r="K40" i="1"/>
  <c r="L34" i="1" s="1"/>
  <c r="K20" i="1"/>
  <c r="K32" i="1"/>
  <c r="K36" i="1"/>
  <c r="K12" i="1"/>
  <c r="G18" i="3"/>
  <c r="G34" i="3"/>
  <c r="G26" i="3"/>
  <c r="G10" i="3"/>
  <c r="L2" i="1" l="1"/>
  <c r="L26" i="1"/>
  <c r="L18" i="1"/>
  <c r="M10" i="14"/>
  <c r="L2" i="14"/>
  <c r="M2" i="14"/>
  <c r="L10" i="14"/>
  <c r="M18" i="14"/>
  <c r="L18" i="14"/>
  <c r="M18" i="15"/>
  <c r="L18" i="15"/>
  <c r="M10" i="15"/>
  <c r="L10" i="15"/>
  <c r="M26" i="15"/>
  <c r="L26" i="15"/>
  <c r="L34" i="15"/>
  <c r="M34" i="15"/>
  <c r="L2" i="15"/>
  <c r="M2" i="15"/>
  <c r="M18" i="1"/>
  <c r="M10" i="1"/>
  <c r="L10" i="1"/>
  <c r="L34" i="8"/>
  <c r="M34" i="8"/>
  <c r="L2" i="8"/>
  <c r="M2" i="8"/>
  <c r="M18" i="8"/>
  <c r="L18" i="8"/>
  <c r="M10" i="8"/>
  <c r="L10" i="8"/>
  <c r="M26" i="8"/>
  <c r="L26" i="8"/>
  <c r="M26" i="1"/>
  <c r="M34" i="1"/>
  <c r="M2" i="1"/>
  <c r="F26" i="9"/>
  <c r="F18" i="9"/>
  <c r="F34" i="9"/>
  <c r="F10" i="9"/>
  <c r="F6" i="9"/>
  <c r="F8" i="9"/>
  <c r="F28" i="9"/>
  <c r="F36" i="9"/>
  <c r="F12" i="9"/>
  <c r="F40" i="9"/>
  <c r="F16" i="9"/>
  <c r="F14" i="9"/>
  <c r="F22" i="9"/>
  <c r="F20" i="9"/>
  <c r="F4" i="9"/>
  <c r="F38" i="9"/>
  <c r="F30" i="9"/>
  <c r="F2" i="9"/>
  <c r="G2" i="9" l="1"/>
  <c r="H32" i="9" s="1"/>
  <c r="I32" i="9" s="1"/>
  <c r="H6" i="9" l="1"/>
  <c r="I6" i="9" s="1"/>
  <c r="H34" i="9"/>
  <c r="I34" i="9" s="1"/>
  <c r="H16" i="9"/>
  <c r="I16" i="9" s="1"/>
  <c r="H22" i="9"/>
  <c r="I22" i="9" s="1"/>
  <c r="H10" i="9"/>
  <c r="I10" i="9" s="1"/>
  <c r="H24" i="9"/>
  <c r="I24" i="9" s="1"/>
  <c r="H36" i="9"/>
  <c r="I36" i="9" s="1"/>
  <c r="H40" i="9"/>
  <c r="I40" i="9" s="1"/>
  <c r="H14" i="9"/>
  <c r="I14" i="9" s="1"/>
  <c r="H20" i="9"/>
  <c r="I20" i="9" s="1"/>
  <c r="H4" i="9"/>
  <c r="I4" i="9" s="1"/>
  <c r="H30" i="9"/>
  <c r="I30" i="9" s="1"/>
  <c r="H18" i="9"/>
  <c r="I18" i="9" s="1"/>
  <c r="H28" i="9"/>
  <c r="I28" i="9" s="1"/>
  <c r="H2" i="9"/>
  <c r="I2" i="9" s="1"/>
  <c r="H26" i="9"/>
  <c r="I26" i="9" s="1"/>
  <c r="H12" i="9"/>
  <c r="I12" i="9" s="1"/>
  <c r="H38" i="9"/>
  <c r="I38" i="9" s="1"/>
  <c r="H8" i="9"/>
  <c r="I8" i="9" s="1"/>
  <c r="J2" i="9" l="1"/>
  <c r="K32" i="9" s="1"/>
  <c r="K20" i="9" l="1"/>
  <c r="K4" i="9"/>
  <c r="K22" i="9"/>
  <c r="K30" i="9"/>
  <c r="K28" i="9"/>
  <c r="K34" i="9"/>
  <c r="K18" i="9"/>
  <c r="K8" i="9"/>
  <c r="K40" i="9"/>
  <c r="K10" i="9"/>
  <c r="K2" i="9"/>
  <c r="K14" i="9"/>
  <c r="K24" i="9"/>
  <c r="K26" i="9"/>
  <c r="K16" i="9"/>
  <c r="K6" i="9"/>
  <c r="K12" i="9"/>
  <c r="K38" i="9"/>
  <c r="K36" i="9"/>
  <c r="L18" i="9" l="1"/>
  <c r="M18" i="9"/>
  <c r="L34" i="9"/>
  <c r="M34" i="9"/>
  <c r="L2" i="9"/>
  <c r="M2" i="9"/>
  <c r="L10" i="9"/>
  <c r="M10" i="9"/>
  <c r="L26" i="9"/>
  <c r="M26" i="9"/>
</calcChain>
</file>

<file path=xl/sharedStrings.xml><?xml version="1.0" encoding="utf-8"?>
<sst xmlns="http://schemas.openxmlformats.org/spreadsheetml/2006/main" count="1928" uniqueCount="65">
  <si>
    <t>ACT</t>
  </si>
  <si>
    <t>Group</t>
    <phoneticPr fontId="0" type="noConversion"/>
  </si>
  <si>
    <t>Sample</t>
    <phoneticPr fontId="0" type="noConversion"/>
  </si>
  <si>
    <t>Cq</t>
  </si>
  <si>
    <t>Mean TR</t>
    <phoneticPr fontId="0" type="noConversion"/>
  </si>
  <si>
    <t>Mean control</t>
  </si>
  <si>
    <t>Normalized to control</t>
    <phoneticPr fontId="0" type="noConversion"/>
  </si>
  <si>
    <t>Mean normalized</t>
    <phoneticPr fontId="0" type="noConversion"/>
  </si>
  <si>
    <t>CT</t>
  </si>
  <si>
    <t>2</t>
  </si>
  <si>
    <t>3</t>
  </si>
  <si>
    <t>4</t>
  </si>
  <si>
    <t>SCT</t>
  </si>
  <si>
    <t>B1</t>
    <phoneticPr fontId="0" type="noConversion"/>
  </si>
  <si>
    <t>B2</t>
  </si>
  <si>
    <t>B3</t>
  </si>
  <si>
    <t>B4</t>
  </si>
  <si>
    <t>TEF1</t>
  </si>
  <si>
    <t>C1</t>
    <phoneticPr fontId="0" type="noConversion"/>
  </si>
  <si>
    <t>C2</t>
  </si>
  <si>
    <t>C3</t>
  </si>
  <si>
    <t>C4</t>
  </si>
  <si>
    <t>TEF2</t>
  </si>
  <si>
    <t>D1</t>
    <phoneticPr fontId="0" type="noConversion"/>
  </si>
  <si>
    <t>D2</t>
  </si>
  <si>
    <t>D3</t>
  </si>
  <si>
    <t>D4</t>
  </si>
  <si>
    <t>TEF3</t>
  </si>
  <si>
    <t>E1</t>
    <phoneticPr fontId="0" type="noConversion"/>
  </si>
  <si>
    <t>E2</t>
  </si>
  <si>
    <t>E3</t>
  </si>
  <si>
    <t>E4</t>
  </si>
  <si>
    <t>16s</t>
  </si>
  <si>
    <t>EF1α</t>
  </si>
  <si>
    <t>ACT+16s+EF1α</t>
  </si>
  <si>
    <t>ACT+16s</t>
  </si>
  <si>
    <t>ACT+EF1α</t>
  </si>
  <si>
    <t>16s+EF1α</t>
  </si>
  <si>
    <t>Mean TR</t>
  </si>
  <si>
    <t>GEOMEAN</t>
  </si>
  <si>
    <t>Ct</t>
  </si>
  <si>
    <t>Normalization factor</t>
    <phoneticPr fontId="0" type="noConversion"/>
  </si>
  <si>
    <t>ΔCt</t>
  </si>
  <si>
    <t>ΔCt control average</t>
  </si>
  <si>
    <t>ΔΔCt</t>
  </si>
  <si>
    <t>fold gene expression</t>
  </si>
  <si>
    <t>GEMean</t>
  </si>
  <si>
    <t>Fold change</t>
  </si>
  <si>
    <t>FCMean</t>
  </si>
  <si>
    <t>SEM</t>
  </si>
  <si>
    <t>Fold_change</t>
  </si>
  <si>
    <t>Treatment</t>
  </si>
  <si>
    <t>fold_change</t>
  </si>
  <si>
    <t>0.001</t>
  </si>
  <si>
    <t>0.003</t>
  </si>
  <si>
    <t>0.01</t>
  </si>
  <si>
    <t>0.03</t>
  </si>
  <si>
    <t>F1</t>
  </si>
  <si>
    <t>F2</t>
  </si>
  <si>
    <t>F3</t>
  </si>
  <si>
    <t>F4</t>
  </si>
  <si>
    <t>TEF4</t>
  </si>
  <si>
    <t>Normalization factor</t>
  </si>
  <si>
    <t>SC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</si>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</sst>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0;\-###0.00"/>
    <numFmt numFmtId="165" formatCode="0.00_ ;\-0.00\ "/>
  </numFmts>
  <fonts count="1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Calibri"/>
      <family val="2"/>
    </font>
    <font>
      <sz val="12"/>
      <name val="Microsoft Sans Serif"/>
      <family val="2"/>
    </font>
    <font>
      <sz val="9"/>
      <name val="Aptos Narrow"/>
      <family val="3"/>
      <charset val="134"/>
      <scheme val="minor"/>
    </font>
    <font>
      <sz val="8.25"/>
      <name val="Microsoft Sans Serif"/>
      <family val="2"/>
    </font>
    <font>
      <sz val="12"/>
      <color rgb="FF000000"/>
      <name val="Aptos Narrow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9" fillId="0" borderId="0" xfId="0" applyNumberFormat="1" applyFont="1" applyAlignment="1">
      <alignment vertical="center"/>
    </xf>
    <xf numFmtId="0" fontId="6" fillId="0" borderId="0" xfId="0" applyFont="1"/>
    <xf numFmtId="2" fontId="5" fillId="0" borderId="0" xfId="0" applyNumberFormat="1" applyFont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164" fontId="11" fillId="2" borderId="1" xfId="0" applyNumberFormat="1" applyFont="1" applyFill="1" applyBorder="1" applyAlignment="1">
      <alignment vertical="center"/>
    </xf>
    <xf numFmtId="164" fontId="9" fillId="2" borderId="0" xfId="0" applyNumberFormat="1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" xfId="0" applyFont="1" applyBorder="1"/>
    <xf numFmtId="0" fontId="11" fillId="0" borderId="3" xfId="0" applyFont="1" applyBorder="1"/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2" borderId="2" xfId="0" applyFont="1" applyFill="1" applyBorder="1"/>
    <xf numFmtId="0" fontId="11" fillId="2" borderId="3" xfId="0" applyFont="1" applyFill="1" applyBorder="1"/>
    <xf numFmtId="2" fontId="11" fillId="0" borderId="2" xfId="0" applyNumberFormat="1" applyFont="1" applyBorder="1"/>
    <xf numFmtId="2" fontId="11" fillId="2" borderId="2" xfId="0" applyNumberFormat="1" applyFont="1" applyFill="1" applyBorder="1"/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164" fontId="11" fillId="3" borderId="0" xfId="0" applyNumberFormat="1" applyFont="1" applyFill="1" applyAlignment="1">
      <alignment vertical="center"/>
    </xf>
    <xf numFmtId="0" fontId="0" fillId="3" borderId="0" xfId="0" applyFill="1"/>
    <xf numFmtId="0" fontId="0" fillId="0" borderId="4" xfId="0" applyBorder="1"/>
    <xf numFmtId="0" fontId="3" fillId="0" borderId="4" xfId="0" applyFont="1" applyBorder="1" applyAlignment="1">
      <alignment vertical="center"/>
    </xf>
    <xf numFmtId="164" fontId="9" fillId="0" borderId="4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690D-CD25-42BB-81AC-29C942537C0A}">
  <sheetPr>
    <tabColor rgb="FFFFC000"/>
  </sheetPr>
  <dimension ref="A1:G49"/>
  <sheetViews>
    <sheetView tabSelected="1" workbookViewId="0">
      <selection activeCell="D42" sqref="D42:D49"/>
    </sheetView>
  </sheetViews>
  <sheetFormatPr baseColWidth="10" defaultColWidth="8.83203125" defaultRowHeight="15" x14ac:dyDescent="0.2"/>
  <cols>
    <col min="1" max="1" width="11" bestFit="1" customWidth="1"/>
    <col min="2" max="2" width="7.6640625" style="7" bestFit="1" customWidth="1"/>
    <col min="3" max="3" width="14.83203125" style="5" customWidth="1"/>
    <col min="4" max="4" width="12" bestFit="1" customWidth="1"/>
    <col min="5" max="5" width="12.83203125" bestFit="1" customWidth="1"/>
    <col min="6" max="6" width="20.6640625" bestFit="1" customWidth="1"/>
    <col min="7" max="7" width="16.6640625" bestFit="1" customWidth="1"/>
  </cols>
  <sheetData>
    <row r="1" spans="1:7" ht="16" x14ac:dyDescent="0.2">
      <c r="A1" s="2" t="s">
        <v>1</v>
      </c>
      <c r="B1" s="6" t="s">
        <v>2</v>
      </c>
      <c r="C1" s="3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ht="16" x14ac:dyDescent="0.2">
      <c r="A2" s="38" t="s">
        <v>8</v>
      </c>
      <c r="B2" s="39">
        <v>1</v>
      </c>
      <c r="C2" s="4">
        <v>26.467591227323801</v>
      </c>
      <c r="D2" s="37">
        <f>AVERAGE(C2:C3)</f>
        <v>26.538481966047449</v>
      </c>
      <c r="E2" s="37">
        <f>AVERAGE(D2:D9)</f>
        <v>27.088229083837042</v>
      </c>
      <c r="F2" s="35">
        <f>D2/$E$2</f>
        <v>0.97970531347441925</v>
      </c>
      <c r="G2" s="35">
        <f>AVERAGE(F2:F9)</f>
        <v>0.99999999999999978</v>
      </c>
    </row>
    <row r="3" spans="1:7" ht="16" x14ac:dyDescent="0.2">
      <c r="A3" s="38"/>
      <c r="B3" s="39"/>
      <c r="C3" s="4">
        <v>26.609372704771101</v>
      </c>
      <c r="D3" s="35"/>
      <c r="E3" s="37"/>
      <c r="F3" s="35"/>
      <c r="G3" s="35"/>
    </row>
    <row r="4" spans="1:7" ht="16" x14ac:dyDescent="0.2">
      <c r="A4" s="38"/>
      <c r="B4" s="36" t="s">
        <v>9</v>
      </c>
      <c r="C4" s="4">
        <v>27.512221393776301</v>
      </c>
      <c r="D4" s="37">
        <f>AVERAGE(C4:C5)</f>
        <v>27.52104347092315</v>
      </c>
      <c r="E4" s="37"/>
      <c r="F4" s="35">
        <f t="shared" ref="F4" si="0">D4/$E$2</f>
        <v>1.015977950634815</v>
      </c>
      <c r="G4" s="35"/>
    </row>
    <row r="5" spans="1:7" ht="16" x14ac:dyDescent="0.2">
      <c r="A5" s="38"/>
      <c r="B5" s="36"/>
      <c r="C5" s="4">
        <v>27.529865548069999</v>
      </c>
      <c r="D5" s="35"/>
      <c r="E5" s="37"/>
      <c r="F5" s="35"/>
      <c r="G5" s="35"/>
    </row>
    <row r="6" spans="1:7" ht="16" x14ac:dyDescent="0.2">
      <c r="A6" s="38"/>
      <c r="B6" s="36" t="s">
        <v>10</v>
      </c>
      <c r="C6" s="4">
        <v>26.392581748342302</v>
      </c>
      <c r="D6" s="37">
        <f>AVERAGE(C6:C7)</f>
        <v>26.5329735203239</v>
      </c>
      <c r="E6" s="37"/>
      <c r="F6" s="35">
        <f t="shared" ref="F6" si="1">D6/$E$2</f>
        <v>0.97950196146840574</v>
      </c>
      <c r="G6" s="35"/>
    </row>
    <row r="7" spans="1:7" ht="16" x14ac:dyDescent="0.2">
      <c r="A7" s="38"/>
      <c r="B7" s="36"/>
      <c r="C7" s="4">
        <v>26.673365292305501</v>
      </c>
      <c r="D7" s="35"/>
      <c r="E7" s="37"/>
      <c r="F7" s="35"/>
      <c r="G7" s="35"/>
    </row>
    <row r="8" spans="1:7" ht="16" x14ac:dyDescent="0.2">
      <c r="A8" s="38"/>
      <c r="B8" s="36" t="s">
        <v>11</v>
      </c>
      <c r="C8" s="4">
        <v>28.024421653071901</v>
      </c>
      <c r="D8" s="37">
        <f>AVERAGE(C8:C9)</f>
        <v>27.760417378053653</v>
      </c>
      <c r="E8" s="37"/>
      <c r="F8" s="35">
        <f t="shared" ref="F8" si="2">D8/$E$2</f>
        <v>1.0248147744223595</v>
      </c>
      <c r="G8" s="35"/>
    </row>
    <row r="9" spans="1:7" ht="15" customHeight="1" x14ac:dyDescent="0.2">
      <c r="A9" s="38"/>
      <c r="B9" s="36"/>
      <c r="C9" s="4">
        <v>27.496413103035401</v>
      </c>
      <c r="D9" s="35"/>
      <c r="E9" s="37"/>
      <c r="F9" s="35"/>
      <c r="G9" s="35"/>
    </row>
    <row r="10" spans="1:7" ht="15" customHeight="1" x14ac:dyDescent="0.2">
      <c r="A10" s="38" t="s">
        <v>12</v>
      </c>
      <c r="B10" s="36" t="s">
        <v>13</v>
      </c>
      <c r="C10" s="4">
        <v>26.940219056255501</v>
      </c>
      <c r="D10" s="37">
        <f>AVERAGE(C10:C11)</f>
        <v>26.841176676756753</v>
      </c>
      <c r="E10" s="1"/>
      <c r="F10" s="35">
        <f t="shared" ref="F10" si="3">D10/$E$2</f>
        <v>0.99087971360860572</v>
      </c>
      <c r="G10" s="35">
        <f>AVERAGE(F10:F17)</f>
        <v>1.0082130526225159</v>
      </c>
    </row>
    <row r="11" spans="1:7" ht="15" customHeight="1" x14ac:dyDescent="0.2">
      <c r="A11" s="38"/>
      <c r="B11" s="36"/>
      <c r="C11" s="4">
        <v>26.742134297258001</v>
      </c>
      <c r="D11" s="35"/>
      <c r="E11" s="1"/>
      <c r="F11" s="35"/>
      <c r="G11" s="35"/>
    </row>
    <row r="12" spans="1:7" ht="15" customHeight="1" x14ac:dyDescent="0.2">
      <c r="A12" s="38"/>
      <c r="B12" s="36" t="s">
        <v>14</v>
      </c>
      <c r="C12" s="4">
        <v>26.746585696534201</v>
      </c>
      <c r="D12" s="37">
        <f>AVERAGE(C12:C13)</f>
        <v>26.822339665274548</v>
      </c>
      <c r="E12" s="1"/>
      <c r="F12" s="35">
        <f t="shared" ref="F12" si="4">D12/$E$2</f>
        <v>0.99018431888848923</v>
      </c>
      <c r="G12" s="35"/>
    </row>
    <row r="13" spans="1:7" ht="15" customHeight="1" x14ac:dyDescent="0.2">
      <c r="A13" s="38"/>
      <c r="B13" s="36"/>
      <c r="C13" s="4">
        <v>26.898093634014899</v>
      </c>
      <c r="D13" s="35"/>
      <c r="E13" s="1"/>
      <c r="F13" s="35"/>
      <c r="G13" s="35"/>
    </row>
    <row r="14" spans="1:7" ht="15" customHeight="1" x14ac:dyDescent="0.2">
      <c r="A14" s="38"/>
      <c r="B14" s="36" t="s">
        <v>15</v>
      </c>
      <c r="C14" s="4">
        <v>28.821035477710399</v>
      </c>
      <c r="D14" s="37">
        <f>AVERAGE(C14:C15)</f>
        <v>28.821035477710399</v>
      </c>
      <c r="E14" s="1"/>
      <c r="F14" s="35">
        <f t="shared" ref="F14" si="5">D14/$E$2</f>
        <v>1.0639689803460533</v>
      </c>
      <c r="G14" s="35"/>
    </row>
    <row r="15" spans="1:7" ht="15" customHeight="1" x14ac:dyDescent="0.2">
      <c r="A15" s="38"/>
      <c r="B15" s="36"/>
      <c r="C15" s="14"/>
      <c r="D15" s="35"/>
      <c r="E15" s="1"/>
      <c r="F15" s="35"/>
      <c r="G15" s="35"/>
    </row>
    <row r="16" spans="1:7" ht="15" customHeight="1" x14ac:dyDescent="0.2">
      <c r="A16" s="38"/>
      <c r="B16" s="36" t="s">
        <v>16</v>
      </c>
      <c r="C16" s="4">
        <v>26.732036413939898</v>
      </c>
      <c r="D16" s="37">
        <f>AVERAGE(C16:C17)</f>
        <v>26.758272719271751</v>
      </c>
      <c r="E16" s="1"/>
      <c r="F16" s="35">
        <f t="shared" ref="F16" si="6">D16/$E$2</f>
        <v>0.98781919764691561</v>
      </c>
      <c r="G16" s="35"/>
    </row>
    <row r="17" spans="1:7" ht="15" customHeight="1" x14ac:dyDescent="0.2">
      <c r="A17" s="38"/>
      <c r="B17" s="36"/>
      <c r="C17" s="4">
        <v>26.784509024603601</v>
      </c>
      <c r="D17" s="35"/>
      <c r="E17" s="1"/>
      <c r="F17" s="35"/>
      <c r="G17" s="35"/>
    </row>
    <row r="18" spans="1:7" ht="15" customHeight="1" x14ac:dyDescent="0.2">
      <c r="A18" s="38" t="s">
        <v>17</v>
      </c>
      <c r="B18" s="36" t="s">
        <v>18</v>
      </c>
      <c r="C18" s="4">
        <v>29.050051805128401</v>
      </c>
      <c r="D18" s="37">
        <f>AVERAGE(C18:C19)</f>
        <v>29.054093071076103</v>
      </c>
      <c r="E18" s="1"/>
      <c r="F18" s="35">
        <f t="shared" ref="F18" si="7">D18/$E$2</f>
        <v>1.0725726285448482</v>
      </c>
      <c r="G18" s="35">
        <f>AVERAGE(F18:F25)</f>
        <v>0.99483277988397156</v>
      </c>
    </row>
    <row r="19" spans="1:7" ht="15" customHeight="1" x14ac:dyDescent="0.2">
      <c r="A19" s="38"/>
      <c r="B19" s="36"/>
      <c r="C19" s="4">
        <v>29.058134337023802</v>
      </c>
      <c r="D19" s="35"/>
      <c r="E19" s="1"/>
      <c r="F19" s="35"/>
      <c r="G19" s="35"/>
    </row>
    <row r="20" spans="1:7" ht="15" customHeight="1" x14ac:dyDescent="0.2">
      <c r="A20" s="38"/>
      <c r="B20" s="36" t="s">
        <v>19</v>
      </c>
      <c r="C20" s="4">
        <v>26.397077661806801</v>
      </c>
      <c r="D20" s="37">
        <f>AVERAGE(C20:C21)</f>
        <v>26.308546893145351</v>
      </c>
      <c r="E20" s="1"/>
      <c r="F20" s="35">
        <f t="shared" ref="F20" si="8">D20/$E$2</f>
        <v>0.97121693750157667</v>
      </c>
      <c r="G20" s="35"/>
    </row>
    <row r="21" spans="1:7" ht="15" customHeight="1" x14ac:dyDescent="0.2">
      <c r="A21" s="38"/>
      <c r="B21" s="36"/>
      <c r="C21" s="4">
        <v>26.220016124483902</v>
      </c>
      <c r="D21" s="35"/>
      <c r="E21" s="1"/>
      <c r="F21" s="35"/>
      <c r="G21" s="35"/>
    </row>
    <row r="22" spans="1:7" ht="15" customHeight="1" x14ac:dyDescent="0.2">
      <c r="A22" s="38"/>
      <c r="B22" s="36" t="s">
        <v>20</v>
      </c>
      <c r="C22" s="4">
        <v>27.122371524908999</v>
      </c>
      <c r="D22" s="37">
        <f>AVERAGE(C22:C23)</f>
        <v>27.088503130304851</v>
      </c>
      <c r="E22" s="1"/>
      <c r="F22" s="35">
        <f t="shared" ref="F22" si="9">D22/$E$2</f>
        <v>1.0000101168100344</v>
      </c>
      <c r="G22" s="35"/>
    </row>
    <row r="23" spans="1:7" ht="15" customHeight="1" x14ac:dyDescent="0.2">
      <c r="A23" s="38"/>
      <c r="B23" s="36"/>
      <c r="C23" s="4">
        <v>27.054634735700699</v>
      </c>
      <c r="D23" s="35"/>
      <c r="E23" s="1"/>
      <c r="F23" s="35"/>
      <c r="G23" s="35"/>
    </row>
    <row r="24" spans="1:7" ht="15" customHeight="1" x14ac:dyDescent="0.2">
      <c r="A24" s="38"/>
      <c r="B24" s="36" t="s">
        <v>21</v>
      </c>
      <c r="C24" s="4">
        <v>25.262914704938801</v>
      </c>
      <c r="D24" s="37">
        <f>AVERAGE(C24:C25)</f>
        <v>25.341889871903501</v>
      </c>
      <c r="E24" s="1"/>
      <c r="F24" s="35">
        <f t="shared" ref="F24" si="10">D24/$E$2</f>
        <v>0.93553143667942673</v>
      </c>
      <c r="G24" s="35"/>
    </row>
    <row r="25" spans="1:7" ht="15" customHeight="1" x14ac:dyDescent="0.2">
      <c r="A25" s="38"/>
      <c r="B25" s="36"/>
      <c r="C25" s="4">
        <v>25.4208650388682</v>
      </c>
      <c r="D25" s="35"/>
      <c r="E25" s="1"/>
      <c r="F25" s="35"/>
      <c r="G25" s="35"/>
    </row>
    <row r="26" spans="1:7" ht="15" customHeight="1" x14ac:dyDescent="0.2">
      <c r="A26" s="38" t="s">
        <v>22</v>
      </c>
      <c r="B26" s="36" t="s">
        <v>23</v>
      </c>
      <c r="C26" s="4">
        <v>26.586547580166201</v>
      </c>
      <c r="D26" s="37">
        <f>AVERAGE(C26:C27)</f>
        <v>26.627496828606603</v>
      </c>
      <c r="E26" s="1"/>
      <c r="F26" s="35">
        <f t="shared" ref="F26" si="11">D26/$E$2</f>
        <v>0.98299142207471402</v>
      </c>
      <c r="G26" s="35">
        <f>AVERAGE(F26:F33)</f>
        <v>1.0046627843082454</v>
      </c>
    </row>
    <row r="27" spans="1:7" ht="15" customHeight="1" x14ac:dyDescent="0.2">
      <c r="A27" s="38"/>
      <c r="B27" s="36"/>
      <c r="C27" s="4">
        <v>26.668446077047001</v>
      </c>
      <c r="D27" s="35"/>
      <c r="E27" s="1"/>
      <c r="F27" s="35"/>
      <c r="G27" s="35"/>
    </row>
    <row r="28" spans="1:7" ht="15" customHeight="1" x14ac:dyDescent="0.2">
      <c r="A28" s="38"/>
      <c r="B28" s="36" t="s">
        <v>24</v>
      </c>
      <c r="C28" s="14"/>
      <c r="D28" s="37">
        <f>AVERAGE(C28:C29)</f>
        <v>26.723638677336201</v>
      </c>
      <c r="E28" s="1"/>
      <c r="F28" s="35">
        <f t="shared" ref="F28" si="12">D28/$E$2</f>
        <v>0.98654063337354214</v>
      </c>
      <c r="G28" s="35"/>
    </row>
    <row r="29" spans="1:7" ht="15" customHeight="1" x14ac:dyDescent="0.2">
      <c r="A29" s="38"/>
      <c r="B29" s="36"/>
      <c r="C29" s="4">
        <v>26.723638677336201</v>
      </c>
      <c r="D29" s="35"/>
      <c r="E29" s="1"/>
      <c r="F29" s="35"/>
      <c r="G29" s="35"/>
    </row>
    <row r="30" spans="1:7" ht="15" customHeight="1" x14ac:dyDescent="0.2">
      <c r="A30" s="38"/>
      <c r="B30" s="36" t="s">
        <v>25</v>
      </c>
      <c r="C30" s="4">
        <v>26.673066377787499</v>
      </c>
      <c r="D30" s="37">
        <f>AVERAGE(C30:C31)</f>
        <v>26.688493909860199</v>
      </c>
      <c r="E30" s="1"/>
      <c r="F30" s="35">
        <f t="shared" ref="F30" si="13">D30/$E$2</f>
        <v>0.9852432149499446</v>
      </c>
      <c r="G30" s="35"/>
    </row>
    <row r="31" spans="1:7" ht="15" customHeight="1" x14ac:dyDescent="0.2">
      <c r="A31" s="38"/>
      <c r="B31" s="36"/>
      <c r="C31" s="4">
        <v>26.703921441932899</v>
      </c>
      <c r="D31" s="35"/>
      <c r="E31" s="1"/>
      <c r="F31" s="35"/>
      <c r="G31" s="35"/>
    </row>
    <row r="32" spans="1:7" ht="15" customHeight="1" x14ac:dyDescent="0.2">
      <c r="A32" s="38"/>
      <c r="B32" s="36" t="s">
        <v>26</v>
      </c>
      <c r="C32" s="4">
        <v>28.4326990574503</v>
      </c>
      <c r="D32" s="37">
        <f>AVERAGE(C32:C33)</f>
        <v>28.818513197586249</v>
      </c>
      <c r="E32" s="1"/>
      <c r="F32" s="35">
        <f t="shared" ref="F32" si="14">D32/$E$2</f>
        <v>1.0638758668347805</v>
      </c>
      <c r="G32" s="35"/>
    </row>
    <row r="33" spans="1:7" ht="15" customHeight="1" x14ac:dyDescent="0.2">
      <c r="A33" s="38"/>
      <c r="B33" s="36"/>
      <c r="C33" s="4">
        <v>29.204327337722201</v>
      </c>
      <c r="D33" s="35"/>
      <c r="E33" s="1"/>
      <c r="F33" s="35"/>
      <c r="G33" s="35"/>
    </row>
    <row r="34" spans="1:7" ht="15" customHeight="1" x14ac:dyDescent="0.2">
      <c r="A34" s="38" t="s">
        <v>27</v>
      </c>
      <c r="B34" s="36" t="s">
        <v>28</v>
      </c>
      <c r="C34" s="4">
        <v>27.2962549911121</v>
      </c>
      <c r="D34" s="37">
        <f>AVERAGE(C34:C35)</f>
        <v>27.256381139132451</v>
      </c>
      <c r="E34" s="1"/>
      <c r="F34" s="35">
        <f t="shared" ref="F34" si="15">D34/$E$2</f>
        <v>1.0062075691539296</v>
      </c>
      <c r="G34" s="35">
        <f>AVERAGE(F34:F41)</f>
        <v>1.0130648423813033</v>
      </c>
    </row>
    <row r="35" spans="1:7" ht="15" customHeight="1" x14ac:dyDescent="0.2">
      <c r="A35" s="38"/>
      <c r="B35" s="36"/>
      <c r="C35" s="4">
        <v>27.216507287152801</v>
      </c>
      <c r="D35" s="35"/>
      <c r="E35" s="1"/>
      <c r="F35" s="35"/>
      <c r="G35" s="35"/>
    </row>
    <row r="36" spans="1:7" ht="15" customHeight="1" x14ac:dyDescent="0.2">
      <c r="A36" s="38"/>
      <c r="B36" s="36" t="s">
        <v>29</v>
      </c>
      <c r="C36" s="4">
        <v>28.1784144255294</v>
      </c>
      <c r="D36" s="37">
        <f>AVERAGE(C36:C37)</f>
        <v>28.1095804890839</v>
      </c>
      <c r="E36" s="1"/>
      <c r="F36" s="35">
        <f t="shared" ref="F36" si="16">D36/$E$2</f>
        <v>1.0377046207814402</v>
      </c>
      <c r="G36" s="35"/>
    </row>
    <row r="37" spans="1:7" ht="15" customHeight="1" x14ac:dyDescent="0.2">
      <c r="A37" s="38"/>
      <c r="B37" s="36"/>
      <c r="C37" s="4">
        <v>28.040746552638399</v>
      </c>
      <c r="D37" s="35"/>
      <c r="E37" s="1"/>
      <c r="F37" s="35"/>
      <c r="G37" s="35"/>
    </row>
    <row r="38" spans="1:7" ht="15" customHeight="1" x14ac:dyDescent="0.2">
      <c r="A38" s="38"/>
      <c r="B38" s="36" t="s">
        <v>30</v>
      </c>
      <c r="C38" s="4">
        <v>26.526954733341501</v>
      </c>
      <c r="D38" s="37">
        <f>AVERAGE(C38:C39)</f>
        <v>26.488951190966603</v>
      </c>
      <c r="E38" s="1"/>
      <c r="F38" s="35">
        <f t="shared" ref="F38" si="17">D38/$E$2</f>
        <v>0.97787681538665017</v>
      </c>
      <c r="G38" s="35"/>
    </row>
    <row r="39" spans="1:7" ht="15" customHeight="1" x14ac:dyDescent="0.2">
      <c r="A39" s="38"/>
      <c r="B39" s="36"/>
      <c r="C39" s="4">
        <v>26.450947648591701</v>
      </c>
      <c r="D39" s="35"/>
      <c r="E39" s="1"/>
      <c r="F39" s="35"/>
      <c r="G39" s="35"/>
    </row>
    <row r="40" spans="1:7" ht="15" customHeight="1" x14ac:dyDescent="0.2">
      <c r="A40" s="38"/>
      <c r="B40" s="36" t="s">
        <v>31</v>
      </c>
      <c r="C40" s="4">
        <v>27.9754521940426</v>
      </c>
      <c r="D40" s="37">
        <f>AVERAGE(C40:C41)</f>
        <v>27.913617289641099</v>
      </c>
      <c r="E40" s="1"/>
      <c r="F40" s="35">
        <f t="shared" ref="F40" si="18">D40/$E$2</f>
        <v>1.0304703642031936</v>
      </c>
      <c r="G40" s="35"/>
    </row>
    <row r="41" spans="1:7" ht="15" customHeight="1" x14ac:dyDescent="0.2">
      <c r="A41" s="38"/>
      <c r="B41" s="36"/>
      <c r="C41" s="4">
        <v>27.851782385239598</v>
      </c>
      <c r="D41" s="35"/>
      <c r="E41" s="1"/>
      <c r="F41" s="35"/>
      <c r="G41" s="35"/>
    </row>
    <row r="42" spans="1:7" x14ac:dyDescent="0.2">
      <c r="A42" s="40" t="s">
        <v>61</v>
      </c>
      <c r="B42" s="42" t="s">
        <v>57</v>
      </c>
      <c r="C42" s="27">
        <v>29.6552140320726</v>
      </c>
      <c r="D42" s="37">
        <f>AVERAGE(C42:C43)</f>
        <v>29.6391416876086</v>
      </c>
      <c r="E42" s="28"/>
      <c r="F42" s="35">
        <f>SUM(D42/E2)</f>
        <v>1.0941705194487459</v>
      </c>
      <c r="G42" s="35">
        <f>AVERAGE(F42:F49)</f>
        <v>1.0785067639063719</v>
      </c>
    </row>
    <row r="43" spans="1:7" x14ac:dyDescent="0.2">
      <c r="A43" s="41"/>
      <c r="B43" s="42"/>
      <c r="C43" s="27">
        <v>29.6230693431446</v>
      </c>
      <c r="D43" s="35"/>
      <c r="E43" s="28"/>
      <c r="F43" s="35"/>
      <c r="G43" s="35"/>
    </row>
    <row r="44" spans="1:7" x14ac:dyDescent="0.2">
      <c r="A44" s="41"/>
      <c r="B44" s="42" t="s">
        <v>58</v>
      </c>
      <c r="C44" s="27">
        <v>29.126385487353001</v>
      </c>
      <c r="D44" s="37">
        <f>AVERAGE(C44:C45)</f>
        <v>29.345528037562051</v>
      </c>
      <c r="E44" s="28"/>
      <c r="F44" s="35">
        <f>SUM(D44/E2)</f>
        <v>1.0833313594158833</v>
      </c>
      <c r="G44" s="35"/>
    </row>
    <row r="45" spans="1:7" x14ac:dyDescent="0.2">
      <c r="A45" s="41"/>
      <c r="B45" s="42"/>
      <c r="C45" s="27">
        <v>29.564670587771101</v>
      </c>
      <c r="D45" s="35"/>
      <c r="E45" s="28"/>
      <c r="F45" s="35"/>
      <c r="G45" s="35"/>
    </row>
    <row r="46" spans="1:7" x14ac:dyDescent="0.2">
      <c r="A46" s="41"/>
      <c r="B46" s="42" t="s">
        <v>59</v>
      </c>
      <c r="C46" s="27">
        <v>29.469889947503798</v>
      </c>
      <c r="D46" s="37">
        <f>AVERAGE(C46:C47)</f>
        <v>29.467429019344451</v>
      </c>
      <c r="E46" s="28"/>
      <c r="F46" s="35">
        <f>SUM(D46/E2)</f>
        <v>1.0878315052690921</v>
      </c>
      <c r="G46" s="35"/>
    </row>
    <row r="47" spans="1:7" x14ac:dyDescent="0.2">
      <c r="A47" s="41"/>
      <c r="B47" s="42"/>
      <c r="C47" s="27">
        <v>29.464968091185099</v>
      </c>
      <c r="D47" s="35"/>
      <c r="E47" s="28"/>
      <c r="F47" s="35"/>
      <c r="G47" s="35"/>
    </row>
    <row r="48" spans="1:7" x14ac:dyDescent="0.2">
      <c r="A48" s="41"/>
      <c r="B48" s="42" t="s">
        <v>60</v>
      </c>
      <c r="C48" s="27">
        <v>28.400126957131601</v>
      </c>
      <c r="D48" s="37">
        <f>AVERAGE(C48:C49)</f>
        <v>28.4072544121391</v>
      </c>
      <c r="E48" s="28"/>
      <c r="F48" s="35">
        <f>SUM(D48/E2)</f>
        <v>1.0486936714917658</v>
      </c>
      <c r="G48" s="35"/>
    </row>
    <row r="49" spans="1:7" x14ac:dyDescent="0.2">
      <c r="A49" s="41"/>
      <c r="B49" s="42"/>
      <c r="C49" s="27">
        <v>28.414381867146599</v>
      </c>
      <c r="D49" s="35"/>
      <c r="E49" s="28"/>
      <c r="F49" s="35"/>
      <c r="G49" s="35"/>
    </row>
  </sheetData>
  <mergeCells count="85">
    <mergeCell ref="G42:G49"/>
    <mergeCell ref="D42:D43"/>
    <mergeCell ref="D44:D45"/>
    <mergeCell ref="D46:D47"/>
    <mergeCell ref="D48:D49"/>
    <mergeCell ref="F42:F43"/>
    <mergeCell ref="F44:F45"/>
    <mergeCell ref="F46:F47"/>
    <mergeCell ref="F48:F49"/>
    <mergeCell ref="A42:A49"/>
    <mergeCell ref="B42:B43"/>
    <mergeCell ref="B44:B45"/>
    <mergeCell ref="B46:B47"/>
    <mergeCell ref="B48:B49"/>
    <mergeCell ref="G2:G9"/>
    <mergeCell ref="B4:B5"/>
    <mergeCell ref="D4:D5"/>
    <mergeCell ref="F4:F5"/>
    <mergeCell ref="B6:B7"/>
    <mergeCell ref="E2:E9"/>
    <mergeCell ref="D6:D7"/>
    <mergeCell ref="F6:F7"/>
    <mergeCell ref="B8:B9"/>
    <mergeCell ref="D8:D9"/>
    <mergeCell ref="F8:F9"/>
    <mergeCell ref="B26:B27"/>
    <mergeCell ref="A2:A9"/>
    <mergeCell ref="B2:B3"/>
    <mergeCell ref="D2:D3"/>
    <mergeCell ref="F2:F3"/>
    <mergeCell ref="G34:G41"/>
    <mergeCell ref="B28:B29"/>
    <mergeCell ref="D28:D29"/>
    <mergeCell ref="F28:F29"/>
    <mergeCell ref="D32:D33"/>
    <mergeCell ref="F32:F33"/>
    <mergeCell ref="G26:G33"/>
    <mergeCell ref="B40:B41"/>
    <mergeCell ref="D40:D41"/>
    <mergeCell ref="F40:F41"/>
    <mergeCell ref="F34:F35"/>
    <mergeCell ref="B36:B37"/>
    <mergeCell ref="D36:D37"/>
    <mergeCell ref="F36:F37"/>
    <mergeCell ref="B38:B39"/>
    <mergeCell ref="D38:D39"/>
    <mergeCell ref="G10:G17"/>
    <mergeCell ref="A18:A25"/>
    <mergeCell ref="B20:B21"/>
    <mergeCell ref="D20:D21"/>
    <mergeCell ref="F20:F21"/>
    <mergeCell ref="B18:B19"/>
    <mergeCell ref="B22:B23"/>
    <mergeCell ref="D22:D23"/>
    <mergeCell ref="B12:B13"/>
    <mergeCell ref="D12:D13"/>
    <mergeCell ref="F12:F13"/>
    <mergeCell ref="B14:B15"/>
    <mergeCell ref="D14:D15"/>
    <mergeCell ref="F14:F15"/>
    <mergeCell ref="B16:B17"/>
    <mergeCell ref="D16:D17"/>
    <mergeCell ref="G18:G25"/>
    <mergeCell ref="F22:F23"/>
    <mergeCell ref="B24:B25"/>
    <mergeCell ref="D24:D25"/>
    <mergeCell ref="F24:F25"/>
    <mergeCell ref="D18:D19"/>
    <mergeCell ref="F18:F19"/>
    <mergeCell ref="F38:F39"/>
    <mergeCell ref="B34:B35"/>
    <mergeCell ref="D34:D35"/>
    <mergeCell ref="A10:A17"/>
    <mergeCell ref="B10:B11"/>
    <mergeCell ref="D10:D11"/>
    <mergeCell ref="F10:F11"/>
    <mergeCell ref="D26:D27"/>
    <mergeCell ref="A34:A41"/>
    <mergeCell ref="A26:A33"/>
    <mergeCell ref="B32:B33"/>
    <mergeCell ref="F30:F31"/>
    <mergeCell ref="F16:F17"/>
    <mergeCell ref="B30:B31"/>
    <mergeCell ref="D30:D31"/>
    <mergeCell ref="F26:F27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99B4-BD17-424A-8FBB-D9BACF2BC52F}">
  <sheetPr>
    <tabColor rgb="FFFFC000"/>
  </sheetPr>
  <dimension ref="A1:G41"/>
  <sheetViews>
    <sheetView topLeftCell="A10" workbookViewId="0">
      <selection activeCell="F2" sqref="F2:F41"/>
    </sheetView>
  </sheetViews>
  <sheetFormatPr baseColWidth="10" defaultColWidth="8.83203125" defaultRowHeight="15" x14ac:dyDescent="0.2"/>
  <cols>
    <col min="1" max="1" width="11" bestFit="1" customWidth="1"/>
    <col min="2" max="2" width="7.6640625" style="7" bestFit="1" customWidth="1"/>
    <col min="3" max="3" width="14.83203125" style="5" customWidth="1"/>
    <col min="4" max="4" width="12" bestFit="1" customWidth="1"/>
    <col min="5" max="5" width="12.83203125" bestFit="1" customWidth="1"/>
    <col min="6" max="6" width="20.6640625" bestFit="1" customWidth="1"/>
    <col min="7" max="7" width="16.6640625" bestFit="1" customWidth="1"/>
  </cols>
  <sheetData>
    <row r="1" spans="1:7" ht="16" x14ac:dyDescent="0.2">
      <c r="A1" s="2" t="s">
        <v>1</v>
      </c>
      <c r="B1" s="6" t="s">
        <v>2</v>
      </c>
      <c r="C1" s="3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x14ac:dyDescent="0.2">
      <c r="A2" s="38" t="s">
        <v>8</v>
      </c>
      <c r="B2" s="39">
        <v>1</v>
      </c>
      <c r="C2" s="10">
        <v>11.08</v>
      </c>
      <c r="D2" s="37">
        <f>AVERAGE(C2:C3)</f>
        <v>11.135</v>
      </c>
      <c r="E2" s="37">
        <f>AVERAGE(D2:D9)</f>
        <v>10.16375</v>
      </c>
      <c r="F2" s="35">
        <f>D2/$E$2</f>
        <v>1.0955602016972081</v>
      </c>
      <c r="G2" s="35">
        <f>AVERAGE(F2:F9)</f>
        <v>0.99999999999999989</v>
      </c>
    </row>
    <row r="3" spans="1:7" x14ac:dyDescent="0.2">
      <c r="A3" s="38"/>
      <c r="B3" s="39"/>
      <c r="C3" s="10">
        <v>11.19</v>
      </c>
      <c r="D3" s="35"/>
      <c r="E3" s="37"/>
      <c r="F3" s="35"/>
      <c r="G3" s="35"/>
    </row>
    <row r="4" spans="1:7" x14ac:dyDescent="0.2">
      <c r="A4" s="38"/>
      <c r="B4" s="36" t="s">
        <v>9</v>
      </c>
      <c r="C4" s="10">
        <v>10.74</v>
      </c>
      <c r="D4" s="37">
        <f>AVERAGE(C4:C5)</f>
        <v>10.705</v>
      </c>
      <c r="E4" s="37"/>
      <c r="F4" s="35">
        <f t="shared" ref="F4" si="0">D4/$E$2</f>
        <v>1.0532529824129873</v>
      </c>
      <c r="G4" s="35"/>
    </row>
    <row r="5" spans="1:7" x14ac:dyDescent="0.2">
      <c r="A5" s="38"/>
      <c r="B5" s="36"/>
      <c r="C5" s="10">
        <v>10.67</v>
      </c>
      <c r="D5" s="35"/>
      <c r="E5" s="37"/>
      <c r="F5" s="35"/>
      <c r="G5" s="35"/>
    </row>
    <row r="6" spans="1:7" x14ac:dyDescent="0.2">
      <c r="A6" s="38"/>
      <c r="B6" s="36" t="s">
        <v>10</v>
      </c>
      <c r="C6" s="10">
        <v>9.52</v>
      </c>
      <c r="D6" s="37">
        <f>AVERAGE(C6:C7)</f>
        <v>9.5350000000000001</v>
      </c>
      <c r="E6" s="37"/>
      <c r="F6" s="35">
        <f t="shared" ref="F6" si="1">D6/$E$2</f>
        <v>0.93813799040708401</v>
      </c>
      <c r="G6" s="35"/>
    </row>
    <row r="7" spans="1:7" x14ac:dyDescent="0.2">
      <c r="A7" s="38"/>
      <c r="B7" s="36"/>
      <c r="C7" s="10">
        <v>9.5500000000000007</v>
      </c>
      <c r="D7" s="35"/>
      <c r="E7" s="37"/>
      <c r="F7" s="35"/>
      <c r="G7" s="35"/>
    </row>
    <row r="8" spans="1:7" x14ac:dyDescent="0.2">
      <c r="A8" s="38"/>
      <c r="B8" s="36" t="s">
        <v>11</v>
      </c>
      <c r="C8" s="10">
        <v>9.27</v>
      </c>
      <c r="D8" s="37">
        <f>AVERAGE(C8:C9)</f>
        <v>9.2799999999999994</v>
      </c>
      <c r="E8" s="37"/>
      <c r="F8" s="35">
        <f t="shared" ref="F8" si="2">D8/$E$2</f>
        <v>0.91304882548272037</v>
      </c>
      <c r="G8" s="35"/>
    </row>
    <row r="9" spans="1:7" ht="15" customHeight="1" x14ac:dyDescent="0.2">
      <c r="A9" s="38"/>
      <c r="B9" s="36"/>
      <c r="C9" s="10">
        <v>9.2899999999999991</v>
      </c>
      <c r="D9" s="35"/>
      <c r="E9" s="37"/>
      <c r="F9" s="35"/>
      <c r="G9" s="35"/>
    </row>
    <row r="10" spans="1:7" ht="15" customHeight="1" x14ac:dyDescent="0.2">
      <c r="A10" s="38" t="s">
        <v>12</v>
      </c>
      <c r="B10" s="36" t="s">
        <v>13</v>
      </c>
      <c r="C10" s="10">
        <v>10.81</v>
      </c>
      <c r="D10" s="37">
        <f>AVERAGE(C10:C11)</f>
        <v>10.95</v>
      </c>
      <c r="E10" s="1"/>
      <c r="F10" s="35">
        <f t="shared" ref="F10" si="3">D10/$E$2</f>
        <v>1.0773582585167876</v>
      </c>
      <c r="G10" s="35">
        <f>AVERAGE(F10:F17)</f>
        <v>1.1172057557496005</v>
      </c>
    </row>
    <row r="11" spans="1:7" ht="15" customHeight="1" x14ac:dyDescent="0.2">
      <c r="A11" s="38"/>
      <c r="B11" s="36"/>
      <c r="C11" s="10">
        <v>11.09</v>
      </c>
      <c r="D11" s="35"/>
      <c r="E11" s="1"/>
      <c r="F11" s="35"/>
      <c r="G11" s="35"/>
    </row>
    <row r="12" spans="1:7" ht="15" customHeight="1" x14ac:dyDescent="0.2">
      <c r="A12" s="38"/>
      <c r="B12" s="36" t="s">
        <v>14</v>
      </c>
      <c r="C12" s="10">
        <v>12.03</v>
      </c>
      <c r="D12" s="37">
        <f>AVERAGE(C12:C13)</f>
        <v>12.05</v>
      </c>
      <c r="E12" s="1"/>
      <c r="F12" s="35">
        <f t="shared" ref="F12" si="4">D12/$E$2</f>
        <v>1.1855860287787481</v>
      </c>
      <c r="G12" s="35"/>
    </row>
    <row r="13" spans="1:7" ht="15" customHeight="1" x14ac:dyDescent="0.2">
      <c r="A13" s="38"/>
      <c r="B13" s="36"/>
      <c r="C13" s="10">
        <v>12.07</v>
      </c>
      <c r="D13" s="35"/>
      <c r="E13" s="1"/>
      <c r="F13" s="35"/>
      <c r="G13" s="35"/>
    </row>
    <row r="14" spans="1:7" ht="15" customHeight="1" x14ac:dyDescent="0.2">
      <c r="A14" s="38"/>
      <c r="B14" s="36" t="s">
        <v>15</v>
      </c>
      <c r="C14" s="10">
        <v>11.32</v>
      </c>
      <c r="D14" s="37">
        <f>AVERAGE(C14:C15)</f>
        <v>11.21</v>
      </c>
      <c r="E14" s="1"/>
      <c r="F14" s="35">
        <f t="shared" ref="F14" si="5">D14/$E$2</f>
        <v>1.1029393678514328</v>
      </c>
      <c r="G14" s="35"/>
    </row>
    <row r="15" spans="1:7" ht="15" customHeight="1" x14ac:dyDescent="0.2">
      <c r="A15" s="38"/>
      <c r="B15" s="36"/>
      <c r="C15" s="10">
        <v>11.1</v>
      </c>
      <c r="D15" s="35"/>
      <c r="E15" s="1"/>
      <c r="F15" s="35"/>
      <c r="G15" s="35"/>
    </row>
    <row r="16" spans="1:7" ht="15" customHeight="1" x14ac:dyDescent="0.2">
      <c r="A16" s="38"/>
      <c r="B16" s="36" t="s">
        <v>16</v>
      </c>
      <c r="C16" s="10">
        <v>11.13</v>
      </c>
      <c r="D16" s="37">
        <f>AVERAGE(C16:C17)</f>
        <v>11.21</v>
      </c>
      <c r="E16" s="1"/>
      <c r="F16" s="35">
        <f t="shared" ref="F16" si="6">D16/$E$2</f>
        <v>1.1029393678514328</v>
      </c>
      <c r="G16" s="35"/>
    </row>
    <row r="17" spans="1:7" ht="15" customHeight="1" x14ac:dyDescent="0.2">
      <c r="A17" s="38"/>
      <c r="B17" s="36"/>
      <c r="C17" s="10">
        <v>11.29</v>
      </c>
      <c r="D17" s="35"/>
      <c r="E17" s="1"/>
      <c r="F17" s="35"/>
      <c r="G17" s="35"/>
    </row>
    <row r="18" spans="1:7" ht="15" customHeight="1" x14ac:dyDescent="0.2">
      <c r="A18" s="38" t="s">
        <v>17</v>
      </c>
      <c r="B18" s="36" t="s">
        <v>18</v>
      </c>
      <c r="C18" s="10">
        <v>12.35</v>
      </c>
      <c r="D18" s="37">
        <f>AVERAGE(C18:C19)</f>
        <v>12.695</v>
      </c>
      <c r="E18" s="1"/>
      <c r="F18" s="35">
        <f t="shared" ref="F18" si="7">D18/$E$2</f>
        <v>1.2490468577050793</v>
      </c>
      <c r="G18" s="35">
        <f>AVERAGE(F18:F25)</f>
        <v>1.1526257532898783</v>
      </c>
    </row>
    <row r="19" spans="1:7" ht="15" customHeight="1" x14ac:dyDescent="0.2">
      <c r="A19" s="38"/>
      <c r="B19" s="36"/>
      <c r="C19" s="10">
        <v>13.04</v>
      </c>
      <c r="D19" s="35"/>
      <c r="E19" s="1"/>
      <c r="F19" s="35"/>
      <c r="G19" s="35"/>
    </row>
    <row r="20" spans="1:7" ht="15" customHeight="1" x14ac:dyDescent="0.2">
      <c r="A20" s="38"/>
      <c r="B20" s="36" t="s">
        <v>19</v>
      </c>
      <c r="C20" s="10">
        <v>11.48</v>
      </c>
      <c r="D20" s="37">
        <f>AVERAGE(C20:C21)</f>
        <v>11.664999999999999</v>
      </c>
      <c r="E20" s="1"/>
      <c r="F20" s="35">
        <f t="shared" ref="F20" si="8">D20/$E$2</f>
        <v>1.1477063091870618</v>
      </c>
      <c r="G20" s="35"/>
    </row>
    <row r="21" spans="1:7" ht="15" customHeight="1" x14ac:dyDescent="0.2">
      <c r="A21" s="38"/>
      <c r="B21" s="36"/>
      <c r="C21" s="10">
        <v>11.85</v>
      </c>
      <c r="D21" s="35"/>
      <c r="E21" s="1"/>
      <c r="F21" s="35"/>
      <c r="G21" s="35"/>
    </row>
    <row r="22" spans="1:7" ht="15" customHeight="1" x14ac:dyDescent="0.2">
      <c r="A22" s="38"/>
      <c r="B22" s="36" t="s">
        <v>20</v>
      </c>
      <c r="C22" s="10">
        <v>11.36</v>
      </c>
      <c r="D22" s="37">
        <f>AVERAGE(C22:C23)</f>
        <v>11.239999999999998</v>
      </c>
      <c r="E22" s="1"/>
      <c r="F22" s="35">
        <f>D22/$E$2</f>
        <v>1.1058910343131225</v>
      </c>
      <c r="G22" s="35"/>
    </row>
    <row r="23" spans="1:7" ht="15" customHeight="1" x14ac:dyDescent="0.2">
      <c r="A23" s="38"/>
      <c r="B23" s="36"/>
      <c r="C23" s="10">
        <v>11.12</v>
      </c>
      <c r="D23" s="35"/>
      <c r="E23" s="1"/>
      <c r="F23" s="35"/>
      <c r="G23" s="35"/>
    </row>
    <row r="24" spans="1:7" ht="15" customHeight="1" x14ac:dyDescent="0.2">
      <c r="A24" s="38"/>
      <c r="B24" s="36" t="s">
        <v>21</v>
      </c>
      <c r="C24" s="10">
        <v>12.2</v>
      </c>
      <c r="D24" s="37">
        <f>AVERAGE(C24:C25)</f>
        <v>11.26</v>
      </c>
      <c r="E24" s="1"/>
      <c r="F24" s="35">
        <f t="shared" ref="F24" si="9">D24/$E$2</f>
        <v>1.1078588119542492</v>
      </c>
      <c r="G24" s="35"/>
    </row>
    <row r="25" spans="1:7" ht="15" customHeight="1" x14ac:dyDescent="0.2">
      <c r="A25" s="38"/>
      <c r="B25" s="36"/>
      <c r="C25" s="10">
        <v>10.32</v>
      </c>
      <c r="D25" s="35"/>
      <c r="E25" s="1"/>
      <c r="F25" s="35"/>
      <c r="G25" s="35"/>
    </row>
    <row r="26" spans="1:7" ht="15" customHeight="1" x14ac:dyDescent="0.2">
      <c r="A26" s="38" t="s">
        <v>22</v>
      </c>
      <c r="B26" s="36" t="s">
        <v>23</v>
      </c>
      <c r="C26" s="10">
        <v>11.14</v>
      </c>
      <c r="D26" s="37">
        <f>AVERAGE(C26:C27)</f>
        <v>11.45</v>
      </c>
      <c r="E26" s="1"/>
      <c r="F26" s="35">
        <f t="shared" ref="F26" si="10">D26/$E$2</f>
        <v>1.1265526995449513</v>
      </c>
      <c r="G26" s="35">
        <f>AVERAGE(F26:F33)</f>
        <v>1.1491821424179069</v>
      </c>
    </row>
    <row r="27" spans="1:7" ht="15" customHeight="1" x14ac:dyDescent="0.2">
      <c r="A27" s="38"/>
      <c r="B27" s="36"/>
      <c r="C27" s="10">
        <v>11.76</v>
      </c>
      <c r="D27" s="35"/>
      <c r="E27" s="1"/>
      <c r="F27" s="35"/>
      <c r="G27" s="35"/>
    </row>
    <row r="28" spans="1:7" ht="15" customHeight="1" x14ac:dyDescent="0.2">
      <c r="A28" s="38"/>
      <c r="B28" s="36" t="s">
        <v>24</v>
      </c>
      <c r="C28" s="10">
        <v>11.9</v>
      </c>
      <c r="D28" s="37">
        <f>AVERAGE(C28:C29)</f>
        <v>11.870000000000001</v>
      </c>
      <c r="E28" s="1"/>
      <c r="F28" s="35">
        <f t="shared" ref="F28" si="11">D28/$E$2</f>
        <v>1.1678760300086091</v>
      </c>
      <c r="G28" s="35"/>
    </row>
    <row r="29" spans="1:7" ht="15" customHeight="1" x14ac:dyDescent="0.2">
      <c r="A29" s="38"/>
      <c r="B29" s="36"/>
      <c r="C29" s="10">
        <v>11.84</v>
      </c>
      <c r="D29" s="35"/>
      <c r="E29" s="1"/>
      <c r="F29" s="35"/>
      <c r="G29" s="35"/>
    </row>
    <row r="30" spans="1:7" ht="15" customHeight="1" x14ac:dyDescent="0.2">
      <c r="A30" s="38"/>
      <c r="B30" s="36" t="s">
        <v>25</v>
      </c>
      <c r="C30" s="10">
        <v>12.04</v>
      </c>
      <c r="D30" s="37">
        <f>AVERAGE(C30:C31)</f>
        <v>11.654999999999999</v>
      </c>
      <c r="E30" s="1"/>
      <c r="F30" s="35">
        <f t="shared" ref="F30" si="12">D30/$E$2</f>
        <v>1.1467224203664985</v>
      </c>
      <c r="G30" s="35"/>
    </row>
    <row r="31" spans="1:7" ht="15" customHeight="1" x14ac:dyDescent="0.2">
      <c r="A31" s="38"/>
      <c r="B31" s="36"/>
      <c r="C31" s="10">
        <v>11.27</v>
      </c>
      <c r="D31" s="35"/>
      <c r="E31" s="1"/>
      <c r="F31" s="35"/>
      <c r="G31" s="35"/>
    </row>
    <row r="32" spans="1:7" ht="15" customHeight="1" x14ac:dyDescent="0.2">
      <c r="A32" s="38"/>
      <c r="B32" s="36" t="s">
        <v>26</v>
      </c>
      <c r="C32" s="10">
        <v>12.46</v>
      </c>
      <c r="D32" s="37">
        <f>AVERAGE(C32:C33)</f>
        <v>11.745000000000001</v>
      </c>
      <c r="E32" s="1"/>
      <c r="F32" s="35">
        <f t="shared" ref="F32" si="13">D32/$E$2</f>
        <v>1.1555774197515682</v>
      </c>
      <c r="G32" s="35"/>
    </row>
    <row r="33" spans="1:7" ht="15" customHeight="1" x14ac:dyDescent="0.2">
      <c r="A33" s="38"/>
      <c r="B33" s="36"/>
      <c r="C33" s="10">
        <v>11.03</v>
      </c>
      <c r="D33" s="35"/>
      <c r="E33" s="1"/>
      <c r="F33" s="35"/>
      <c r="G33" s="35"/>
    </row>
    <row r="34" spans="1:7" ht="15" customHeight="1" x14ac:dyDescent="0.2">
      <c r="A34" s="38" t="s">
        <v>27</v>
      </c>
      <c r="B34" s="36" t="s">
        <v>28</v>
      </c>
      <c r="C34" s="10">
        <v>10.039999999999999</v>
      </c>
      <c r="D34" s="37">
        <f>AVERAGE(C34:C35)</f>
        <v>10</v>
      </c>
      <c r="E34" s="1"/>
      <c r="F34" s="35">
        <f t="shared" ref="F34" si="14">D34/$E$2</f>
        <v>0.98388882056327631</v>
      </c>
      <c r="G34" s="35">
        <f>AVERAGE(F34:F41)</f>
        <v>1.1334399212888944</v>
      </c>
    </row>
    <row r="35" spans="1:7" ht="15" customHeight="1" x14ac:dyDescent="0.2">
      <c r="A35" s="38"/>
      <c r="B35" s="36"/>
      <c r="C35" s="10">
        <v>9.9600000000000009</v>
      </c>
      <c r="D35" s="35"/>
      <c r="E35" s="1"/>
      <c r="F35" s="35"/>
      <c r="G35" s="35"/>
    </row>
    <row r="36" spans="1:7" ht="15" customHeight="1" x14ac:dyDescent="0.2">
      <c r="A36" s="38"/>
      <c r="B36" s="36" t="s">
        <v>29</v>
      </c>
      <c r="C36" s="10">
        <v>12.02</v>
      </c>
      <c r="D36" s="37">
        <f>AVERAGE(C36:C37)</f>
        <v>11.969999999999999</v>
      </c>
      <c r="E36" s="1"/>
      <c r="F36" s="35">
        <f t="shared" ref="F36" si="15">D36/$E$2</f>
        <v>1.1777149182142417</v>
      </c>
      <c r="G36" s="35"/>
    </row>
    <row r="37" spans="1:7" ht="15" customHeight="1" x14ac:dyDescent="0.2">
      <c r="A37" s="38"/>
      <c r="B37" s="36"/>
      <c r="C37" s="10">
        <v>11.92</v>
      </c>
      <c r="D37" s="35"/>
      <c r="E37" s="1"/>
      <c r="F37" s="35"/>
      <c r="G37" s="35"/>
    </row>
    <row r="38" spans="1:7" ht="15" customHeight="1" x14ac:dyDescent="0.2">
      <c r="A38" s="38"/>
      <c r="B38" s="36" t="s">
        <v>30</v>
      </c>
      <c r="C38" s="10">
        <v>11.22</v>
      </c>
      <c r="D38" s="37">
        <f>AVERAGE(C38:C39)</f>
        <v>11.57</v>
      </c>
      <c r="E38" s="1"/>
      <c r="F38" s="35">
        <f t="shared" ref="F38" si="16">D38/$E$2</f>
        <v>1.1383593653917108</v>
      </c>
      <c r="G38" s="35"/>
    </row>
    <row r="39" spans="1:7" ht="15" customHeight="1" x14ac:dyDescent="0.2">
      <c r="A39" s="38"/>
      <c r="B39" s="36"/>
      <c r="C39" s="10">
        <v>11.92</v>
      </c>
      <c r="D39" s="35"/>
      <c r="E39" s="1"/>
      <c r="F39" s="35"/>
      <c r="G39" s="35"/>
    </row>
    <row r="40" spans="1:7" ht="15" customHeight="1" x14ac:dyDescent="0.2">
      <c r="A40" s="38"/>
      <c r="B40" s="36" t="s">
        <v>31</v>
      </c>
      <c r="C40" s="10">
        <v>12.54</v>
      </c>
      <c r="D40" s="37">
        <f>AVERAGE(C40:C41)</f>
        <v>12.54</v>
      </c>
      <c r="E40" s="1"/>
      <c r="F40" s="35">
        <f t="shared" ref="F40" si="17">D40/$E$2</f>
        <v>1.2337965809863485</v>
      </c>
      <c r="G40" s="35"/>
    </row>
    <row r="41" spans="1:7" ht="15" customHeight="1" x14ac:dyDescent="0.2">
      <c r="A41" s="38"/>
      <c r="B41" s="36"/>
      <c r="C41" s="13"/>
      <c r="D41" s="35"/>
      <c r="E41" s="1"/>
      <c r="F41" s="35"/>
      <c r="G41" s="35"/>
    </row>
  </sheetData>
  <mergeCells count="71">
    <mergeCell ref="A34:A41"/>
    <mergeCell ref="B34:B35"/>
    <mergeCell ref="D34:D35"/>
    <mergeCell ref="F34:F35"/>
    <mergeCell ref="G34:G41"/>
    <mergeCell ref="B36:B37"/>
    <mergeCell ref="D36:D37"/>
    <mergeCell ref="F36:F37"/>
    <mergeCell ref="B38:B39"/>
    <mergeCell ref="D38:D39"/>
    <mergeCell ref="F38:F39"/>
    <mergeCell ref="B40:B41"/>
    <mergeCell ref="D40:D41"/>
    <mergeCell ref="F40:F41"/>
    <mergeCell ref="G26:G33"/>
    <mergeCell ref="B28:B29"/>
    <mergeCell ref="D28:D29"/>
    <mergeCell ref="F28:F29"/>
    <mergeCell ref="B30:B31"/>
    <mergeCell ref="D30:D31"/>
    <mergeCell ref="F30:F31"/>
    <mergeCell ref="B32:B33"/>
    <mergeCell ref="D32:D33"/>
    <mergeCell ref="F32:F33"/>
    <mergeCell ref="A26:A33"/>
    <mergeCell ref="B26:B27"/>
    <mergeCell ref="D26:D27"/>
    <mergeCell ref="F26:F27"/>
    <mergeCell ref="A18:A25"/>
    <mergeCell ref="B18:B19"/>
    <mergeCell ref="D18:D19"/>
    <mergeCell ref="F18:F19"/>
    <mergeCell ref="G18:G25"/>
    <mergeCell ref="B20:B21"/>
    <mergeCell ref="D20:D21"/>
    <mergeCell ref="F20:F21"/>
    <mergeCell ref="B22:B23"/>
    <mergeCell ref="D22:D23"/>
    <mergeCell ref="F22:F23"/>
    <mergeCell ref="B24:B25"/>
    <mergeCell ref="D24:D25"/>
    <mergeCell ref="F24:F25"/>
    <mergeCell ref="G10:G17"/>
    <mergeCell ref="B12:B13"/>
    <mergeCell ref="D12:D13"/>
    <mergeCell ref="F12:F13"/>
    <mergeCell ref="B14:B15"/>
    <mergeCell ref="D14:D15"/>
    <mergeCell ref="F14:F15"/>
    <mergeCell ref="B16:B17"/>
    <mergeCell ref="D16:D17"/>
    <mergeCell ref="F16:F17"/>
    <mergeCell ref="A10:A17"/>
    <mergeCell ref="B10:B11"/>
    <mergeCell ref="D10:D11"/>
    <mergeCell ref="F10:F11"/>
    <mergeCell ref="A2:A9"/>
    <mergeCell ref="B2:B3"/>
    <mergeCell ref="D2:D3"/>
    <mergeCell ref="E2:E9"/>
    <mergeCell ref="F2:F3"/>
    <mergeCell ref="D6:D7"/>
    <mergeCell ref="F6:F7"/>
    <mergeCell ref="B8:B9"/>
    <mergeCell ref="D8:D9"/>
    <mergeCell ref="F8:F9"/>
    <mergeCell ref="G2:G9"/>
    <mergeCell ref="B4:B5"/>
    <mergeCell ref="D4:D5"/>
    <mergeCell ref="F4:F5"/>
    <mergeCell ref="B6:B7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CFDF0-B651-4544-8806-7CFD7770A13F}">
  <sheetPr>
    <tabColor rgb="FFFFC000"/>
  </sheetPr>
  <dimension ref="A1:G49"/>
  <sheetViews>
    <sheetView topLeftCell="A11" workbookViewId="0">
      <selection activeCell="D42" sqref="D42:D49"/>
    </sheetView>
  </sheetViews>
  <sheetFormatPr baseColWidth="10" defaultColWidth="8.83203125" defaultRowHeight="15" x14ac:dyDescent="0.2"/>
  <cols>
    <col min="1" max="1" width="11" bestFit="1" customWidth="1"/>
    <col min="2" max="2" width="7.6640625" style="7" bestFit="1" customWidth="1"/>
    <col min="3" max="3" width="14.83203125" style="5" customWidth="1"/>
    <col min="4" max="4" width="12" bestFit="1" customWidth="1"/>
    <col min="5" max="5" width="12.83203125" bestFit="1" customWidth="1"/>
    <col min="6" max="6" width="20.6640625" bestFit="1" customWidth="1"/>
    <col min="7" max="7" width="16.6640625" bestFit="1" customWidth="1"/>
  </cols>
  <sheetData>
    <row r="1" spans="1:7" ht="16" x14ac:dyDescent="0.2">
      <c r="A1" s="2" t="s">
        <v>1</v>
      </c>
      <c r="B1" s="6" t="s">
        <v>2</v>
      </c>
      <c r="C1" s="3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x14ac:dyDescent="0.2">
      <c r="A2" s="38" t="s">
        <v>8</v>
      </c>
      <c r="B2" s="39">
        <v>1</v>
      </c>
      <c r="C2" s="10">
        <v>21.69</v>
      </c>
      <c r="D2" s="37">
        <f>AVERAGE(C2:C3)</f>
        <v>21.64</v>
      </c>
      <c r="E2" s="37">
        <f>AVERAGE(D2:D9)</f>
        <v>21.318749999999998</v>
      </c>
      <c r="F2" s="35">
        <f>D2/$E$2</f>
        <v>1.0150688947522721</v>
      </c>
      <c r="G2" s="35">
        <f>AVERAGE(F2:F9)</f>
        <v>1</v>
      </c>
    </row>
    <row r="3" spans="1:7" x14ac:dyDescent="0.2">
      <c r="A3" s="38"/>
      <c r="B3" s="39"/>
      <c r="C3" s="10">
        <v>21.59</v>
      </c>
      <c r="D3" s="35"/>
      <c r="E3" s="37"/>
      <c r="F3" s="35"/>
      <c r="G3" s="35"/>
    </row>
    <row r="4" spans="1:7" x14ac:dyDescent="0.2">
      <c r="A4" s="38"/>
      <c r="B4" s="36" t="s">
        <v>9</v>
      </c>
      <c r="C4" s="10">
        <v>20.49</v>
      </c>
      <c r="D4" s="37">
        <f>AVERAGE(C4:C5)</f>
        <v>21.03</v>
      </c>
      <c r="E4" s="37"/>
      <c r="F4" s="35">
        <f t="shared" ref="F4" si="0">D4/$E$2</f>
        <v>0.98645558487247154</v>
      </c>
      <c r="G4" s="35"/>
    </row>
    <row r="5" spans="1:7" x14ac:dyDescent="0.2">
      <c r="A5" s="38"/>
      <c r="B5" s="36"/>
      <c r="C5" s="10">
        <v>21.57</v>
      </c>
      <c r="D5" s="35"/>
      <c r="E5" s="37"/>
      <c r="F5" s="35"/>
      <c r="G5" s="35"/>
    </row>
    <row r="6" spans="1:7" x14ac:dyDescent="0.2">
      <c r="A6" s="38"/>
      <c r="B6" s="36" t="s">
        <v>10</v>
      </c>
      <c r="C6" s="10">
        <v>21.95</v>
      </c>
      <c r="D6" s="37">
        <f>AVERAGE(C6:C7)</f>
        <v>21.65</v>
      </c>
      <c r="E6" s="37"/>
      <c r="F6" s="35">
        <f t="shared" ref="F6" si="1">D6/$E$2</f>
        <v>1.0155379654060392</v>
      </c>
      <c r="G6" s="35"/>
    </row>
    <row r="7" spans="1:7" x14ac:dyDescent="0.2">
      <c r="A7" s="38"/>
      <c r="B7" s="36"/>
      <c r="C7" s="10">
        <v>21.35</v>
      </c>
      <c r="D7" s="35"/>
      <c r="E7" s="37"/>
      <c r="F7" s="35"/>
      <c r="G7" s="35"/>
    </row>
    <row r="8" spans="1:7" x14ac:dyDescent="0.2">
      <c r="A8" s="38"/>
      <c r="B8" s="36" t="s">
        <v>11</v>
      </c>
      <c r="C8" s="10">
        <v>21.02</v>
      </c>
      <c r="D8" s="37">
        <f>AVERAGE(C8:C9)</f>
        <v>20.954999999999998</v>
      </c>
      <c r="E8" s="37"/>
      <c r="F8" s="35">
        <f t="shared" ref="F8" si="2">D8/$E$2</f>
        <v>0.98293755496921731</v>
      </c>
      <c r="G8" s="35"/>
    </row>
    <row r="9" spans="1:7" ht="15" customHeight="1" x14ac:dyDescent="0.2">
      <c r="A9" s="38"/>
      <c r="B9" s="36"/>
      <c r="C9" s="10">
        <v>20.89</v>
      </c>
      <c r="D9" s="35"/>
      <c r="E9" s="37"/>
      <c r="F9" s="35"/>
      <c r="G9" s="35"/>
    </row>
    <row r="10" spans="1:7" ht="15" customHeight="1" x14ac:dyDescent="0.2">
      <c r="A10" s="38" t="s">
        <v>12</v>
      </c>
      <c r="B10" s="36" t="s">
        <v>13</v>
      </c>
      <c r="C10" s="10">
        <v>22.68</v>
      </c>
      <c r="D10" s="37">
        <f>AVERAGE(C10:C11)</f>
        <v>22.465</v>
      </c>
      <c r="E10" s="1"/>
      <c r="F10" s="35">
        <f t="shared" ref="F10" si="3">D10/$E$2</f>
        <v>1.0537672236880682</v>
      </c>
      <c r="G10" s="35">
        <f>AVERAGE(F10:F17)</f>
        <v>1.0235708003518029</v>
      </c>
    </row>
    <row r="11" spans="1:7" ht="15" customHeight="1" x14ac:dyDescent="0.2">
      <c r="A11" s="38"/>
      <c r="B11" s="36"/>
      <c r="C11" s="10">
        <v>22.25</v>
      </c>
      <c r="D11" s="35"/>
      <c r="E11" s="1"/>
      <c r="F11" s="35"/>
      <c r="G11" s="35"/>
    </row>
    <row r="12" spans="1:7" ht="15" customHeight="1" x14ac:dyDescent="0.2">
      <c r="A12" s="38"/>
      <c r="B12" s="36" t="s">
        <v>14</v>
      </c>
      <c r="C12" s="10">
        <v>20.99</v>
      </c>
      <c r="D12" s="37">
        <f>AVERAGE(C12:C13)</f>
        <v>20.97</v>
      </c>
      <c r="E12" s="1"/>
      <c r="F12" s="35">
        <f t="shared" ref="F12" si="4">D12/$E$2</f>
        <v>0.98364116094986809</v>
      </c>
      <c r="G12" s="35"/>
    </row>
    <row r="13" spans="1:7" ht="15" customHeight="1" x14ac:dyDescent="0.2">
      <c r="A13" s="38"/>
      <c r="B13" s="36"/>
      <c r="C13" s="10">
        <v>20.95</v>
      </c>
      <c r="D13" s="35"/>
      <c r="E13" s="1"/>
      <c r="F13" s="35"/>
      <c r="G13" s="35"/>
    </row>
    <row r="14" spans="1:7" ht="15" customHeight="1" x14ac:dyDescent="0.2">
      <c r="A14" s="38"/>
      <c r="B14" s="36" t="s">
        <v>15</v>
      </c>
      <c r="C14" s="10">
        <v>21.81</v>
      </c>
      <c r="D14" s="37">
        <f>AVERAGE(C14:C15)</f>
        <v>22.174999999999997</v>
      </c>
      <c r="E14" s="1"/>
      <c r="F14" s="35">
        <f t="shared" ref="F14" si="5">D14/$E$2</f>
        <v>1.0401641747288184</v>
      </c>
      <c r="G14" s="35"/>
    </row>
    <row r="15" spans="1:7" ht="15" customHeight="1" x14ac:dyDescent="0.2">
      <c r="A15" s="38"/>
      <c r="B15" s="36"/>
      <c r="C15" s="10">
        <v>22.54</v>
      </c>
      <c r="D15" s="35"/>
      <c r="E15" s="1"/>
      <c r="F15" s="35"/>
      <c r="G15" s="35"/>
    </row>
    <row r="16" spans="1:7" ht="15" customHeight="1" x14ac:dyDescent="0.2">
      <c r="A16" s="38"/>
      <c r="B16" s="36" t="s">
        <v>16</v>
      </c>
      <c r="C16" s="10">
        <v>21.85</v>
      </c>
      <c r="D16" s="37">
        <f>AVERAGE(C16:C17)</f>
        <v>21.675000000000001</v>
      </c>
      <c r="E16" s="1"/>
      <c r="F16" s="35">
        <f t="shared" ref="F16" si="6">D16/$E$2</f>
        <v>1.0167106420404575</v>
      </c>
      <c r="G16" s="35"/>
    </row>
    <row r="17" spans="1:7" ht="15" customHeight="1" x14ac:dyDescent="0.2">
      <c r="A17" s="38"/>
      <c r="B17" s="36"/>
      <c r="C17" s="10">
        <v>21.5</v>
      </c>
      <c r="D17" s="35"/>
      <c r="E17" s="1"/>
      <c r="F17" s="35"/>
      <c r="G17" s="35"/>
    </row>
    <row r="18" spans="1:7" ht="15" customHeight="1" x14ac:dyDescent="0.2">
      <c r="A18" s="38" t="s">
        <v>17</v>
      </c>
      <c r="B18" s="36" t="s">
        <v>18</v>
      </c>
      <c r="C18" s="10">
        <v>22.57</v>
      </c>
      <c r="D18" s="37">
        <f>AVERAGE(C18:C19)</f>
        <v>22.14</v>
      </c>
      <c r="E18" s="1"/>
      <c r="F18" s="35">
        <f t="shared" ref="F18" si="7">D18/$E$2</f>
        <v>1.0385224274406333</v>
      </c>
      <c r="G18" s="35">
        <f>AVERAGE(F18:F25)</f>
        <v>1.0315450014658458</v>
      </c>
    </row>
    <row r="19" spans="1:7" ht="15" customHeight="1" x14ac:dyDescent="0.2">
      <c r="A19" s="38"/>
      <c r="B19" s="36"/>
      <c r="C19" s="10">
        <v>21.71</v>
      </c>
      <c r="D19" s="35"/>
      <c r="E19" s="1"/>
      <c r="F19" s="35"/>
      <c r="G19" s="35"/>
    </row>
    <row r="20" spans="1:7" ht="15" customHeight="1" x14ac:dyDescent="0.2">
      <c r="A20" s="38"/>
      <c r="B20" s="36" t="s">
        <v>19</v>
      </c>
      <c r="C20" s="10">
        <v>23.4</v>
      </c>
      <c r="D20" s="37">
        <f>AVERAGE(C20:C21)</f>
        <v>22.65</v>
      </c>
      <c r="E20" s="1"/>
      <c r="F20" s="35">
        <f t="shared" ref="F20" si="8">D20/$E$2</f>
        <v>1.0624450307827618</v>
      </c>
      <c r="G20" s="35"/>
    </row>
    <row r="21" spans="1:7" ht="15" customHeight="1" x14ac:dyDescent="0.2">
      <c r="A21" s="38"/>
      <c r="B21" s="36"/>
      <c r="C21" s="10">
        <v>21.9</v>
      </c>
      <c r="D21" s="35"/>
      <c r="E21" s="1"/>
      <c r="F21" s="35"/>
      <c r="G21" s="35"/>
    </row>
    <row r="22" spans="1:7" ht="15" customHeight="1" x14ac:dyDescent="0.2">
      <c r="A22" s="38"/>
      <c r="B22" s="36" t="s">
        <v>20</v>
      </c>
      <c r="C22" s="10">
        <v>21.51</v>
      </c>
      <c r="D22" s="37">
        <f>AVERAGE(C22:C23)</f>
        <v>21.625</v>
      </c>
      <c r="E22" s="1"/>
      <c r="F22" s="35">
        <f>D22/$E$2</f>
        <v>1.0143652887716212</v>
      </c>
      <c r="G22" s="35"/>
    </row>
    <row r="23" spans="1:7" ht="15" customHeight="1" x14ac:dyDescent="0.2">
      <c r="A23" s="38"/>
      <c r="B23" s="36"/>
      <c r="C23" s="10">
        <v>21.74</v>
      </c>
      <c r="D23" s="35"/>
      <c r="E23" s="1"/>
      <c r="F23" s="35"/>
      <c r="G23" s="35"/>
    </row>
    <row r="24" spans="1:7" ht="15" customHeight="1" x14ac:dyDescent="0.2">
      <c r="A24" s="38"/>
      <c r="B24" s="36" t="s">
        <v>21</v>
      </c>
      <c r="C24" s="10">
        <v>21.86</v>
      </c>
      <c r="D24" s="37">
        <f>AVERAGE(C24:C25)</f>
        <v>21.549999999999997</v>
      </c>
      <c r="E24" s="1"/>
      <c r="F24" s="35">
        <f t="shared" ref="F24" si="9">D24/$E$2</f>
        <v>1.010847258868367</v>
      </c>
      <c r="G24" s="35"/>
    </row>
    <row r="25" spans="1:7" ht="15" customHeight="1" x14ac:dyDescent="0.2">
      <c r="A25" s="38"/>
      <c r="B25" s="36"/>
      <c r="C25" s="10">
        <v>21.24</v>
      </c>
      <c r="D25" s="35"/>
      <c r="E25" s="1"/>
      <c r="F25" s="35"/>
      <c r="G25" s="35"/>
    </row>
    <row r="26" spans="1:7" ht="15" customHeight="1" x14ac:dyDescent="0.2">
      <c r="A26" s="38" t="s">
        <v>22</v>
      </c>
      <c r="B26" s="36" t="s">
        <v>23</v>
      </c>
      <c r="C26" s="10">
        <v>22.21</v>
      </c>
      <c r="D26" s="37">
        <f>AVERAGE(C26:C27)</f>
        <v>21.6</v>
      </c>
      <c r="E26" s="1"/>
      <c r="F26" s="35">
        <f t="shared" ref="F26" si="10">D26/$E$2</f>
        <v>1.0131926121372032</v>
      </c>
      <c r="G26" s="35">
        <f>AVERAGE(F26:F33)</f>
        <v>1.1526238639695106</v>
      </c>
    </row>
    <row r="27" spans="1:7" ht="15" customHeight="1" x14ac:dyDescent="0.2">
      <c r="A27" s="38"/>
      <c r="B27" s="36"/>
      <c r="C27" s="10">
        <v>20.99</v>
      </c>
      <c r="D27" s="35"/>
      <c r="E27" s="1"/>
      <c r="F27" s="35"/>
      <c r="G27" s="35"/>
    </row>
    <row r="28" spans="1:7" ht="15" customHeight="1" x14ac:dyDescent="0.2">
      <c r="A28" s="38"/>
      <c r="B28" s="36" t="s">
        <v>24</v>
      </c>
      <c r="C28" s="10">
        <v>21.64</v>
      </c>
      <c r="D28" s="37">
        <f>AVERAGE(C28:C29)</f>
        <v>21.86</v>
      </c>
      <c r="E28" s="1"/>
      <c r="F28" s="35">
        <f t="shared" ref="F28" si="11">D28/$E$2</f>
        <v>1.025388449135151</v>
      </c>
      <c r="G28" s="35"/>
    </row>
    <row r="29" spans="1:7" ht="15" customHeight="1" x14ac:dyDescent="0.2">
      <c r="A29" s="38"/>
      <c r="B29" s="36"/>
      <c r="C29" s="10">
        <v>22.08</v>
      </c>
      <c r="D29" s="35"/>
      <c r="E29" s="1"/>
      <c r="F29" s="35"/>
      <c r="G29" s="35"/>
    </row>
    <row r="30" spans="1:7" ht="15" customHeight="1" x14ac:dyDescent="0.2">
      <c r="A30" s="38"/>
      <c r="B30" s="36" t="s">
        <v>25</v>
      </c>
      <c r="C30" s="10">
        <v>21.51</v>
      </c>
      <c r="D30" s="37">
        <f>AVERAGE(C30:C31)</f>
        <v>21.4</v>
      </c>
      <c r="E30" s="1"/>
      <c r="F30" s="35">
        <f t="shared" ref="F30" si="12">D30/$E$2</f>
        <v>1.0038111990618588</v>
      </c>
      <c r="G30" s="35"/>
    </row>
    <row r="31" spans="1:7" ht="15" customHeight="1" x14ac:dyDescent="0.2">
      <c r="A31" s="38"/>
      <c r="B31" s="36"/>
      <c r="C31" s="10">
        <v>21.29</v>
      </c>
      <c r="D31" s="35"/>
      <c r="E31" s="1"/>
      <c r="F31" s="35"/>
      <c r="G31" s="35"/>
    </row>
    <row r="32" spans="1:7" ht="15" customHeight="1" x14ac:dyDescent="0.2">
      <c r="A32" s="38"/>
      <c r="B32" s="36" t="s">
        <v>26</v>
      </c>
      <c r="C32" s="10">
        <v>33.340000000000003</v>
      </c>
      <c r="D32" s="37">
        <f>AVERAGE(C32:C33)</f>
        <v>33.430000000000007</v>
      </c>
      <c r="E32" s="1"/>
      <c r="F32" s="35">
        <f t="shared" ref="F32" si="13">D32/$E$2</f>
        <v>1.5681031955438294</v>
      </c>
      <c r="G32" s="35"/>
    </row>
    <row r="33" spans="1:7" ht="15" customHeight="1" x14ac:dyDescent="0.2">
      <c r="A33" s="38"/>
      <c r="B33" s="36"/>
      <c r="C33" s="10">
        <v>33.520000000000003</v>
      </c>
      <c r="D33" s="35"/>
      <c r="E33" s="1"/>
      <c r="F33" s="35"/>
      <c r="G33" s="35"/>
    </row>
    <row r="34" spans="1:7" ht="15" customHeight="1" x14ac:dyDescent="0.2">
      <c r="A34" s="38" t="s">
        <v>27</v>
      </c>
      <c r="B34" s="36" t="s">
        <v>28</v>
      </c>
      <c r="C34" s="10">
        <v>22.27</v>
      </c>
      <c r="D34" s="37">
        <f>AVERAGE(C34:C35)</f>
        <v>22.33</v>
      </c>
      <c r="E34" s="1"/>
      <c r="F34" s="35">
        <f t="shared" ref="F34" si="14">D34/$E$2</f>
        <v>1.0474347698622106</v>
      </c>
      <c r="G34" s="35">
        <f>AVERAGE(F34:F41)</f>
        <v>1.0069774259747875</v>
      </c>
    </row>
    <row r="35" spans="1:7" ht="15" customHeight="1" x14ac:dyDescent="0.2">
      <c r="A35" s="38"/>
      <c r="B35" s="36"/>
      <c r="C35" s="10">
        <v>22.39</v>
      </c>
      <c r="D35" s="35"/>
      <c r="E35" s="1"/>
      <c r="F35" s="35"/>
      <c r="G35" s="35"/>
    </row>
    <row r="36" spans="1:7" ht="15" customHeight="1" x14ac:dyDescent="0.2">
      <c r="A36" s="38"/>
      <c r="B36" s="36" t="s">
        <v>29</v>
      </c>
      <c r="C36" s="10">
        <v>21.89</v>
      </c>
      <c r="D36" s="37">
        <f>AVERAGE(C36:C37)</f>
        <v>21.84</v>
      </c>
      <c r="E36" s="1"/>
      <c r="F36" s="35">
        <f t="shared" ref="F36" si="15">D36/$E$2</f>
        <v>1.0244503078276166</v>
      </c>
      <c r="G36" s="35"/>
    </row>
    <row r="37" spans="1:7" ht="15" customHeight="1" x14ac:dyDescent="0.2">
      <c r="A37" s="38"/>
      <c r="B37" s="36"/>
      <c r="C37" s="10">
        <v>21.79</v>
      </c>
      <c r="D37" s="35"/>
      <c r="E37" s="1"/>
      <c r="F37" s="35"/>
      <c r="G37" s="35"/>
    </row>
    <row r="38" spans="1:7" ht="15" customHeight="1" x14ac:dyDescent="0.2">
      <c r="A38" s="38"/>
      <c r="B38" s="36" t="s">
        <v>30</v>
      </c>
      <c r="C38" s="10">
        <v>20.18</v>
      </c>
      <c r="D38" s="37">
        <f>AVERAGE(C38:C39)</f>
        <v>20.32</v>
      </c>
      <c r="E38" s="1"/>
      <c r="F38" s="35">
        <f t="shared" ref="F38" si="16">D38/$E$2</f>
        <v>0.9531515684549986</v>
      </c>
      <c r="G38" s="35"/>
    </row>
    <row r="39" spans="1:7" ht="15" customHeight="1" x14ac:dyDescent="0.2">
      <c r="A39" s="38"/>
      <c r="B39" s="36"/>
      <c r="C39" s="10">
        <v>20.46</v>
      </c>
      <c r="D39" s="35"/>
      <c r="E39" s="1"/>
      <c r="F39" s="35"/>
      <c r="G39" s="35"/>
    </row>
    <row r="40" spans="1:7" ht="15" customHeight="1" x14ac:dyDescent="0.2">
      <c r="A40" s="38"/>
      <c r="B40" s="36" t="s">
        <v>31</v>
      </c>
      <c r="C40" s="10">
        <v>21.38</v>
      </c>
      <c r="D40" s="37">
        <f>AVERAGE(C40:C41)</f>
        <v>21.38</v>
      </c>
      <c r="E40" s="1"/>
      <c r="F40" s="35">
        <f t="shared" ref="F40" si="17">D40/$E$2</f>
        <v>1.0028730577543243</v>
      </c>
      <c r="G40" s="35"/>
    </row>
    <row r="41" spans="1:7" ht="15" customHeight="1" x14ac:dyDescent="0.2">
      <c r="A41" s="38"/>
      <c r="B41" s="36"/>
      <c r="C41" s="15"/>
      <c r="D41" s="35"/>
      <c r="E41" s="1"/>
      <c r="F41" s="35"/>
      <c r="G41" s="35"/>
    </row>
    <row r="42" spans="1:7" x14ac:dyDescent="0.2">
      <c r="A42" s="43" t="s">
        <v>61</v>
      </c>
      <c r="B42" s="36" t="s">
        <v>57</v>
      </c>
      <c r="C42" s="9">
        <v>26.6286601962953</v>
      </c>
      <c r="D42" s="37">
        <f>AVERAGE(C42:C43)</f>
        <v>26.32936294504815</v>
      </c>
      <c r="F42" s="35">
        <f>D42/$E$2</f>
        <v>1.2350331489908251</v>
      </c>
      <c r="G42" s="35">
        <f>AVERAGE(F42:F49)</f>
        <v>1.221538044078641</v>
      </c>
    </row>
    <row r="43" spans="1:7" x14ac:dyDescent="0.2">
      <c r="A43" s="38"/>
      <c r="B43" s="36"/>
      <c r="C43" s="9">
        <v>26.030065693800999</v>
      </c>
      <c r="D43" s="35"/>
      <c r="F43" s="35"/>
      <c r="G43" s="35"/>
    </row>
    <row r="44" spans="1:7" x14ac:dyDescent="0.2">
      <c r="A44" s="38"/>
      <c r="B44" s="36" t="s">
        <v>58</v>
      </c>
      <c r="C44" s="9">
        <v>26.277284660272599</v>
      </c>
      <c r="D44" s="37">
        <f>AVERAGE(C44:C45)</f>
        <v>26.054694061969251</v>
      </c>
      <c r="F44" s="35">
        <f>D44/$E$2</f>
        <v>1.2221492377352918</v>
      </c>
      <c r="G44" s="35"/>
    </row>
    <row r="45" spans="1:7" x14ac:dyDescent="0.2">
      <c r="A45" s="38"/>
      <c r="B45" s="36"/>
      <c r="C45" s="9">
        <v>25.832103463665899</v>
      </c>
      <c r="D45" s="35"/>
      <c r="F45" s="35"/>
      <c r="G45" s="35"/>
    </row>
    <row r="46" spans="1:7" x14ac:dyDescent="0.2">
      <c r="A46" s="38"/>
      <c r="B46" s="36" t="s">
        <v>59</v>
      </c>
      <c r="C46" s="9">
        <v>26.510352197282099</v>
      </c>
      <c r="D46" s="37">
        <f>AVERAGE(C46:C47)</f>
        <v>26.13548767398845</v>
      </c>
      <c r="F46" s="35">
        <f t="shared" ref="F46" si="18">D46/$E$2</f>
        <v>1.2259390289762979</v>
      </c>
      <c r="G46" s="35"/>
    </row>
    <row r="47" spans="1:7" x14ac:dyDescent="0.2">
      <c r="A47" s="38"/>
      <c r="B47" s="36"/>
      <c r="C47" s="9">
        <v>25.760623150694801</v>
      </c>
      <c r="D47" s="35"/>
      <c r="F47" s="35"/>
      <c r="G47" s="35"/>
    </row>
    <row r="48" spans="1:7" x14ac:dyDescent="0.2">
      <c r="A48" s="38"/>
      <c r="B48" s="36" t="s">
        <v>60</v>
      </c>
      <c r="C48" s="9">
        <v>25.999070623830001</v>
      </c>
      <c r="D48" s="37">
        <f>AVERAGE(C48:C49)</f>
        <v>25.647112027800251</v>
      </c>
      <c r="F48" s="35">
        <f t="shared" ref="F48" si="19">D48/$E$2</f>
        <v>1.2030307606121491</v>
      </c>
      <c r="G48" s="35"/>
    </row>
    <row r="49" spans="1:7" x14ac:dyDescent="0.2">
      <c r="A49" s="38"/>
      <c r="B49" s="36"/>
      <c r="C49" s="9">
        <v>25.295153431770501</v>
      </c>
      <c r="D49" s="35"/>
      <c r="F49" s="35"/>
      <c r="G49" s="35"/>
    </row>
  </sheetData>
  <mergeCells count="85">
    <mergeCell ref="G42:G49"/>
    <mergeCell ref="D42:D43"/>
    <mergeCell ref="D44:D45"/>
    <mergeCell ref="D46:D47"/>
    <mergeCell ref="D48:D49"/>
    <mergeCell ref="F42:F43"/>
    <mergeCell ref="F44:F45"/>
    <mergeCell ref="F46:F47"/>
    <mergeCell ref="F48:F49"/>
    <mergeCell ref="A42:A49"/>
    <mergeCell ref="B42:B43"/>
    <mergeCell ref="B44:B45"/>
    <mergeCell ref="B46:B47"/>
    <mergeCell ref="B48:B49"/>
    <mergeCell ref="A34:A41"/>
    <mergeCell ref="B34:B35"/>
    <mergeCell ref="D34:D35"/>
    <mergeCell ref="F34:F35"/>
    <mergeCell ref="G34:G41"/>
    <mergeCell ref="B36:B37"/>
    <mergeCell ref="D36:D37"/>
    <mergeCell ref="F36:F37"/>
    <mergeCell ref="B38:B39"/>
    <mergeCell ref="D38:D39"/>
    <mergeCell ref="F38:F39"/>
    <mergeCell ref="B40:B41"/>
    <mergeCell ref="D40:D41"/>
    <mergeCell ref="F40:F41"/>
    <mergeCell ref="G26:G33"/>
    <mergeCell ref="B28:B29"/>
    <mergeCell ref="D28:D29"/>
    <mergeCell ref="F28:F29"/>
    <mergeCell ref="B30:B31"/>
    <mergeCell ref="D30:D31"/>
    <mergeCell ref="F30:F31"/>
    <mergeCell ref="B32:B33"/>
    <mergeCell ref="D32:D33"/>
    <mergeCell ref="F32:F33"/>
    <mergeCell ref="A26:A33"/>
    <mergeCell ref="B26:B27"/>
    <mergeCell ref="D26:D27"/>
    <mergeCell ref="F26:F27"/>
    <mergeCell ref="A18:A25"/>
    <mergeCell ref="B18:B19"/>
    <mergeCell ref="D18:D19"/>
    <mergeCell ref="F18:F19"/>
    <mergeCell ref="G18:G25"/>
    <mergeCell ref="B20:B21"/>
    <mergeCell ref="D20:D21"/>
    <mergeCell ref="F20:F21"/>
    <mergeCell ref="B22:B23"/>
    <mergeCell ref="D22:D23"/>
    <mergeCell ref="F22:F23"/>
    <mergeCell ref="B24:B25"/>
    <mergeCell ref="D24:D25"/>
    <mergeCell ref="F24:F25"/>
    <mergeCell ref="G10:G17"/>
    <mergeCell ref="B12:B13"/>
    <mergeCell ref="D12:D13"/>
    <mergeCell ref="F12:F13"/>
    <mergeCell ref="B14:B15"/>
    <mergeCell ref="D14:D15"/>
    <mergeCell ref="F14:F15"/>
    <mergeCell ref="B16:B17"/>
    <mergeCell ref="D16:D17"/>
    <mergeCell ref="F16:F17"/>
    <mergeCell ref="A10:A17"/>
    <mergeCell ref="B10:B11"/>
    <mergeCell ref="D10:D11"/>
    <mergeCell ref="F10:F11"/>
    <mergeCell ref="A2:A9"/>
    <mergeCell ref="B2:B3"/>
    <mergeCell ref="D2:D3"/>
    <mergeCell ref="E2:E9"/>
    <mergeCell ref="F2:F3"/>
    <mergeCell ref="D6:D7"/>
    <mergeCell ref="F6:F7"/>
    <mergeCell ref="B8:B9"/>
    <mergeCell ref="D8:D9"/>
    <mergeCell ref="F8:F9"/>
    <mergeCell ref="G2:G9"/>
    <mergeCell ref="B4:B5"/>
    <mergeCell ref="D4:D5"/>
    <mergeCell ref="F4:F5"/>
    <mergeCell ref="B6:B7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8046-7AFD-4B22-A850-DA3D6546232E}">
  <sheetPr>
    <tabColor rgb="FFFFC000"/>
  </sheetPr>
  <dimension ref="A1:G41"/>
  <sheetViews>
    <sheetView workbookViewId="0">
      <selection activeCell="F2" sqref="F2:F9"/>
    </sheetView>
  </sheetViews>
  <sheetFormatPr baseColWidth="10" defaultColWidth="8.83203125" defaultRowHeight="15" x14ac:dyDescent="0.2"/>
  <cols>
    <col min="1" max="1" width="11" bestFit="1" customWidth="1"/>
    <col min="2" max="2" width="7.6640625" style="7" bestFit="1" customWidth="1"/>
    <col min="3" max="3" width="14.83203125" style="5" customWidth="1"/>
    <col min="4" max="4" width="12" bestFit="1" customWidth="1"/>
    <col min="5" max="5" width="12.83203125" bestFit="1" customWidth="1"/>
    <col min="6" max="6" width="20.6640625" bestFit="1" customWidth="1"/>
    <col min="7" max="7" width="16.6640625" bestFit="1" customWidth="1"/>
  </cols>
  <sheetData>
    <row r="1" spans="1:7" ht="16" x14ac:dyDescent="0.2">
      <c r="A1" s="2" t="s">
        <v>1</v>
      </c>
      <c r="B1" s="6" t="s">
        <v>2</v>
      </c>
      <c r="C1" s="3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x14ac:dyDescent="0.2">
      <c r="A2" s="38" t="s">
        <v>8</v>
      </c>
      <c r="B2" s="39">
        <v>1</v>
      </c>
      <c r="C2" s="11">
        <v>26.19</v>
      </c>
      <c r="D2" s="37">
        <f>AVERAGE(C2:C3)</f>
        <v>26.315000000000001</v>
      </c>
      <c r="E2" s="37">
        <f>AVERAGE(D2:D9)</f>
        <v>27.908750000000001</v>
      </c>
      <c r="F2" s="35">
        <f>D2/$E$2</f>
        <v>0.9428942535943029</v>
      </c>
      <c r="G2" s="35">
        <f>AVERAGE(F2:F9)</f>
        <v>1</v>
      </c>
    </row>
    <row r="3" spans="1:7" x14ac:dyDescent="0.2">
      <c r="A3" s="38"/>
      <c r="B3" s="39"/>
      <c r="C3" s="11">
        <v>26.44</v>
      </c>
      <c r="D3" s="35"/>
      <c r="E3" s="37"/>
      <c r="F3" s="35"/>
      <c r="G3" s="35"/>
    </row>
    <row r="4" spans="1:7" x14ac:dyDescent="0.2">
      <c r="A4" s="38"/>
      <c r="B4" s="36" t="s">
        <v>9</v>
      </c>
      <c r="C4" s="11">
        <v>26.47</v>
      </c>
      <c r="D4" s="37">
        <f>AVERAGE(C4:C5)</f>
        <v>26.475000000000001</v>
      </c>
      <c r="E4" s="37"/>
      <c r="F4" s="35">
        <f t="shared" ref="F4" si="0">D4/$E$2</f>
        <v>0.94862722264522781</v>
      </c>
      <c r="G4" s="35"/>
    </row>
    <row r="5" spans="1:7" x14ac:dyDescent="0.2">
      <c r="A5" s="38"/>
      <c r="B5" s="36"/>
      <c r="C5" s="11">
        <v>26.48</v>
      </c>
      <c r="D5" s="35"/>
      <c r="E5" s="37"/>
      <c r="F5" s="35"/>
      <c r="G5" s="35"/>
    </row>
    <row r="6" spans="1:7" x14ac:dyDescent="0.2">
      <c r="A6" s="38"/>
      <c r="B6" s="36" t="s">
        <v>10</v>
      </c>
      <c r="C6" s="11">
        <v>26.91</v>
      </c>
      <c r="D6" s="37">
        <f>AVERAGE(C6:C7)</f>
        <v>26.925000000000001</v>
      </c>
      <c r="E6" s="37"/>
      <c r="F6" s="35">
        <f t="shared" ref="F6" si="1">D6/$E$2</f>
        <v>0.964751198100954</v>
      </c>
      <c r="G6" s="35"/>
    </row>
    <row r="7" spans="1:7" x14ac:dyDescent="0.2">
      <c r="A7" s="38"/>
      <c r="B7" s="36"/>
      <c r="C7" s="11">
        <v>26.94</v>
      </c>
      <c r="D7" s="35"/>
      <c r="E7" s="37"/>
      <c r="F7" s="35"/>
      <c r="G7" s="35"/>
    </row>
    <row r="8" spans="1:7" x14ac:dyDescent="0.2">
      <c r="A8" s="38"/>
      <c r="B8" s="36" t="s">
        <v>11</v>
      </c>
      <c r="C8" s="11">
        <v>31.5</v>
      </c>
      <c r="D8" s="37">
        <f>AVERAGE(C8:C9)</f>
        <v>31.92</v>
      </c>
      <c r="E8" s="37"/>
      <c r="F8" s="35">
        <f t="shared" ref="F8" si="2">D8/$E$2</f>
        <v>1.1437273256595153</v>
      </c>
      <c r="G8" s="35"/>
    </row>
    <row r="9" spans="1:7" ht="15" customHeight="1" x14ac:dyDescent="0.2">
      <c r="A9" s="38"/>
      <c r="B9" s="36"/>
      <c r="C9" s="11">
        <v>32.340000000000003</v>
      </c>
      <c r="D9" s="35"/>
      <c r="E9" s="37"/>
      <c r="F9" s="35"/>
      <c r="G9" s="35"/>
    </row>
    <row r="10" spans="1:7" ht="15" customHeight="1" x14ac:dyDescent="0.2">
      <c r="A10" s="38" t="s">
        <v>12</v>
      </c>
      <c r="B10" s="36" t="s">
        <v>13</v>
      </c>
      <c r="C10" s="11">
        <v>27.71</v>
      </c>
      <c r="D10" s="37">
        <f>AVERAGE(C10:C11)</f>
        <v>27.57</v>
      </c>
      <c r="E10" s="1"/>
      <c r="F10" s="35">
        <f t="shared" ref="F10" si="3">D10/$E$2</f>
        <v>0.98786222958749492</v>
      </c>
      <c r="G10" s="35">
        <f>AVERAGE(F10:F17)</f>
        <v>0.98759349666323282</v>
      </c>
    </row>
    <row r="11" spans="1:7" ht="15" customHeight="1" x14ac:dyDescent="0.2">
      <c r="A11" s="38"/>
      <c r="B11" s="36"/>
      <c r="C11" s="11">
        <v>27.43</v>
      </c>
      <c r="D11" s="35"/>
      <c r="E11" s="1"/>
      <c r="F11" s="35"/>
      <c r="G11" s="35"/>
    </row>
    <row r="12" spans="1:7" ht="15" customHeight="1" x14ac:dyDescent="0.2">
      <c r="A12" s="38"/>
      <c r="B12" s="36" t="s">
        <v>14</v>
      </c>
      <c r="C12" s="11">
        <v>27.28</v>
      </c>
      <c r="D12" s="37">
        <f>AVERAGE(C12:C13)</f>
        <v>27.4</v>
      </c>
      <c r="E12" s="1"/>
      <c r="F12" s="35">
        <f t="shared" ref="F12" si="4">D12/$E$2</f>
        <v>0.98177094997088721</v>
      </c>
      <c r="G12" s="35"/>
    </row>
    <row r="13" spans="1:7" ht="15" customHeight="1" x14ac:dyDescent="0.2">
      <c r="A13" s="38"/>
      <c r="B13" s="36"/>
      <c r="C13" s="11">
        <v>27.52</v>
      </c>
      <c r="D13" s="35"/>
      <c r="E13" s="1"/>
      <c r="F13" s="35"/>
      <c r="G13" s="35"/>
    </row>
    <row r="14" spans="1:7" ht="15" customHeight="1" x14ac:dyDescent="0.2">
      <c r="A14" s="38"/>
      <c r="B14" s="36" t="s">
        <v>15</v>
      </c>
      <c r="C14" s="11">
        <v>28.11</v>
      </c>
      <c r="D14" s="37">
        <f>AVERAGE(C14:C15)</f>
        <v>27.954999999999998</v>
      </c>
      <c r="E14" s="1"/>
      <c r="F14" s="35">
        <f t="shared" ref="F14" si="5">D14/$E$2</f>
        <v>1.0016571863662829</v>
      </c>
      <c r="G14" s="35"/>
    </row>
    <row r="15" spans="1:7" ht="15" customHeight="1" x14ac:dyDescent="0.2">
      <c r="A15" s="38"/>
      <c r="B15" s="36"/>
      <c r="C15" s="11">
        <v>27.8</v>
      </c>
      <c r="D15" s="35"/>
      <c r="E15" s="1"/>
      <c r="F15" s="35"/>
      <c r="G15" s="35"/>
    </row>
    <row r="16" spans="1:7" ht="15" customHeight="1" x14ac:dyDescent="0.2">
      <c r="A16" s="38"/>
      <c r="B16" s="36" t="s">
        <v>16</v>
      </c>
      <c r="C16" s="11">
        <v>27.31</v>
      </c>
      <c r="D16" s="37">
        <f>AVERAGE(C16:C17)</f>
        <v>27.324999999999999</v>
      </c>
      <c r="E16" s="1"/>
      <c r="F16" s="35">
        <f t="shared" ref="F16" si="6">D16/$E$2</f>
        <v>0.97908362072826616</v>
      </c>
      <c r="G16" s="35"/>
    </row>
    <row r="17" spans="1:7" ht="15" customHeight="1" x14ac:dyDescent="0.2">
      <c r="A17" s="38"/>
      <c r="B17" s="36"/>
      <c r="C17" s="11">
        <v>27.34</v>
      </c>
      <c r="D17" s="35"/>
      <c r="E17" s="1"/>
      <c r="F17" s="35"/>
      <c r="G17" s="35"/>
    </row>
    <row r="18" spans="1:7" ht="15" customHeight="1" x14ac:dyDescent="0.2">
      <c r="A18" s="38" t="s">
        <v>17</v>
      </c>
      <c r="B18" s="36" t="s">
        <v>18</v>
      </c>
      <c r="C18" s="11">
        <v>27.48</v>
      </c>
      <c r="D18" s="37">
        <f>AVERAGE(C18:C19)</f>
        <v>27.54</v>
      </c>
      <c r="E18" s="1"/>
      <c r="F18" s="35">
        <f t="shared" ref="F18" si="7">D18/$E$2</f>
        <v>0.9867872978904465</v>
      </c>
      <c r="G18" s="35">
        <f>AVERAGE(F18:F25)</f>
        <v>0.98332362908884596</v>
      </c>
    </row>
    <row r="19" spans="1:7" ht="15" customHeight="1" x14ac:dyDescent="0.2">
      <c r="A19" s="38"/>
      <c r="B19" s="36"/>
      <c r="C19" s="11">
        <v>27.6</v>
      </c>
      <c r="D19" s="35"/>
      <c r="E19" s="1"/>
      <c r="F19" s="35"/>
      <c r="G19" s="35"/>
    </row>
    <row r="20" spans="1:7" ht="15" customHeight="1" x14ac:dyDescent="0.2">
      <c r="A20" s="38"/>
      <c r="B20" s="36" t="s">
        <v>19</v>
      </c>
      <c r="C20" s="11">
        <v>26.83</v>
      </c>
      <c r="D20" s="37">
        <f>AVERAGE(C20:C21)</f>
        <v>26.85</v>
      </c>
      <c r="E20" s="1"/>
      <c r="F20" s="35">
        <f t="shared" ref="F20" si="8">D20/$E$2</f>
        <v>0.96206386885833295</v>
      </c>
      <c r="G20" s="35"/>
    </row>
    <row r="21" spans="1:7" ht="15" customHeight="1" x14ac:dyDescent="0.2">
      <c r="A21" s="38"/>
      <c r="B21" s="36"/>
      <c r="C21" s="11">
        <v>26.87</v>
      </c>
      <c r="D21" s="35"/>
      <c r="E21" s="1"/>
      <c r="F21" s="35"/>
      <c r="G21" s="35"/>
    </row>
    <row r="22" spans="1:7" ht="15" customHeight="1" x14ac:dyDescent="0.2">
      <c r="A22" s="38"/>
      <c r="B22" s="36" t="s">
        <v>20</v>
      </c>
      <c r="C22" s="13"/>
      <c r="D22" s="44" t="e">
        <f>AVERAGE(C22:C23)</f>
        <v>#DIV/0!</v>
      </c>
      <c r="E22" s="1"/>
      <c r="F22" s="35"/>
      <c r="G22" s="35"/>
    </row>
    <row r="23" spans="1:7" ht="15" customHeight="1" x14ac:dyDescent="0.2">
      <c r="A23" s="38"/>
      <c r="B23" s="36"/>
      <c r="C23" s="13"/>
      <c r="D23" s="45"/>
      <c r="E23" s="1"/>
      <c r="F23" s="35"/>
      <c r="G23" s="35"/>
    </row>
    <row r="24" spans="1:7" ht="15" customHeight="1" x14ac:dyDescent="0.2">
      <c r="A24" s="38"/>
      <c r="B24" s="36" t="s">
        <v>21</v>
      </c>
      <c r="C24" s="11">
        <v>27.72</v>
      </c>
      <c r="D24" s="37">
        <f>AVERAGE(C24:C25)</f>
        <v>27.939999999999998</v>
      </c>
      <c r="E24" s="1"/>
      <c r="F24" s="35">
        <f t="shared" ref="F24" si="9">D24/$E$2</f>
        <v>1.0011197205177587</v>
      </c>
      <c r="G24" s="35"/>
    </row>
    <row r="25" spans="1:7" ht="15" customHeight="1" x14ac:dyDescent="0.2">
      <c r="A25" s="38"/>
      <c r="B25" s="36"/>
      <c r="C25" s="11">
        <v>28.16</v>
      </c>
      <c r="D25" s="35"/>
      <c r="E25" s="1"/>
      <c r="F25" s="35"/>
      <c r="G25" s="35"/>
    </row>
    <row r="26" spans="1:7" ht="15" customHeight="1" x14ac:dyDescent="0.2">
      <c r="A26" s="38" t="s">
        <v>22</v>
      </c>
      <c r="B26" s="36" t="s">
        <v>23</v>
      </c>
      <c r="C26" s="11">
        <v>26.86</v>
      </c>
      <c r="D26" s="37">
        <f>AVERAGE(C26:C27)</f>
        <v>26.619999999999997</v>
      </c>
      <c r="E26" s="1"/>
      <c r="F26" s="35">
        <f t="shared" ref="F26" si="10">D26/$E$2</f>
        <v>0.95382272584762828</v>
      </c>
      <c r="G26" s="35">
        <f>AVERAGE(F26:F33)</f>
        <v>1.1701527298786223</v>
      </c>
    </row>
    <row r="27" spans="1:7" ht="15" customHeight="1" x14ac:dyDescent="0.2">
      <c r="A27" s="38"/>
      <c r="B27" s="36"/>
      <c r="C27" s="11">
        <v>26.38</v>
      </c>
      <c r="D27" s="35"/>
      <c r="E27" s="1"/>
      <c r="F27" s="35"/>
      <c r="G27" s="35"/>
    </row>
    <row r="28" spans="1:7" ht="15" customHeight="1" x14ac:dyDescent="0.2">
      <c r="A28" s="38"/>
      <c r="B28" s="36" t="s">
        <v>24</v>
      </c>
      <c r="C28" s="12"/>
      <c r="D28" s="44" t="e">
        <f>AVERAGE(C28:C29)</f>
        <v>#DIV/0!</v>
      </c>
      <c r="E28" s="1"/>
      <c r="F28" s="35"/>
      <c r="G28" s="35"/>
    </row>
    <row r="29" spans="1:7" ht="15" customHeight="1" x14ac:dyDescent="0.2">
      <c r="A29" s="38"/>
      <c r="B29" s="36"/>
      <c r="C29" s="13"/>
      <c r="D29" s="45"/>
      <c r="E29" s="1"/>
      <c r="F29" s="35"/>
      <c r="G29" s="35"/>
    </row>
    <row r="30" spans="1:7" ht="15" customHeight="1" x14ac:dyDescent="0.2">
      <c r="A30" s="38"/>
      <c r="B30" s="36" t="s">
        <v>25</v>
      </c>
      <c r="C30" s="11">
        <v>39.64</v>
      </c>
      <c r="D30" s="37">
        <f>AVERAGE(C30:C31)</f>
        <v>38.695</v>
      </c>
      <c r="E30" s="1"/>
      <c r="F30" s="35">
        <f t="shared" ref="F30" si="11">D30/$E$2</f>
        <v>1.3864827339096162</v>
      </c>
      <c r="G30" s="35"/>
    </row>
    <row r="31" spans="1:7" ht="15" customHeight="1" x14ac:dyDescent="0.2">
      <c r="A31" s="38"/>
      <c r="B31" s="36"/>
      <c r="C31" s="11">
        <v>37.75</v>
      </c>
      <c r="D31" s="35"/>
      <c r="E31" s="1"/>
      <c r="F31" s="35"/>
      <c r="G31" s="35"/>
    </row>
    <row r="32" spans="1:7" ht="15" customHeight="1" x14ac:dyDescent="0.2">
      <c r="A32" s="38"/>
      <c r="B32" s="36" t="s">
        <v>26</v>
      </c>
      <c r="C32" s="13"/>
      <c r="D32" s="44" t="e">
        <f>AVERAGE(C32:C33)</f>
        <v>#DIV/0!</v>
      </c>
      <c r="E32" s="1"/>
      <c r="F32" s="35"/>
      <c r="G32" s="35"/>
    </row>
    <row r="33" spans="1:7" ht="15" customHeight="1" x14ac:dyDescent="0.2">
      <c r="A33" s="38"/>
      <c r="B33" s="36"/>
      <c r="C33" s="13"/>
      <c r="D33" s="45"/>
      <c r="E33" s="1"/>
      <c r="F33" s="35"/>
      <c r="G33" s="35"/>
    </row>
    <row r="34" spans="1:7" ht="15" customHeight="1" x14ac:dyDescent="0.2">
      <c r="A34" s="38" t="s">
        <v>27</v>
      </c>
      <c r="B34" s="36" t="s">
        <v>28</v>
      </c>
      <c r="C34" s="12"/>
      <c r="D34" s="44" t="e">
        <f>AVERAGE(C34:C35)</f>
        <v>#DIV/0!</v>
      </c>
      <c r="E34" s="1"/>
      <c r="F34" s="35"/>
      <c r="G34" s="35">
        <f>AVERAGE(F34:F41)</f>
        <v>0.95674892880070461</v>
      </c>
    </row>
    <row r="35" spans="1:7" ht="15" customHeight="1" x14ac:dyDescent="0.2">
      <c r="A35" s="38"/>
      <c r="B35" s="36"/>
      <c r="C35" s="12"/>
      <c r="D35" s="45"/>
      <c r="E35" s="1"/>
      <c r="F35" s="35"/>
      <c r="G35" s="35"/>
    </row>
    <row r="36" spans="1:7" ht="15" customHeight="1" x14ac:dyDescent="0.2">
      <c r="A36" s="38"/>
      <c r="B36" s="36" t="s">
        <v>29</v>
      </c>
      <c r="C36" s="11">
        <v>27.29</v>
      </c>
      <c r="D36" s="37">
        <f>AVERAGE(C36:C37)</f>
        <v>27.204999999999998</v>
      </c>
      <c r="E36" s="1"/>
      <c r="F36" s="35">
        <f t="shared" ref="F36" si="12">D36/$E$2</f>
        <v>0.97478389394007248</v>
      </c>
      <c r="G36" s="35"/>
    </row>
    <row r="37" spans="1:7" ht="15" customHeight="1" x14ac:dyDescent="0.2">
      <c r="A37" s="38"/>
      <c r="B37" s="36"/>
      <c r="C37" s="11">
        <v>27.12</v>
      </c>
      <c r="D37" s="35"/>
      <c r="E37" s="1"/>
      <c r="F37" s="35"/>
      <c r="G37" s="35"/>
    </row>
    <row r="38" spans="1:7" ht="15" customHeight="1" x14ac:dyDescent="0.2">
      <c r="A38" s="38"/>
      <c r="B38" s="36" t="s">
        <v>30</v>
      </c>
      <c r="C38" s="11">
        <v>26.21</v>
      </c>
      <c r="D38" s="37">
        <f>AVERAGE(C38:C39)</f>
        <v>26.274999999999999</v>
      </c>
      <c r="E38" s="1"/>
      <c r="F38" s="35">
        <f t="shared" ref="F38" si="13">D38/$E$2</f>
        <v>0.94146101133157156</v>
      </c>
      <c r="G38" s="35"/>
    </row>
    <row r="39" spans="1:7" ht="15" customHeight="1" x14ac:dyDescent="0.2">
      <c r="A39" s="38"/>
      <c r="B39" s="36"/>
      <c r="C39" s="11">
        <v>26.34</v>
      </c>
      <c r="D39" s="35"/>
      <c r="E39" s="1"/>
      <c r="F39" s="35"/>
      <c r="G39" s="35"/>
    </row>
    <row r="40" spans="1:7" ht="15" customHeight="1" x14ac:dyDescent="0.2">
      <c r="A40" s="38"/>
      <c r="B40" s="36" t="s">
        <v>31</v>
      </c>
      <c r="C40" s="11">
        <v>26.68</v>
      </c>
      <c r="D40" s="37">
        <f>AVERAGE(C40:C41)</f>
        <v>26.625</v>
      </c>
      <c r="E40" s="1"/>
      <c r="F40" s="35">
        <f t="shared" ref="F40" si="14">D40/$E$2</f>
        <v>0.9540018811304698</v>
      </c>
      <c r="G40" s="35"/>
    </row>
    <row r="41" spans="1:7" ht="15" customHeight="1" x14ac:dyDescent="0.2">
      <c r="A41" s="38"/>
      <c r="B41" s="36"/>
      <c r="C41" s="11">
        <v>26.57</v>
      </c>
      <c r="D41" s="35"/>
      <c r="E41" s="1"/>
      <c r="F41" s="35"/>
      <c r="G41" s="35"/>
    </row>
  </sheetData>
  <mergeCells count="71">
    <mergeCell ref="A34:A41"/>
    <mergeCell ref="B34:B35"/>
    <mergeCell ref="D34:D35"/>
    <mergeCell ref="F34:F35"/>
    <mergeCell ref="G34:G41"/>
    <mergeCell ref="B36:B37"/>
    <mergeCell ref="D36:D37"/>
    <mergeCell ref="F36:F37"/>
    <mergeCell ref="B38:B39"/>
    <mergeCell ref="D38:D39"/>
    <mergeCell ref="F38:F39"/>
    <mergeCell ref="B40:B41"/>
    <mergeCell ref="D40:D41"/>
    <mergeCell ref="F40:F41"/>
    <mergeCell ref="G26:G33"/>
    <mergeCell ref="B28:B29"/>
    <mergeCell ref="D28:D29"/>
    <mergeCell ref="F28:F29"/>
    <mergeCell ref="B30:B31"/>
    <mergeCell ref="D30:D31"/>
    <mergeCell ref="F30:F31"/>
    <mergeCell ref="B32:B33"/>
    <mergeCell ref="D32:D33"/>
    <mergeCell ref="F32:F33"/>
    <mergeCell ref="A26:A33"/>
    <mergeCell ref="B26:B27"/>
    <mergeCell ref="D26:D27"/>
    <mergeCell ref="F26:F27"/>
    <mergeCell ref="A18:A25"/>
    <mergeCell ref="B18:B19"/>
    <mergeCell ref="D18:D19"/>
    <mergeCell ref="F18:F19"/>
    <mergeCell ref="G18:G25"/>
    <mergeCell ref="B20:B21"/>
    <mergeCell ref="D20:D21"/>
    <mergeCell ref="F20:F21"/>
    <mergeCell ref="B22:B23"/>
    <mergeCell ref="D22:D23"/>
    <mergeCell ref="F22:F23"/>
    <mergeCell ref="B24:B25"/>
    <mergeCell ref="D24:D25"/>
    <mergeCell ref="F24:F25"/>
    <mergeCell ref="G10:G17"/>
    <mergeCell ref="B12:B13"/>
    <mergeCell ref="D12:D13"/>
    <mergeCell ref="F12:F13"/>
    <mergeCell ref="B14:B15"/>
    <mergeCell ref="D14:D15"/>
    <mergeCell ref="F14:F15"/>
    <mergeCell ref="B16:B17"/>
    <mergeCell ref="D16:D17"/>
    <mergeCell ref="F16:F17"/>
    <mergeCell ref="A10:A17"/>
    <mergeCell ref="B10:B11"/>
    <mergeCell ref="D10:D11"/>
    <mergeCell ref="F10:F11"/>
    <mergeCell ref="A2:A9"/>
    <mergeCell ref="B2:B3"/>
    <mergeCell ref="D2:D3"/>
    <mergeCell ref="E2:E9"/>
    <mergeCell ref="F2:F3"/>
    <mergeCell ref="D6:D7"/>
    <mergeCell ref="F6:F7"/>
    <mergeCell ref="B8:B9"/>
    <mergeCell ref="D8:D9"/>
    <mergeCell ref="F8:F9"/>
    <mergeCell ref="G2:G9"/>
    <mergeCell ref="B4:B5"/>
    <mergeCell ref="D4:D5"/>
    <mergeCell ref="F4:F5"/>
    <mergeCell ref="B6:B7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8879-C2EF-449C-B83E-3080E424A974}">
  <sheetPr>
    <tabColor rgb="FFFFFF00"/>
  </sheetPr>
  <dimension ref="A1:I50"/>
  <sheetViews>
    <sheetView topLeftCell="A15" workbookViewId="0">
      <selection activeCell="G43" sqref="G43:G50"/>
    </sheetView>
  </sheetViews>
  <sheetFormatPr baseColWidth="10" defaultColWidth="8.83203125" defaultRowHeight="15" x14ac:dyDescent="0.2"/>
  <cols>
    <col min="3" max="5" width="8.6640625" bestFit="1" customWidth="1"/>
    <col min="6" max="6" width="13.6640625" bestFit="1" customWidth="1"/>
    <col min="7" max="9" width="10.33203125" bestFit="1" customWidth="1"/>
  </cols>
  <sheetData>
    <row r="1" spans="1:9" x14ac:dyDescent="0.2">
      <c r="C1" t="s">
        <v>0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">
      <c r="A2" s="2" t="s">
        <v>1</v>
      </c>
      <c r="B2" s="6" t="s">
        <v>2</v>
      </c>
      <c r="C2" s="2" t="s">
        <v>38</v>
      </c>
      <c r="D2" s="2" t="s">
        <v>38</v>
      </c>
      <c r="E2" s="2" t="s">
        <v>38</v>
      </c>
      <c r="F2" s="2" t="s">
        <v>39</v>
      </c>
      <c r="G2" s="2" t="s">
        <v>39</v>
      </c>
      <c r="H2" s="2" t="s">
        <v>39</v>
      </c>
      <c r="I2" s="2" t="s">
        <v>39</v>
      </c>
    </row>
    <row r="3" spans="1:9" x14ac:dyDescent="0.2">
      <c r="A3" s="38" t="s">
        <v>8</v>
      </c>
      <c r="B3" s="39">
        <v>1</v>
      </c>
      <c r="C3" s="37">
        <v>26.538481966047449</v>
      </c>
      <c r="D3" s="37">
        <v>11.135</v>
      </c>
      <c r="E3" s="37">
        <v>21.64</v>
      </c>
      <c r="F3" s="37">
        <f>GEOMEAN(C3:E4)</f>
        <v>18.56127698379477</v>
      </c>
      <c r="G3" s="44">
        <f>GEOMEAN(C3:D4)</f>
        <v>17.190287859484446</v>
      </c>
      <c r="H3" s="37">
        <f>GEOMEAN(C3,E3)</f>
        <v>23.964405891765121</v>
      </c>
      <c r="I3" s="37">
        <f>GEOMEAN(D3:E4)</f>
        <v>15.522931424186606</v>
      </c>
    </row>
    <row r="4" spans="1:9" x14ac:dyDescent="0.2">
      <c r="A4" s="38"/>
      <c r="B4" s="39"/>
      <c r="C4" s="35"/>
      <c r="D4" s="35"/>
      <c r="E4" s="37"/>
      <c r="F4" s="37"/>
      <c r="G4" s="44"/>
      <c r="H4" s="37"/>
      <c r="I4" s="37"/>
    </row>
    <row r="5" spans="1:9" x14ac:dyDescent="0.2">
      <c r="A5" s="38"/>
      <c r="B5" s="36" t="s">
        <v>9</v>
      </c>
      <c r="C5" s="37">
        <v>27.52104347092315</v>
      </c>
      <c r="D5" s="37">
        <v>10.705</v>
      </c>
      <c r="E5" s="37">
        <v>21.03</v>
      </c>
      <c r="F5" s="37">
        <f t="shared" ref="F5" si="0">GEOMEAN(C5:E6)</f>
        <v>18.366663963409628</v>
      </c>
      <c r="G5" s="44">
        <f t="shared" ref="G5" si="1">GEOMEAN(C5:D6)</f>
        <v>17.164287644881519</v>
      </c>
      <c r="H5" s="37">
        <f t="shared" ref="H5" si="2">GEOMEAN(C5,E5)</f>
        <v>24.057588079304914</v>
      </c>
      <c r="I5" s="37">
        <f t="shared" ref="I5" si="3">GEOMEAN(D5:E6)</f>
        <v>15.004204410764338</v>
      </c>
    </row>
    <row r="6" spans="1:9" x14ac:dyDescent="0.2">
      <c r="A6" s="38"/>
      <c r="B6" s="36"/>
      <c r="C6" s="35"/>
      <c r="D6" s="35"/>
      <c r="E6" s="35"/>
      <c r="F6" s="37"/>
      <c r="G6" s="44"/>
      <c r="H6" s="37"/>
      <c r="I6" s="37"/>
    </row>
    <row r="7" spans="1:9" x14ac:dyDescent="0.2">
      <c r="A7" s="38"/>
      <c r="B7" s="36" t="s">
        <v>10</v>
      </c>
      <c r="C7" s="37">
        <v>26.5329735203239</v>
      </c>
      <c r="D7" s="37">
        <v>9.5350000000000001</v>
      </c>
      <c r="E7" s="37">
        <v>21.65</v>
      </c>
      <c r="F7" s="37">
        <f t="shared" ref="F7" si="4">GEOMEAN(C7:E8)</f>
        <v>17.627396520804126</v>
      </c>
      <c r="G7" s="44">
        <f t="shared" ref="G7" si="5">GEOMEAN(C7:D8)</f>
        <v>15.905719176330518</v>
      </c>
      <c r="H7" s="37">
        <f t="shared" ref="H7" si="6">GEOMEAN(C7,E7)</f>
        <v>23.967454531405966</v>
      </c>
      <c r="I7" s="37">
        <f t="shared" ref="I7" si="7">GEOMEAN(D7:E8)</f>
        <v>14.367767745895673</v>
      </c>
    </row>
    <row r="8" spans="1:9" x14ac:dyDescent="0.2">
      <c r="A8" s="38"/>
      <c r="B8" s="36"/>
      <c r="C8" s="35"/>
      <c r="D8" s="35"/>
      <c r="E8" s="35"/>
      <c r="F8" s="37"/>
      <c r="G8" s="44"/>
      <c r="H8" s="37"/>
      <c r="I8" s="37"/>
    </row>
    <row r="9" spans="1:9" x14ac:dyDescent="0.2">
      <c r="A9" s="38"/>
      <c r="B9" s="36" t="s">
        <v>11</v>
      </c>
      <c r="C9" s="37">
        <v>27.760417378053653</v>
      </c>
      <c r="D9" s="37">
        <v>9.2799999999999994</v>
      </c>
      <c r="E9" s="37">
        <v>20.954999999999998</v>
      </c>
      <c r="F9" s="37">
        <f t="shared" ref="F9" si="8">GEOMEAN(C9:E10)</f>
        <v>17.54232735048998</v>
      </c>
      <c r="G9" s="44">
        <f t="shared" ref="G9" si="9">GEOMEAN(C9:D10)</f>
        <v>16.050441528766051</v>
      </c>
      <c r="H9" s="37">
        <f t="shared" ref="H9" si="10">GEOMEAN(C9,E9)</f>
        <v>24.118862870316132</v>
      </c>
      <c r="I9" s="37">
        <f t="shared" ref="I9" si="11">GEOMEAN(D9:E10)</f>
        <v>13.944977590516235</v>
      </c>
    </row>
    <row r="10" spans="1:9" x14ac:dyDescent="0.2">
      <c r="A10" s="38"/>
      <c r="B10" s="36"/>
      <c r="C10" s="35"/>
      <c r="D10" s="35"/>
      <c r="E10" s="35"/>
      <c r="F10" s="37"/>
      <c r="G10" s="44"/>
      <c r="H10" s="37"/>
      <c r="I10" s="37"/>
    </row>
    <row r="11" spans="1:9" x14ac:dyDescent="0.2">
      <c r="A11" s="38" t="s">
        <v>12</v>
      </c>
      <c r="B11" s="36" t="s">
        <v>13</v>
      </c>
      <c r="C11" s="37">
        <v>26.841176676756753</v>
      </c>
      <c r="D11" s="37">
        <v>10.95</v>
      </c>
      <c r="E11" s="37">
        <v>22.465</v>
      </c>
      <c r="F11" s="37">
        <f t="shared" ref="F11" si="12">GEOMEAN(C11:E12)</f>
        <v>18.76033968169428</v>
      </c>
      <c r="G11" s="44">
        <f t="shared" ref="G11" si="13">GEOMEAN(C11:D12)</f>
        <v>17.143829345000096</v>
      </c>
      <c r="H11" s="37">
        <f t="shared" ref="H11" si="14">GEOMEAN(C11,E11)</f>
        <v>24.555794306911363</v>
      </c>
      <c r="I11" s="37">
        <f t="shared" ref="I11" si="15">GEOMEAN(D11:E12)</f>
        <v>15.684124138758913</v>
      </c>
    </row>
    <row r="12" spans="1:9" x14ac:dyDescent="0.2">
      <c r="A12" s="38"/>
      <c r="B12" s="36"/>
      <c r="C12" s="35"/>
      <c r="D12" s="35"/>
      <c r="E12" s="35"/>
      <c r="F12" s="37"/>
      <c r="G12" s="44"/>
      <c r="H12" s="37"/>
      <c r="I12" s="37"/>
    </row>
    <row r="13" spans="1:9" x14ac:dyDescent="0.2">
      <c r="A13" s="38"/>
      <c r="B13" s="36" t="s">
        <v>14</v>
      </c>
      <c r="C13" s="37">
        <v>26.822339665274548</v>
      </c>
      <c r="D13" s="37">
        <v>12.05</v>
      </c>
      <c r="E13" s="37">
        <v>20.97</v>
      </c>
      <c r="F13" s="37">
        <f t="shared" ref="F13" si="16">GEOMEAN(C13:E14)</f>
        <v>18.924629179426091</v>
      </c>
      <c r="G13" s="44">
        <f t="shared" ref="G13" si="17">GEOMEAN(C13:D14)</f>
        <v>17.978019717604003</v>
      </c>
      <c r="H13" s="37">
        <f t="shared" ref="H13" si="18">GEOMEAN(C13,E13)</f>
        <v>23.716333249067134</v>
      </c>
      <c r="I13" s="37">
        <f t="shared" ref="I13" si="19">GEOMEAN(D13:E14)</f>
        <v>15.896178786110831</v>
      </c>
    </row>
    <row r="14" spans="1:9" x14ac:dyDescent="0.2">
      <c r="A14" s="38"/>
      <c r="B14" s="36"/>
      <c r="C14" s="35"/>
      <c r="D14" s="35"/>
      <c r="E14" s="35"/>
      <c r="F14" s="37"/>
      <c r="G14" s="44"/>
      <c r="H14" s="37"/>
      <c r="I14" s="37"/>
    </row>
    <row r="15" spans="1:9" x14ac:dyDescent="0.2">
      <c r="A15" s="38"/>
      <c r="B15" s="36" t="s">
        <v>15</v>
      </c>
      <c r="C15" s="37">
        <v>28.821035477710399</v>
      </c>
      <c r="D15" s="37">
        <v>11.21</v>
      </c>
      <c r="E15" s="37">
        <v>22.174999999999997</v>
      </c>
      <c r="F15" s="37">
        <f t="shared" ref="F15" si="20">GEOMEAN(C15:E16)</f>
        <v>19.277894846872339</v>
      </c>
      <c r="G15" s="44">
        <f t="shared" ref="G15" si="21">GEOMEAN(C15:D16)</f>
        <v>17.974532197115273</v>
      </c>
      <c r="H15" s="37">
        <f t="shared" ref="H15" si="22">GEOMEAN(C15,E15)</f>
        <v>25.280555012068625</v>
      </c>
      <c r="I15" s="37">
        <f t="shared" ref="I15" si="23">GEOMEAN(D15:E16)</f>
        <v>15.766475509764382</v>
      </c>
    </row>
    <row r="16" spans="1:9" x14ac:dyDescent="0.2">
      <c r="A16" s="38"/>
      <c r="B16" s="36"/>
      <c r="C16" s="35"/>
      <c r="D16" s="35"/>
      <c r="E16" s="35"/>
      <c r="F16" s="37"/>
      <c r="G16" s="44"/>
      <c r="H16" s="37"/>
      <c r="I16" s="37"/>
    </row>
    <row r="17" spans="1:9" x14ac:dyDescent="0.2">
      <c r="A17" s="38"/>
      <c r="B17" s="36" t="s">
        <v>16</v>
      </c>
      <c r="C17" s="37">
        <v>26.758272719271751</v>
      </c>
      <c r="D17" s="37">
        <v>11.21</v>
      </c>
      <c r="E17" s="37">
        <v>21.675000000000001</v>
      </c>
      <c r="F17" s="37">
        <f t="shared" ref="F17" si="24">GEOMEAN(C17:E18)</f>
        <v>18.664123441974311</v>
      </c>
      <c r="G17" s="44">
        <f t="shared" ref="G17" si="25">GEOMEAN(C17:D18)</f>
        <v>17.319360183997457</v>
      </c>
      <c r="H17" s="37">
        <f t="shared" ref="H17" si="26">GEOMEAN(C17,E17)</f>
        <v>24.082889386247142</v>
      </c>
      <c r="I17" s="37">
        <f t="shared" ref="I17" si="27">GEOMEAN(D17:E18)</f>
        <v>15.587711506183325</v>
      </c>
    </row>
    <row r="18" spans="1:9" x14ac:dyDescent="0.2">
      <c r="A18" s="38"/>
      <c r="B18" s="36"/>
      <c r="C18" s="35"/>
      <c r="D18" s="35"/>
      <c r="E18" s="35"/>
      <c r="F18" s="37"/>
      <c r="G18" s="44"/>
      <c r="H18" s="37"/>
      <c r="I18" s="37"/>
    </row>
    <row r="19" spans="1:9" x14ac:dyDescent="0.2">
      <c r="A19" s="38" t="s">
        <v>17</v>
      </c>
      <c r="B19" s="36" t="s">
        <v>18</v>
      </c>
      <c r="C19" s="37">
        <v>29.054093071076103</v>
      </c>
      <c r="D19" s="37">
        <v>12.695</v>
      </c>
      <c r="E19" s="37">
        <v>22.14</v>
      </c>
      <c r="F19" s="37">
        <f t="shared" ref="F19" si="28">GEOMEAN(C19:E20)</f>
        <v>20.137515222317553</v>
      </c>
      <c r="G19" s="44">
        <f t="shared" ref="G19" si="29">GEOMEAN(C19:D20)</f>
        <v>19.205252186246113</v>
      </c>
      <c r="H19" s="37">
        <f t="shared" ref="H19" si="30">GEOMEAN(C19,E19)</f>
        <v>25.362523939734878</v>
      </c>
      <c r="I19" s="37">
        <f t="shared" ref="I19" si="31">GEOMEAN(D19:E20)</f>
        <v>16.765061884764993</v>
      </c>
    </row>
    <row r="20" spans="1:9" x14ac:dyDescent="0.2">
      <c r="A20" s="38"/>
      <c r="B20" s="36"/>
      <c r="C20" s="35"/>
      <c r="D20" s="35"/>
      <c r="E20" s="35"/>
      <c r="F20" s="37"/>
      <c r="G20" s="44"/>
      <c r="H20" s="37"/>
      <c r="I20" s="37"/>
    </row>
    <row r="21" spans="1:9" x14ac:dyDescent="0.2">
      <c r="A21" s="38"/>
      <c r="B21" s="36" t="s">
        <v>19</v>
      </c>
      <c r="C21" s="37">
        <v>26.308546893145351</v>
      </c>
      <c r="D21" s="37">
        <v>11.664999999999999</v>
      </c>
      <c r="E21" s="37">
        <v>22.65</v>
      </c>
      <c r="F21" s="37">
        <f t="shared" ref="F21" si="32">GEOMEAN(C21:E22)</f>
        <v>19.08460915673141</v>
      </c>
      <c r="G21" s="44">
        <f t="shared" ref="G21" si="33">GEOMEAN(C21:D22)</f>
        <v>17.51825332356341</v>
      </c>
      <c r="H21" s="37">
        <f t="shared" ref="H21" si="34">GEOMEAN(C21,E21)</f>
        <v>24.410829300327798</v>
      </c>
      <c r="I21" s="37">
        <f t="shared" ref="I21" si="35">GEOMEAN(D21:E22)</f>
        <v>16.2546070392366</v>
      </c>
    </row>
    <row r="22" spans="1:9" x14ac:dyDescent="0.2">
      <c r="A22" s="38"/>
      <c r="B22" s="36"/>
      <c r="C22" s="35"/>
      <c r="D22" s="35"/>
      <c r="E22" s="35"/>
      <c r="F22" s="37"/>
      <c r="G22" s="44"/>
      <c r="H22" s="37"/>
      <c r="I22" s="37"/>
    </row>
    <row r="23" spans="1:9" x14ac:dyDescent="0.2">
      <c r="A23" s="38"/>
      <c r="B23" s="36" t="s">
        <v>20</v>
      </c>
      <c r="C23" s="37">
        <v>27.088503130304851</v>
      </c>
      <c r="D23" s="37">
        <v>11.239999999999998</v>
      </c>
      <c r="E23" s="37">
        <v>21.625</v>
      </c>
      <c r="F23" s="37">
        <f t="shared" ref="F23" si="36">GEOMEAN(C23:E24)</f>
        <v>18.742857855437265</v>
      </c>
      <c r="G23" s="44">
        <f t="shared" ref="G23" si="37">GEOMEAN(C23:D24)</f>
        <v>17.449205574599276</v>
      </c>
      <c r="H23" s="37">
        <f t="shared" ref="H23" si="38">GEOMEAN(C23,E23)</f>
        <v>24.203075841571096</v>
      </c>
      <c r="I23" s="37">
        <f t="shared" ref="I23" si="39">GEOMEAN(D23:E24)</f>
        <v>15.590542004689894</v>
      </c>
    </row>
    <row r="24" spans="1:9" x14ac:dyDescent="0.2">
      <c r="A24" s="38"/>
      <c r="B24" s="36"/>
      <c r="C24" s="35"/>
      <c r="D24" s="35"/>
      <c r="E24" s="35"/>
      <c r="F24" s="37"/>
      <c r="G24" s="44"/>
      <c r="H24" s="37"/>
      <c r="I24" s="37"/>
    </row>
    <row r="25" spans="1:9" x14ac:dyDescent="0.2">
      <c r="A25" s="38"/>
      <c r="B25" s="36" t="s">
        <v>21</v>
      </c>
      <c r="C25" s="37">
        <v>25.341889871903501</v>
      </c>
      <c r="D25" s="37">
        <v>11.26</v>
      </c>
      <c r="E25" s="37">
        <v>21.549999999999997</v>
      </c>
      <c r="F25" s="37">
        <f t="shared" ref="F25" si="40">GEOMEAN(C25:E26)</f>
        <v>18.320678550042594</v>
      </c>
      <c r="G25" s="44">
        <f t="shared" ref="G25" si="41">GEOMEAN(C25:D26)</f>
        <v>16.892296467846915</v>
      </c>
      <c r="H25" s="37">
        <f t="shared" ref="H25" si="42">GEOMEAN(C25,E25)</f>
        <v>23.369161874990731</v>
      </c>
      <c r="I25" s="37">
        <f t="shared" ref="I25" si="43">GEOMEAN(D25:E26)</f>
        <v>15.57732326171605</v>
      </c>
    </row>
    <row r="26" spans="1:9" x14ac:dyDescent="0.2">
      <c r="A26" s="38"/>
      <c r="B26" s="36"/>
      <c r="C26" s="35"/>
      <c r="D26" s="35"/>
      <c r="E26" s="35"/>
      <c r="F26" s="37"/>
      <c r="G26" s="44"/>
      <c r="H26" s="37"/>
      <c r="I26" s="37"/>
    </row>
    <row r="27" spans="1:9" x14ac:dyDescent="0.2">
      <c r="A27" s="38" t="s">
        <v>22</v>
      </c>
      <c r="B27" s="36" t="s">
        <v>23</v>
      </c>
      <c r="C27" s="37">
        <v>26.627496828606603</v>
      </c>
      <c r="D27" s="37">
        <v>11.45</v>
      </c>
      <c r="E27" s="37">
        <v>21.6</v>
      </c>
      <c r="F27" s="37">
        <f t="shared" ref="F27" si="44">GEOMEAN(C27:E28)</f>
        <v>18.744039601783204</v>
      </c>
      <c r="G27" s="44">
        <f t="shared" ref="G27" si="45">GEOMEAN(C27:D28)</f>
        <v>17.460951826505497</v>
      </c>
      <c r="H27" s="37">
        <f t="shared" ref="H27" si="46">GEOMEAN(C27,E27)</f>
        <v>23.982367095387033</v>
      </c>
      <c r="I27" s="37">
        <f t="shared" ref="I27" si="47">GEOMEAN(D27:E28)</f>
        <v>15.726410906497389</v>
      </c>
    </row>
    <row r="28" spans="1:9" x14ac:dyDescent="0.2">
      <c r="A28" s="38"/>
      <c r="B28" s="36"/>
      <c r="C28" s="35"/>
      <c r="D28" s="35"/>
      <c r="E28" s="35"/>
      <c r="F28" s="37"/>
      <c r="G28" s="44"/>
      <c r="H28" s="37"/>
      <c r="I28" s="37"/>
    </row>
    <row r="29" spans="1:9" x14ac:dyDescent="0.2">
      <c r="A29" s="38"/>
      <c r="B29" s="36" t="s">
        <v>24</v>
      </c>
      <c r="C29" s="37">
        <v>26.723638677336201</v>
      </c>
      <c r="D29" s="37">
        <v>11.870000000000001</v>
      </c>
      <c r="E29" s="37">
        <v>21.86</v>
      </c>
      <c r="F29" s="37">
        <f t="shared" ref="F29" si="48">GEOMEAN(C29:E30)</f>
        <v>19.069186046039718</v>
      </c>
      <c r="G29" s="44">
        <f t="shared" ref="G29" si="49">GEOMEAN(C29:D30)</f>
        <v>17.810378746674107</v>
      </c>
      <c r="H29" s="37">
        <f t="shared" ref="H29" si="50">GEOMEAN(C29,E29)</f>
        <v>24.169789851932297</v>
      </c>
      <c r="I29" s="37">
        <f t="shared" ref="I29" si="51">GEOMEAN(D29:E30)</f>
        <v>16.10832703914345</v>
      </c>
    </row>
    <row r="30" spans="1:9" x14ac:dyDescent="0.2">
      <c r="A30" s="38"/>
      <c r="B30" s="36"/>
      <c r="C30" s="35"/>
      <c r="D30" s="35"/>
      <c r="E30" s="35"/>
      <c r="F30" s="37"/>
      <c r="G30" s="44"/>
      <c r="H30" s="37"/>
      <c r="I30" s="37"/>
    </row>
    <row r="31" spans="1:9" x14ac:dyDescent="0.2">
      <c r="A31" s="38"/>
      <c r="B31" s="36" t="s">
        <v>25</v>
      </c>
      <c r="C31" s="37">
        <v>26.688493909860199</v>
      </c>
      <c r="D31" s="37">
        <v>11.654999999999999</v>
      </c>
      <c r="E31" s="37">
        <v>21.4</v>
      </c>
      <c r="F31" s="37">
        <f t="shared" ref="F31" si="52">GEOMEAN(C31:E32)</f>
        <v>18.811208878517917</v>
      </c>
      <c r="G31" s="44">
        <f t="shared" ref="G31" si="53">GEOMEAN(C31:D32)</f>
        <v>17.636734292930214</v>
      </c>
      <c r="H31" s="37">
        <f t="shared" ref="H31" si="54">GEOMEAN(C31,E31)</f>
        <v>23.898405170031914</v>
      </c>
      <c r="I31" s="37">
        <f t="shared" ref="I31" si="55">GEOMEAN(D31:E32)</f>
        <v>15.792941461298462</v>
      </c>
    </row>
    <row r="32" spans="1:9" x14ac:dyDescent="0.2">
      <c r="A32" s="38"/>
      <c r="B32" s="36"/>
      <c r="C32" s="35"/>
      <c r="D32" s="35"/>
      <c r="E32" s="35"/>
      <c r="F32" s="37"/>
      <c r="G32" s="44"/>
      <c r="H32" s="37"/>
      <c r="I32" s="37"/>
    </row>
    <row r="33" spans="1:9" x14ac:dyDescent="0.2">
      <c r="A33" s="38"/>
      <c r="B33" s="36" t="s">
        <v>26</v>
      </c>
      <c r="C33" s="37">
        <v>28.818513197586249</v>
      </c>
      <c r="D33" s="37">
        <v>11.745000000000001</v>
      </c>
      <c r="E33" s="37">
        <v>33.430000000000007</v>
      </c>
      <c r="F33" s="37">
        <f t="shared" ref="F33" si="56">GEOMEAN(C33:E34)</f>
        <v>22.450205612714594</v>
      </c>
      <c r="G33" s="44">
        <f t="shared" ref="G33" si="57">GEOMEAN(C33:D34)</f>
        <v>18.397647607932122</v>
      </c>
      <c r="H33" s="37">
        <f t="shared" ref="H33" si="58">GEOMEAN(C33,E33)</f>
        <v>31.03873219374961</v>
      </c>
      <c r="I33" s="37">
        <f t="shared" ref="I33" si="59">GEOMEAN(D33:E34)</f>
        <v>19.815028387564833</v>
      </c>
    </row>
    <row r="34" spans="1:9" x14ac:dyDescent="0.2">
      <c r="A34" s="38"/>
      <c r="B34" s="36"/>
      <c r="C34" s="35"/>
      <c r="D34" s="35"/>
      <c r="E34" s="35"/>
      <c r="F34" s="37"/>
      <c r="G34" s="44"/>
      <c r="H34" s="37"/>
      <c r="I34" s="37"/>
    </row>
    <row r="35" spans="1:9" x14ac:dyDescent="0.2">
      <c r="A35" s="38" t="s">
        <v>27</v>
      </c>
      <c r="B35" s="36" t="s">
        <v>28</v>
      </c>
      <c r="C35" s="37">
        <v>27.256381139132451</v>
      </c>
      <c r="D35" s="37">
        <v>10</v>
      </c>
      <c r="E35" s="37">
        <v>22.33</v>
      </c>
      <c r="F35" s="37">
        <f t="shared" ref="F35" si="60">GEOMEAN(C35:E36)</f>
        <v>18.257962281180735</v>
      </c>
      <c r="G35" s="44">
        <f t="shared" ref="G35" si="61">GEOMEAN(C35:D36)</f>
        <v>16.509506697394823</v>
      </c>
      <c r="H35" s="37">
        <f>GEOMEAN(C35,E35)</f>
        <v>24.670528791187827</v>
      </c>
      <c r="I35" s="37">
        <f t="shared" ref="I35" si="62">GEOMEAN(D35:E36)</f>
        <v>14.94322589001451</v>
      </c>
    </row>
    <row r="36" spans="1:9" x14ac:dyDescent="0.2">
      <c r="A36" s="38"/>
      <c r="B36" s="36"/>
      <c r="C36" s="35"/>
      <c r="D36" s="35"/>
      <c r="E36" s="35"/>
      <c r="F36" s="37"/>
      <c r="G36" s="44"/>
      <c r="H36" s="37"/>
      <c r="I36" s="37"/>
    </row>
    <row r="37" spans="1:9" x14ac:dyDescent="0.2">
      <c r="A37" s="38"/>
      <c r="B37" s="36" t="s">
        <v>29</v>
      </c>
      <c r="C37" s="37">
        <v>28.1095804890839</v>
      </c>
      <c r="D37" s="37">
        <v>11.969999999999999</v>
      </c>
      <c r="E37" s="37">
        <v>21.84</v>
      </c>
      <c r="F37" s="37">
        <f t="shared" ref="F37" si="63">GEOMEAN(C37:E38)</f>
        <v>19.441676670264854</v>
      </c>
      <c r="G37" s="44">
        <f>GEOMEAN(C37:D38)</f>
        <v>18.343164352268513</v>
      </c>
      <c r="H37" s="37">
        <f t="shared" ref="H37" si="64">GEOMEAN(C37,E37)</f>
        <v>24.777272607807188</v>
      </c>
      <c r="I37" s="37">
        <f t="shared" ref="I37" si="65">GEOMEAN(D37:E38)</f>
        <v>16.168636306132932</v>
      </c>
    </row>
    <row r="38" spans="1:9" x14ac:dyDescent="0.2">
      <c r="A38" s="38"/>
      <c r="B38" s="36"/>
      <c r="C38" s="35"/>
      <c r="D38" s="35"/>
      <c r="E38" s="35"/>
      <c r="F38" s="37"/>
      <c r="G38" s="44"/>
      <c r="H38" s="37"/>
      <c r="I38" s="37"/>
    </row>
    <row r="39" spans="1:9" x14ac:dyDescent="0.2">
      <c r="A39" s="38"/>
      <c r="B39" s="36" t="s">
        <v>30</v>
      </c>
      <c r="C39" s="37">
        <v>26.488951190966603</v>
      </c>
      <c r="D39" s="37">
        <v>11.57</v>
      </c>
      <c r="E39" s="37">
        <v>20.32</v>
      </c>
      <c r="F39" s="37">
        <f t="shared" ref="F39" si="66">GEOMEAN(C39:E40)</f>
        <v>18.398140957498597</v>
      </c>
      <c r="G39" s="44">
        <f t="shared" ref="G39" si="67">GEOMEAN(C39:D40)</f>
        <v>17.506489233409525</v>
      </c>
      <c r="H39" s="37">
        <f t="shared" ref="H39" si="68">GEOMEAN(C39,E39)</f>
        <v>23.200333795022033</v>
      </c>
      <c r="I39" s="37">
        <f t="shared" ref="I39" si="69">GEOMEAN(D39:E40)</f>
        <v>15.33304927273111</v>
      </c>
    </row>
    <row r="40" spans="1:9" x14ac:dyDescent="0.2">
      <c r="A40" s="38"/>
      <c r="B40" s="36"/>
      <c r="C40" s="35"/>
      <c r="D40" s="35"/>
      <c r="E40" s="35"/>
      <c r="F40" s="37"/>
      <c r="G40" s="44"/>
      <c r="H40" s="37"/>
      <c r="I40" s="37"/>
    </row>
    <row r="41" spans="1:9" x14ac:dyDescent="0.2">
      <c r="A41" s="38"/>
      <c r="B41" s="36" t="s">
        <v>31</v>
      </c>
      <c r="C41" s="37">
        <v>27.913617289641099</v>
      </c>
      <c r="D41" s="37">
        <v>12.54</v>
      </c>
      <c r="E41" s="37">
        <v>21.38</v>
      </c>
      <c r="F41" s="37">
        <f t="shared" ref="F41" si="70">GEOMEAN(C41:E42)</f>
        <v>19.560222278734251</v>
      </c>
      <c r="G41" s="44">
        <f t="shared" ref="G41" si="71">GEOMEAN(C41:D42)</f>
        <v>18.70926938210307</v>
      </c>
      <c r="H41" s="37">
        <f t="shared" ref="H41" si="72">GEOMEAN(C41,E41)</f>
        <v>24.429349922839261</v>
      </c>
      <c r="I41" s="37">
        <f t="shared" ref="I41" si="73">GEOMEAN(D41:E42)</f>
        <v>16.373918284882208</v>
      </c>
    </row>
    <row r="42" spans="1:9" x14ac:dyDescent="0.2">
      <c r="A42" s="38"/>
      <c r="B42" s="36"/>
      <c r="C42" s="35"/>
      <c r="D42" s="35"/>
      <c r="E42" s="35"/>
      <c r="F42" s="37"/>
      <c r="G42" s="44"/>
      <c r="H42" s="37"/>
      <c r="I42" s="37"/>
    </row>
    <row r="43" spans="1:9" s="29" customFormat="1" x14ac:dyDescent="0.2">
      <c r="A43" s="47" t="s">
        <v>27</v>
      </c>
      <c r="B43" s="48" t="s">
        <v>57</v>
      </c>
      <c r="C43" s="46">
        <v>29.6391416876086</v>
      </c>
      <c r="D43" s="37">
        <v>10</v>
      </c>
      <c r="E43" s="46">
        <v>26.32936294504815</v>
      </c>
      <c r="G43" s="44">
        <f>GEOMEAN(C43:D44)</f>
        <v>17.216022097920472</v>
      </c>
      <c r="H43" s="46">
        <f>AVERAGE(C43,E43)</f>
        <v>27.984252316328373</v>
      </c>
    </row>
    <row r="44" spans="1:9" x14ac:dyDescent="0.2">
      <c r="A44" s="38"/>
      <c r="B44" s="36"/>
      <c r="C44" s="35"/>
      <c r="D44" s="35"/>
      <c r="E44" s="35"/>
      <c r="G44" s="44"/>
      <c r="H44" s="37"/>
    </row>
    <row r="45" spans="1:9" x14ac:dyDescent="0.2">
      <c r="A45" s="38"/>
      <c r="B45" s="36" t="s">
        <v>58</v>
      </c>
      <c r="C45" s="37">
        <v>29.345528037562051</v>
      </c>
      <c r="D45" s="37">
        <v>11.969999999999999</v>
      </c>
      <c r="E45" s="37">
        <v>26.054694061969251</v>
      </c>
      <c r="G45" s="44">
        <f>GEOMEAN(C45:D46)</f>
        <v>18.742090881478987</v>
      </c>
      <c r="H45" s="37">
        <f>AVERAGE(C45,E45)</f>
        <v>27.700111049765653</v>
      </c>
    </row>
    <row r="46" spans="1:9" x14ac:dyDescent="0.2">
      <c r="A46" s="38"/>
      <c r="B46" s="36"/>
      <c r="C46" s="35"/>
      <c r="D46" s="35"/>
      <c r="E46" s="35"/>
      <c r="G46" s="44"/>
      <c r="H46" s="37"/>
    </row>
    <row r="47" spans="1:9" x14ac:dyDescent="0.2">
      <c r="A47" s="38"/>
      <c r="B47" s="36" t="s">
        <v>59</v>
      </c>
      <c r="C47" s="37">
        <v>29.467429019344451</v>
      </c>
      <c r="D47" s="37">
        <v>11.57</v>
      </c>
      <c r="E47" s="37">
        <v>26.13548767398845</v>
      </c>
      <c r="G47" s="44">
        <f>GEOMEAN(C47:D48)</f>
        <v>18.464510655682574</v>
      </c>
      <c r="H47" s="37">
        <f>AVERAGE(C47,E47)</f>
        <v>27.80145834666645</v>
      </c>
    </row>
    <row r="48" spans="1:9" x14ac:dyDescent="0.2">
      <c r="A48" s="38"/>
      <c r="B48" s="36"/>
      <c r="C48" s="35"/>
      <c r="D48" s="35"/>
      <c r="E48" s="35"/>
      <c r="G48" s="44"/>
      <c r="H48" s="37"/>
    </row>
    <row r="49" spans="1:8" x14ac:dyDescent="0.2">
      <c r="A49" s="38"/>
      <c r="B49" s="36" t="s">
        <v>60</v>
      </c>
      <c r="C49" s="37">
        <v>28.4072544121391</v>
      </c>
      <c r="D49" s="37">
        <v>12.54</v>
      </c>
      <c r="E49" s="37">
        <v>25.647112027800251</v>
      </c>
      <c r="G49" s="44">
        <f>GEOMEAN(C49:D50)</f>
        <v>18.873976007408302</v>
      </c>
      <c r="H49" s="37">
        <f>AVERAGE(C49,E49)</f>
        <v>27.027183219969675</v>
      </c>
    </row>
    <row r="50" spans="1:8" x14ac:dyDescent="0.2">
      <c r="A50" s="38"/>
      <c r="B50" s="36"/>
      <c r="C50" s="35"/>
      <c r="D50" s="35"/>
      <c r="E50" s="35"/>
      <c r="G50" s="44"/>
      <c r="H50" s="37"/>
    </row>
  </sheetData>
  <mergeCells count="190">
    <mergeCell ref="E43:E44"/>
    <mergeCell ref="E45:E46"/>
    <mergeCell ref="E47:E48"/>
    <mergeCell ref="E49:E50"/>
    <mergeCell ref="H43:H44"/>
    <mergeCell ref="H45:H46"/>
    <mergeCell ref="H47:H48"/>
    <mergeCell ref="H49:H50"/>
    <mergeCell ref="A43:A50"/>
    <mergeCell ref="B43:B44"/>
    <mergeCell ref="B45:B46"/>
    <mergeCell ref="B47:B48"/>
    <mergeCell ref="B49:B50"/>
    <mergeCell ref="C43:C44"/>
    <mergeCell ref="C45:C46"/>
    <mergeCell ref="C47:C48"/>
    <mergeCell ref="C49:C50"/>
    <mergeCell ref="D43:D44"/>
    <mergeCell ref="D45:D46"/>
    <mergeCell ref="D47:D48"/>
    <mergeCell ref="D49:D50"/>
    <mergeCell ref="G43:G44"/>
    <mergeCell ref="G45:G46"/>
    <mergeCell ref="G47:G48"/>
    <mergeCell ref="A35:A42"/>
    <mergeCell ref="B35:B36"/>
    <mergeCell ref="B37:B38"/>
    <mergeCell ref="B39:B40"/>
    <mergeCell ref="B41:B42"/>
    <mergeCell ref="A27:A34"/>
    <mergeCell ref="B27:B28"/>
    <mergeCell ref="B29:B30"/>
    <mergeCell ref="B31:B32"/>
    <mergeCell ref="B33:B34"/>
    <mergeCell ref="C3:C4"/>
    <mergeCell ref="C5:C6"/>
    <mergeCell ref="C7:C8"/>
    <mergeCell ref="C9:C10"/>
    <mergeCell ref="C11:C12"/>
    <mergeCell ref="A19:A26"/>
    <mergeCell ref="B19:B20"/>
    <mergeCell ref="B21:B22"/>
    <mergeCell ref="B23:B24"/>
    <mergeCell ref="B25:B26"/>
    <mergeCell ref="A3:A10"/>
    <mergeCell ref="B3:B4"/>
    <mergeCell ref="B5:B6"/>
    <mergeCell ref="B7:B8"/>
    <mergeCell ref="B9:B10"/>
    <mergeCell ref="A11:A18"/>
    <mergeCell ref="B11:B12"/>
    <mergeCell ref="B13:B14"/>
    <mergeCell ref="B15:B16"/>
    <mergeCell ref="B17:B18"/>
    <mergeCell ref="C37:C38"/>
    <mergeCell ref="C39:C40"/>
    <mergeCell ref="C41:C42"/>
    <mergeCell ref="D3:D4"/>
    <mergeCell ref="D5:D6"/>
    <mergeCell ref="D7:D8"/>
    <mergeCell ref="D9:D10"/>
    <mergeCell ref="D11:D12"/>
    <mergeCell ref="D13:D14"/>
    <mergeCell ref="D15:D16"/>
    <mergeCell ref="C25:C26"/>
    <mergeCell ref="C27:C28"/>
    <mergeCell ref="C29:C30"/>
    <mergeCell ref="C31:C32"/>
    <mergeCell ref="C33:C34"/>
    <mergeCell ref="C35:C36"/>
    <mergeCell ref="C13:C14"/>
    <mergeCell ref="C15:C16"/>
    <mergeCell ref="C17:C18"/>
    <mergeCell ref="C19:C20"/>
    <mergeCell ref="C21:C22"/>
    <mergeCell ref="C23:C24"/>
    <mergeCell ref="D41:D42"/>
    <mergeCell ref="D29:D30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D31:D32"/>
    <mergeCell ref="D33:D34"/>
    <mergeCell ref="D35:D36"/>
    <mergeCell ref="D37:D38"/>
    <mergeCell ref="D39:D40"/>
    <mergeCell ref="D17:D18"/>
    <mergeCell ref="D19:D20"/>
    <mergeCell ref="D21:D22"/>
    <mergeCell ref="D23:D24"/>
    <mergeCell ref="D25:D26"/>
    <mergeCell ref="D27:D28"/>
    <mergeCell ref="E33:E34"/>
    <mergeCell ref="E35:E36"/>
    <mergeCell ref="E37:E38"/>
    <mergeCell ref="E39:E40"/>
    <mergeCell ref="E41:E42"/>
    <mergeCell ref="F5:F6"/>
    <mergeCell ref="F7:F8"/>
    <mergeCell ref="F9:F10"/>
    <mergeCell ref="F11:F12"/>
    <mergeCell ref="E21:E22"/>
    <mergeCell ref="E23:E24"/>
    <mergeCell ref="E25:E26"/>
    <mergeCell ref="E27:E28"/>
    <mergeCell ref="E29:E30"/>
    <mergeCell ref="E31:E32"/>
    <mergeCell ref="F37:F38"/>
    <mergeCell ref="F39:F40"/>
    <mergeCell ref="F41:F42"/>
    <mergeCell ref="F29:F30"/>
    <mergeCell ref="F31:F32"/>
    <mergeCell ref="F33:F34"/>
    <mergeCell ref="F35:F36"/>
    <mergeCell ref="G3:G4"/>
    <mergeCell ref="H3:H4"/>
    <mergeCell ref="I3:I4"/>
    <mergeCell ref="G5:G6"/>
    <mergeCell ref="G7:G8"/>
    <mergeCell ref="G9:G10"/>
    <mergeCell ref="G11:G12"/>
    <mergeCell ref="F25:F26"/>
    <mergeCell ref="F27:F28"/>
    <mergeCell ref="F13:F14"/>
    <mergeCell ref="F15:F16"/>
    <mergeCell ref="F17:F18"/>
    <mergeCell ref="F19:F20"/>
    <mergeCell ref="F21:F22"/>
    <mergeCell ref="F23:F24"/>
    <mergeCell ref="F3:F4"/>
    <mergeCell ref="I19:I20"/>
    <mergeCell ref="I21:I22"/>
    <mergeCell ref="I23:I24"/>
    <mergeCell ref="I25:I26"/>
    <mergeCell ref="I27:I28"/>
    <mergeCell ref="I17:I18"/>
    <mergeCell ref="G39:G40"/>
    <mergeCell ref="G41:G42"/>
    <mergeCell ref="H5:H6"/>
    <mergeCell ref="H7:H8"/>
    <mergeCell ref="H9:H10"/>
    <mergeCell ref="H11:H12"/>
    <mergeCell ref="H13:H14"/>
    <mergeCell ref="H15:H16"/>
    <mergeCell ref="H17:H18"/>
    <mergeCell ref="G25:G26"/>
    <mergeCell ref="G27:G28"/>
    <mergeCell ref="G29:G30"/>
    <mergeCell ref="G31:G32"/>
    <mergeCell ref="G33:G34"/>
    <mergeCell ref="G35:G36"/>
    <mergeCell ref="G13:G14"/>
    <mergeCell ref="G15:G16"/>
    <mergeCell ref="G17:G18"/>
    <mergeCell ref="G19:G20"/>
    <mergeCell ref="G21:G22"/>
    <mergeCell ref="G23:G24"/>
    <mergeCell ref="H37:H38"/>
    <mergeCell ref="H39:H40"/>
    <mergeCell ref="G37:G38"/>
    <mergeCell ref="G49:G50"/>
    <mergeCell ref="H41:H42"/>
    <mergeCell ref="H19:H20"/>
    <mergeCell ref="H21:H22"/>
    <mergeCell ref="H23:H24"/>
    <mergeCell ref="H25:H26"/>
    <mergeCell ref="H27:H28"/>
    <mergeCell ref="H29:H30"/>
    <mergeCell ref="I5:I6"/>
    <mergeCell ref="I7:I8"/>
    <mergeCell ref="I9:I10"/>
    <mergeCell ref="I11:I12"/>
    <mergeCell ref="I13:I14"/>
    <mergeCell ref="I15:I16"/>
    <mergeCell ref="H31:H32"/>
    <mergeCell ref="H33:H34"/>
    <mergeCell ref="H35:H36"/>
    <mergeCell ref="I41:I42"/>
    <mergeCell ref="I29:I30"/>
    <mergeCell ref="I31:I32"/>
    <mergeCell ref="I33:I34"/>
    <mergeCell ref="I35:I36"/>
    <mergeCell ref="I37:I38"/>
    <mergeCell ref="I39:I40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DD48-AEC1-4D32-8D5B-149562653CF8}">
  <dimension ref="A1:M49"/>
  <sheetViews>
    <sheetView topLeftCell="K9" workbookViewId="0">
      <selection activeCell="A42" sqref="A42:A49"/>
    </sheetView>
  </sheetViews>
  <sheetFormatPr baseColWidth="10" defaultColWidth="8.83203125" defaultRowHeight="15" x14ac:dyDescent="0.2"/>
  <cols>
    <col min="1" max="1" width="16.1640625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3" max="13" width="13.6640625" customWidth="1"/>
  </cols>
  <sheetData>
    <row r="1" spans="1:13" ht="16" x14ac:dyDescent="0.2">
      <c r="A1" s="2" t="s">
        <v>51</v>
      </c>
      <c r="B1" s="6" t="s">
        <v>2</v>
      </c>
      <c r="C1" s="3" t="s">
        <v>40</v>
      </c>
      <c r="D1" s="2" t="s">
        <v>4</v>
      </c>
      <c r="E1" s="2" t="s">
        <v>62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50</v>
      </c>
      <c r="L1" s="2" t="s">
        <v>48</v>
      </c>
      <c r="M1" s="2" t="s">
        <v>49</v>
      </c>
    </row>
    <row r="2" spans="1:13" ht="16" x14ac:dyDescent="0.2">
      <c r="A2" s="34" t="s">
        <v>64</v>
      </c>
      <c r="B2" s="39">
        <v>1</v>
      </c>
      <c r="C2" s="4">
        <v>33.342931849764703</v>
      </c>
      <c r="D2" s="37">
        <f>AVERAGE(C2:C3)</f>
        <v>31.984488231693803</v>
      </c>
      <c r="E2" s="37">
        <v>17.1902878594844</v>
      </c>
      <c r="F2" s="50">
        <f>D2-E2</f>
        <v>14.794200372209403</v>
      </c>
      <c r="G2" s="37">
        <f>GEOMEAN(F2:F9)</f>
        <v>14.868701473913132</v>
      </c>
      <c r="H2" s="37">
        <f>F2-$G$2</f>
        <v>-7.4501101703729589E-2</v>
      </c>
      <c r="I2" s="49">
        <f>2^-(H2)</f>
        <v>1.0529968362059281</v>
      </c>
      <c r="J2" s="37">
        <f>AVERAGE(I2:I9)</f>
        <v>1.0011706810297207</v>
      </c>
      <c r="K2" s="35">
        <f>I2/$J$2</f>
        <v>1.0517655542238844</v>
      </c>
      <c r="L2" s="37">
        <f>AVERAGE(K2:K9)</f>
        <v>1</v>
      </c>
      <c r="M2" s="35">
        <f>STDEV(K2:K9)/4</f>
        <v>1.4482050133264571E-2</v>
      </c>
    </row>
    <row r="3" spans="1:13" ht="16" x14ac:dyDescent="0.2">
      <c r="A3" s="34" t="s">
        <v>64</v>
      </c>
      <c r="B3" s="39"/>
      <c r="C3" s="4">
        <v>30.626044613622899</v>
      </c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ht="16" x14ac:dyDescent="0.2">
      <c r="A4" s="34" t="s">
        <v>64</v>
      </c>
      <c r="B4" s="36" t="s">
        <v>9</v>
      </c>
      <c r="C4" s="4">
        <v>32.602101751045602</v>
      </c>
      <c r="D4" s="37">
        <f>AVERAGE(C4:C5)</f>
        <v>32.156334108949302</v>
      </c>
      <c r="E4" s="37">
        <v>17.164287644881519</v>
      </c>
      <c r="F4" s="50">
        <f t="shared" ref="F4" si="0">D4-E4</f>
        <v>14.992046464067784</v>
      </c>
      <c r="G4" s="37"/>
      <c r="H4" s="37">
        <f t="shared" ref="H4" si="1">F4-$G$2</f>
        <v>0.12334499015465106</v>
      </c>
      <c r="I4" s="49">
        <f t="shared" ref="I4" si="2">2^-(H4)</f>
        <v>0.91805660213629448</v>
      </c>
      <c r="J4" s="37"/>
      <c r="K4" s="35">
        <f t="shared" ref="K4" si="3">I4/$J$2</f>
        <v>0.9169831074078777</v>
      </c>
      <c r="L4" s="37"/>
      <c r="M4" s="35"/>
    </row>
    <row r="5" spans="1:13" ht="16" x14ac:dyDescent="0.2">
      <c r="A5" s="34" t="s">
        <v>64</v>
      </c>
      <c r="B5" s="36"/>
      <c r="C5" s="4">
        <v>31.710566466852999</v>
      </c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ht="16" x14ac:dyDescent="0.2">
      <c r="A6" s="34" t="s">
        <v>64</v>
      </c>
      <c r="B6" s="36" t="s">
        <v>10</v>
      </c>
      <c r="C6" s="4">
        <v>31.074918425193601</v>
      </c>
      <c r="D6" s="37">
        <f>AVERAGE(C6:C7)</f>
        <v>30.747665812255903</v>
      </c>
      <c r="E6" s="37">
        <v>15.905719176330518</v>
      </c>
      <c r="F6" s="50">
        <f t="shared" ref="F6" si="4">D6-E6</f>
        <v>14.841946635925385</v>
      </c>
      <c r="G6" s="37"/>
      <c r="H6" s="37">
        <f t="shared" ref="H6" si="5">F6-$G$2</f>
        <v>-2.6754837987747138E-2</v>
      </c>
      <c r="I6" s="49">
        <f t="shared" ref="I6" si="6">2^-(H6)</f>
        <v>1.0187180677252832</v>
      </c>
      <c r="J6" s="37"/>
      <c r="K6" s="35">
        <f t="shared" ref="K6" si="7">I6/$J$2</f>
        <v>1.0175268683233059</v>
      </c>
      <c r="L6" s="37"/>
      <c r="M6" s="35"/>
    </row>
    <row r="7" spans="1:13" ht="16" x14ac:dyDescent="0.2">
      <c r="A7" s="34" t="s">
        <v>64</v>
      </c>
      <c r="B7" s="36"/>
      <c r="C7" s="4">
        <v>30.420413199318201</v>
      </c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ht="16" x14ac:dyDescent="0.2">
      <c r="A8" s="34" t="s">
        <v>64</v>
      </c>
      <c r="B8" s="36" t="s">
        <v>11</v>
      </c>
      <c r="C8" s="4">
        <v>31.1029186894873</v>
      </c>
      <c r="D8" s="37">
        <f>AVERAGE(C8:C9)</f>
        <v>30.897789473179202</v>
      </c>
      <c r="E8" s="37">
        <v>16.050441528766051</v>
      </c>
      <c r="F8" s="50">
        <f t="shared" ref="F8" si="8">D8-E8</f>
        <v>14.847347944413151</v>
      </c>
      <c r="G8" s="37"/>
      <c r="H8" s="37">
        <f t="shared" ref="H8:H40" si="9">F8-$G$2</f>
        <v>-2.135352949998115E-2</v>
      </c>
      <c r="I8" s="49">
        <f t="shared" ref="I8" si="10">2^-(H8)</f>
        <v>1.014911218051378</v>
      </c>
      <c r="J8" s="37"/>
      <c r="K8" s="35">
        <f t="shared" ref="K8" si="11">I8/$J$2</f>
        <v>1.0137244700449326</v>
      </c>
      <c r="L8" s="37"/>
      <c r="M8" s="35"/>
    </row>
    <row r="9" spans="1:13" ht="15" customHeight="1" x14ac:dyDescent="0.2">
      <c r="A9" s="34" t="s">
        <v>64</v>
      </c>
      <c r="B9" s="36"/>
      <c r="C9" s="4">
        <v>30.6926602568711</v>
      </c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4" t="s">
        <v>63</v>
      </c>
      <c r="B10" s="36" t="s">
        <v>13</v>
      </c>
      <c r="C10" s="4">
        <v>32.393376051850602</v>
      </c>
      <c r="D10" s="37">
        <f>AVERAGE(C10:C11)</f>
        <v>32.121622401419451</v>
      </c>
      <c r="E10" s="37">
        <v>17.143829345000096</v>
      </c>
      <c r="F10" s="50">
        <f t="shared" ref="F10" si="12">D10-E10</f>
        <v>14.977793056419355</v>
      </c>
      <c r="G10" s="8"/>
      <c r="H10" s="37">
        <f t="shared" si="9"/>
        <v>0.1090915825062222</v>
      </c>
      <c r="I10" s="49">
        <f t="shared" ref="I10" si="13">2^-(H10)</f>
        <v>0.92717168756395352</v>
      </c>
      <c r="J10" s="37"/>
      <c r="K10" s="35">
        <f t="shared" ref="K10" si="14">I10/$J$2</f>
        <v>0.92608753445550562</v>
      </c>
      <c r="L10" s="37">
        <f t="shared" ref="L10" si="15">AVERAGE(K10:K17)</f>
        <v>2.3629996282913868</v>
      </c>
      <c r="M10" s="35">
        <f t="shared" ref="M10" si="16">STDEV(K10:K17)/4</f>
        <v>0.35820281826991135</v>
      </c>
    </row>
    <row r="11" spans="1:13" ht="15" customHeight="1" x14ac:dyDescent="0.2">
      <c r="A11" s="34" t="s">
        <v>63</v>
      </c>
      <c r="B11" s="36"/>
      <c r="C11" s="4">
        <v>31.8498687509883</v>
      </c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4" t="s">
        <v>63</v>
      </c>
      <c r="B12" s="36" t="s">
        <v>14</v>
      </c>
      <c r="C12" s="4">
        <v>30.870314607679401</v>
      </c>
      <c r="D12" s="37">
        <f>AVERAGE(C12:C13)</f>
        <v>30.745824489134002</v>
      </c>
      <c r="E12" s="37">
        <v>17.978019717604003</v>
      </c>
      <c r="F12" s="50">
        <f t="shared" ref="F12" si="17">D12-E12</f>
        <v>12.767804771529999</v>
      </c>
      <c r="G12" s="8"/>
      <c r="H12" s="37">
        <f t="shared" si="9"/>
        <v>-2.1008967023831335</v>
      </c>
      <c r="I12" s="49">
        <f t="shared" ref="I12" si="18">2^-(H12)</f>
        <v>4.2897593075705949</v>
      </c>
      <c r="J12" s="37"/>
      <c r="K12" s="35">
        <f t="shared" ref="K12:K36" si="19">I12/$J$2</f>
        <v>4.2847432399423706</v>
      </c>
      <c r="L12" s="37"/>
      <c r="M12" s="35"/>
    </row>
    <row r="13" spans="1:13" ht="15" customHeight="1" x14ac:dyDescent="0.2">
      <c r="A13" s="34" t="s">
        <v>63</v>
      </c>
      <c r="B13" s="36"/>
      <c r="C13" s="4">
        <v>30.621334370588599</v>
      </c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4" t="s">
        <v>63</v>
      </c>
      <c r="B14" s="36" t="s">
        <v>15</v>
      </c>
      <c r="C14" s="4">
        <v>32.559139781463699</v>
      </c>
      <c r="D14" s="37">
        <f>AVERAGE(C14:C15)</f>
        <v>32.039073151317098</v>
      </c>
      <c r="E14" s="37">
        <v>17.974532197115273</v>
      </c>
      <c r="F14" s="50">
        <f t="shared" ref="F14" si="20">D14-E14</f>
        <v>14.064540954201824</v>
      </c>
      <c r="G14" s="8"/>
      <c r="H14" s="37">
        <f t="shared" si="9"/>
        <v>-0.8041605197113082</v>
      </c>
      <c r="I14" s="49">
        <f t="shared" ref="I14" si="21">2^-(H14)</f>
        <v>1.7461294524322406</v>
      </c>
      <c r="J14" s="37"/>
      <c r="K14" s="35">
        <f t="shared" ref="K14:K38" si="22">I14/$J$2</f>
        <v>1.7440876820686733</v>
      </c>
      <c r="L14" s="37"/>
      <c r="M14" s="35"/>
    </row>
    <row r="15" spans="1:13" ht="15" customHeight="1" x14ac:dyDescent="0.2">
      <c r="A15" s="34" t="s">
        <v>63</v>
      </c>
      <c r="B15" s="36"/>
      <c r="C15" s="4">
        <v>31.5190065211705</v>
      </c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4" t="s">
        <v>63</v>
      </c>
      <c r="B16" s="36" t="s">
        <v>16</v>
      </c>
      <c r="C16" s="4">
        <v>31.1296919776584</v>
      </c>
      <c r="D16" s="37">
        <f>AVERAGE(C16:C17)</f>
        <v>30.866131635035099</v>
      </c>
      <c r="E16" s="37">
        <v>17.319360183997457</v>
      </c>
      <c r="F16" s="50">
        <f t="shared" ref="F16" si="23">D16-E16</f>
        <v>13.546771451037642</v>
      </c>
      <c r="G16" s="8"/>
      <c r="H16" s="37">
        <f t="shared" si="9"/>
        <v>-1.32193002287549</v>
      </c>
      <c r="I16" s="49">
        <f t="shared" ref="I16" si="24">2^-(H16)</f>
        <v>2.5000033409510696</v>
      </c>
      <c r="J16" s="37"/>
      <c r="K16" s="35">
        <f t="shared" ref="K16:K40" si="25">I16/$J$2</f>
        <v>2.4970800566989979</v>
      </c>
      <c r="L16" s="37"/>
      <c r="M16" s="35"/>
    </row>
    <row r="17" spans="1:13" ht="15" customHeight="1" x14ac:dyDescent="0.2">
      <c r="A17" s="34" t="s">
        <v>63</v>
      </c>
      <c r="B17" s="36"/>
      <c r="C17" s="4">
        <v>30.602571292411799</v>
      </c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19" t="s">
        <v>53</v>
      </c>
      <c r="B18" s="36" t="s">
        <v>18</v>
      </c>
      <c r="C18" s="4">
        <v>32.878095710683802</v>
      </c>
      <c r="D18" s="37">
        <f>AVERAGE(C18:C19)</f>
        <v>32.321737428047498</v>
      </c>
      <c r="E18" s="37">
        <v>19.205252186246113</v>
      </c>
      <c r="F18" s="50">
        <f t="shared" ref="F18" si="26">D18-E18</f>
        <v>13.116485241801385</v>
      </c>
      <c r="G18" s="8"/>
      <c r="H18" s="37">
        <f t="shared" si="9"/>
        <v>-1.7522162321117474</v>
      </c>
      <c r="I18" s="49">
        <f t="shared" ref="I18" si="27">2^-(H18)</f>
        <v>3.368756688135782</v>
      </c>
      <c r="J18" s="37"/>
      <c r="K18" s="35">
        <f t="shared" ref="K18" si="28">I18/$J$2</f>
        <v>3.3648175600497607</v>
      </c>
      <c r="L18" s="37">
        <f>AVERAGE(K18:K25)</f>
        <v>2.0346006577874212</v>
      </c>
      <c r="M18" s="35">
        <f t="shared" ref="M18" si="29">STDEV(K18:K25)/4</f>
        <v>0.2471602749916785</v>
      </c>
    </row>
    <row r="19" spans="1:13" ht="15" customHeight="1" x14ac:dyDescent="0.2">
      <c r="A19" s="19" t="s">
        <v>53</v>
      </c>
      <c r="B19" s="36"/>
      <c r="C19" s="4">
        <v>31.765379145411199</v>
      </c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19" t="s">
        <v>53</v>
      </c>
      <c r="B20" s="36" t="s">
        <v>19</v>
      </c>
      <c r="C20" s="4">
        <v>32.237414600178496</v>
      </c>
      <c r="D20" s="37">
        <f>AVERAGE(C20:C21)</f>
        <v>31.643217116114798</v>
      </c>
      <c r="E20" s="37">
        <v>17.51825332356341</v>
      </c>
      <c r="F20" s="50">
        <f t="shared" ref="F20" si="30">D20-E20</f>
        <v>14.124963792551387</v>
      </c>
      <c r="G20" s="8"/>
      <c r="H20" s="37">
        <f t="shared" si="9"/>
        <v>-0.74373768136174512</v>
      </c>
      <c r="I20" s="49">
        <f t="shared" ref="I20" si="31">2^-(H20)</f>
        <v>1.6745084791200746</v>
      </c>
      <c r="J20" s="37"/>
      <c r="K20" s="35">
        <f t="shared" si="19"/>
        <v>1.6725504560299496</v>
      </c>
      <c r="L20" s="37"/>
      <c r="M20" s="35"/>
    </row>
    <row r="21" spans="1:13" ht="15" customHeight="1" x14ac:dyDescent="0.2">
      <c r="A21" s="20" t="s">
        <v>53</v>
      </c>
      <c r="B21" s="36"/>
      <c r="C21" s="4">
        <v>31.049019632051099</v>
      </c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20" t="s">
        <v>53</v>
      </c>
      <c r="B22" s="36" t="s">
        <v>20</v>
      </c>
      <c r="C22" s="4">
        <v>31.732106585900102</v>
      </c>
      <c r="D22" s="37">
        <f>AVERAGE(C22:C23)</f>
        <v>31.258883605546949</v>
      </c>
      <c r="E22" s="37">
        <v>17.449205574599276</v>
      </c>
      <c r="F22" s="50">
        <f t="shared" ref="F22" si="32">D22-E22</f>
        <v>13.809678030947673</v>
      </c>
      <c r="G22" s="8"/>
      <c r="H22" s="37">
        <f t="shared" si="9"/>
        <v>-1.0590234429654597</v>
      </c>
      <c r="I22" s="49">
        <f t="shared" ref="I22" si="33">2^-(H22)</f>
        <v>2.0835207137558069</v>
      </c>
      <c r="J22" s="37"/>
      <c r="K22" s="35">
        <f t="shared" si="22"/>
        <v>2.0810844276950573</v>
      </c>
      <c r="L22" s="37"/>
      <c r="M22" s="35"/>
    </row>
    <row r="23" spans="1:13" ht="15" customHeight="1" x14ac:dyDescent="0.2">
      <c r="A23" s="20" t="s">
        <v>53</v>
      </c>
      <c r="B23" s="36"/>
      <c r="C23" s="4">
        <v>30.785660625193799</v>
      </c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20" t="s">
        <v>53</v>
      </c>
      <c r="B24" s="36" t="s">
        <v>21</v>
      </c>
      <c r="C24" s="4">
        <v>31.210107575938402</v>
      </c>
      <c r="D24" s="37">
        <f>AVERAGE(C24:C25)</f>
        <v>31.730811298720052</v>
      </c>
      <c r="E24" s="37">
        <v>16.892296467846915</v>
      </c>
      <c r="F24" s="50">
        <f t="shared" ref="F24" si="34">D24-E24</f>
        <v>14.838514830873137</v>
      </c>
      <c r="G24" s="8"/>
      <c r="H24" s="37">
        <f t="shared" si="9"/>
        <v>-3.0186643039995076E-2</v>
      </c>
      <c r="I24" s="49">
        <f t="shared" ref="I24" si="35">2^-(H24)</f>
        <v>1.0211442237105364</v>
      </c>
      <c r="J24" s="37"/>
      <c r="K24" s="35">
        <f t="shared" si="25"/>
        <v>1.0199501873749164</v>
      </c>
      <c r="L24" s="37"/>
      <c r="M24" s="35"/>
    </row>
    <row r="25" spans="1:13" ht="15" customHeight="1" x14ac:dyDescent="0.2">
      <c r="A25" s="20" t="s">
        <v>53</v>
      </c>
      <c r="B25" s="36"/>
      <c r="C25" s="4">
        <v>32.251515021501703</v>
      </c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19" t="s">
        <v>54</v>
      </c>
      <c r="B26" s="36" t="s">
        <v>23</v>
      </c>
      <c r="C26" s="4">
        <v>31.2352222777102</v>
      </c>
      <c r="D26" s="37">
        <f>AVERAGE(C26:C27)</f>
        <v>30.83400152556305</v>
      </c>
      <c r="E26" s="37">
        <v>17.460951826505497</v>
      </c>
      <c r="F26" s="50">
        <f t="shared" ref="F26" si="36">D26-E26</f>
        <v>13.373049699057553</v>
      </c>
      <c r="G26" s="8"/>
      <c r="H26" s="37">
        <f t="shared" si="9"/>
        <v>-1.4956517748555793</v>
      </c>
      <c r="I26" s="49">
        <f t="shared" ref="I26" si="37">2^-(H26)</f>
        <v>2.819915192286758</v>
      </c>
      <c r="J26" s="37"/>
      <c r="K26" s="35">
        <f t="shared" ref="K26" si="38">I26/$J$2</f>
        <v>2.8166178312237711</v>
      </c>
      <c r="L26" s="37">
        <f>AVERAGE(K26:K33)</f>
        <v>2.5374331587998902</v>
      </c>
      <c r="M26" s="35">
        <f t="shared" ref="M26" si="39">STDEV(K26:K33)/4</f>
        <v>0.14298187201653403</v>
      </c>
    </row>
    <row r="27" spans="1:13" ht="15" customHeight="1" x14ac:dyDescent="0.2">
      <c r="A27" s="19" t="s">
        <v>54</v>
      </c>
      <c r="B27" s="36"/>
      <c r="C27" s="4">
        <v>30.432780773415899</v>
      </c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19" t="s">
        <v>54</v>
      </c>
      <c r="B28" s="36" t="s">
        <v>24</v>
      </c>
      <c r="C28" s="4">
        <v>31.512866516967701</v>
      </c>
      <c r="D28" s="37">
        <f>AVERAGE(C28:C29)</f>
        <v>31.085789312642351</v>
      </c>
      <c r="E28" s="37">
        <v>17.810378746674107</v>
      </c>
      <c r="F28" s="50">
        <f t="shared" ref="F28" si="40">D28-E28</f>
        <v>13.275410565968244</v>
      </c>
      <c r="G28" s="8"/>
      <c r="H28" s="37">
        <f t="shared" si="9"/>
        <v>-1.5932909079448887</v>
      </c>
      <c r="I28" s="49">
        <f t="shared" ref="I28" si="41">2^-(H28)</f>
        <v>3.0173685203238856</v>
      </c>
      <c r="J28" s="37"/>
      <c r="K28" s="35">
        <f t="shared" si="19"/>
        <v>3.0138402746877002</v>
      </c>
      <c r="L28" s="37"/>
      <c r="M28" s="35"/>
    </row>
    <row r="29" spans="1:13" ht="15" customHeight="1" x14ac:dyDescent="0.2">
      <c r="A29" s="19" t="s">
        <v>54</v>
      </c>
      <c r="B29" s="36"/>
      <c r="C29" s="4">
        <v>30.658712108317001</v>
      </c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19" t="s">
        <v>54</v>
      </c>
      <c r="B30" s="36" t="s">
        <v>25</v>
      </c>
      <c r="C30" s="4">
        <v>31.3816092614144</v>
      </c>
      <c r="D30" s="37">
        <f>AVERAGE(C30:C31)</f>
        <v>31.12426280718735</v>
      </c>
      <c r="E30" s="37">
        <v>17.636734292930214</v>
      </c>
      <c r="F30" s="50">
        <f t="shared" ref="F30" si="42">D30-E30</f>
        <v>13.487528514257136</v>
      </c>
      <c r="G30" s="8"/>
      <c r="H30" s="37">
        <f t="shared" si="9"/>
        <v>-1.3811729596559967</v>
      </c>
      <c r="I30" s="49">
        <f t="shared" ref="I30" si="43">2^-(H30)</f>
        <v>2.6048006408462725</v>
      </c>
      <c r="J30" s="37"/>
      <c r="K30" s="35">
        <f t="shared" si="22"/>
        <v>2.6017548158393846</v>
      </c>
      <c r="L30" s="37"/>
      <c r="M30" s="35"/>
    </row>
    <row r="31" spans="1:13" ht="15" customHeight="1" x14ac:dyDescent="0.2">
      <c r="A31" s="19" t="s">
        <v>54</v>
      </c>
      <c r="B31" s="36"/>
      <c r="C31" s="4">
        <v>30.866916352960299</v>
      </c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19" t="s">
        <v>54</v>
      </c>
      <c r="B32" s="36" t="s">
        <v>26</v>
      </c>
      <c r="C32" s="4">
        <v>32.484334475772499</v>
      </c>
      <c r="D32" s="37">
        <f>AVERAGE(C32:C33)</f>
        <v>32.484334475772499</v>
      </c>
      <c r="E32" s="37">
        <v>18.397647607932122</v>
      </c>
      <c r="F32" s="50">
        <f t="shared" ref="F32" si="44">D32-E32</f>
        <v>14.086686867840378</v>
      </c>
      <c r="G32" s="8"/>
      <c r="H32" s="37">
        <f t="shared" si="9"/>
        <v>-0.78201460607275486</v>
      </c>
      <c r="I32" s="49">
        <f t="shared" ref="I32" si="45">2^-(H32)</f>
        <v>1.7195303811954099</v>
      </c>
      <c r="J32" s="37"/>
      <c r="K32" s="35">
        <f t="shared" si="25"/>
        <v>1.7175197134487041</v>
      </c>
      <c r="L32" s="37"/>
      <c r="M32" s="35"/>
    </row>
    <row r="33" spans="1:13" ht="15" customHeight="1" x14ac:dyDescent="0.2">
      <c r="A33" s="19" t="s">
        <v>54</v>
      </c>
      <c r="B33" s="36"/>
      <c r="C33" s="4"/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19" t="s">
        <v>55</v>
      </c>
      <c r="B34" s="36" t="s">
        <v>28</v>
      </c>
      <c r="C34" s="4">
        <v>31.455932805212001</v>
      </c>
      <c r="D34" s="37">
        <f>AVERAGE(C34:C35)</f>
        <v>30.9994589751484</v>
      </c>
      <c r="E34" s="37">
        <v>16.509506697394823</v>
      </c>
      <c r="F34" s="50">
        <f t="shared" ref="F34" si="46">D34-E34</f>
        <v>14.489952277753577</v>
      </c>
      <c r="G34" s="8"/>
      <c r="H34" s="37">
        <f t="shared" si="9"/>
        <v>-0.37874919615955527</v>
      </c>
      <c r="I34" s="49">
        <f t="shared" ref="I34" si="47">2^-(H34)</f>
        <v>1.3002140925139489</v>
      </c>
      <c r="J34" s="37"/>
      <c r="K34" s="35">
        <f t="shared" ref="K34" si="48">I34/$J$2</f>
        <v>1.2986937363933362</v>
      </c>
      <c r="L34" s="37">
        <f>AVERAGE(K34:K41)</f>
        <v>3.068279438345388</v>
      </c>
      <c r="M34" s="35">
        <f t="shared" ref="M34" si="49">STDEV(K34:K41)/4</f>
        <v>0.32067779300465776</v>
      </c>
    </row>
    <row r="35" spans="1:13" ht="15" customHeight="1" x14ac:dyDescent="0.2">
      <c r="A35" s="19" t="s">
        <v>55</v>
      </c>
      <c r="B35" s="36"/>
      <c r="C35" s="4">
        <v>30.542985145084799</v>
      </c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19" t="s">
        <v>55</v>
      </c>
      <c r="B36" s="36" t="s">
        <v>29</v>
      </c>
      <c r="C36" s="4">
        <v>31.564737957365899</v>
      </c>
      <c r="D36" s="37">
        <f>AVERAGE(C36:C37)</f>
        <v>31.255382944158399</v>
      </c>
      <c r="E36" s="37">
        <v>18.343164352268513</v>
      </c>
      <c r="F36" s="50">
        <f t="shared" ref="F36" si="50">D36-E36</f>
        <v>12.912218591889886</v>
      </c>
      <c r="G36" s="8"/>
      <c r="H36" s="37">
        <f t="shared" si="9"/>
        <v>-1.9564828820232467</v>
      </c>
      <c r="I36" s="49">
        <f t="shared" ref="I36" si="51">2^-(H36)</f>
        <v>3.8811464759787548</v>
      </c>
      <c r="J36" s="37"/>
      <c r="K36" s="35">
        <f t="shared" si="19"/>
        <v>3.8766082042943277</v>
      </c>
      <c r="L36" s="37"/>
      <c r="M36" s="35"/>
    </row>
    <row r="37" spans="1:13" ht="15" customHeight="1" x14ac:dyDescent="0.2">
      <c r="A37" s="19" t="s">
        <v>55</v>
      </c>
      <c r="B37" s="36"/>
      <c r="C37" s="4">
        <v>30.946027930950901</v>
      </c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19" t="s">
        <v>55</v>
      </c>
      <c r="B38" s="36" t="s">
        <v>30</v>
      </c>
      <c r="C38" s="4">
        <v>31.219148963225699</v>
      </c>
      <c r="D38" s="37">
        <f>AVERAGE(C38:C39)</f>
        <v>30.806990382931652</v>
      </c>
      <c r="E38" s="37">
        <v>17.506489233409525</v>
      </c>
      <c r="F38" s="50">
        <f t="shared" ref="F38" si="52">D38-E38</f>
        <v>13.300501149522127</v>
      </c>
      <c r="G38" s="8"/>
      <c r="H38" s="37">
        <f t="shared" si="9"/>
        <v>-1.5682003243910057</v>
      </c>
      <c r="I38" s="49">
        <f t="shared" ref="I38" si="53">2^-(H38)</f>
        <v>2.9653457419884868</v>
      </c>
      <c r="J38" s="37"/>
      <c r="K38" s="35">
        <f t="shared" si="22"/>
        <v>2.961878327218471</v>
      </c>
      <c r="L38" s="37"/>
      <c r="M38" s="35"/>
    </row>
    <row r="39" spans="1:13" ht="15" customHeight="1" x14ac:dyDescent="0.2">
      <c r="A39" s="19" t="s">
        <v>55</v>
      </c>
      <c r="B39" s="36"/>
      <c r="C39" s="4">
        <v>30.394831802637601</v>
      </c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19" t="s">
        <v>55</v>
      </c>
      <c r="B40" s="36" t="s">
        <v>31</v>
      </c>
      <c r="C40" s="4">
        <v>31.5280685285902</v>
      </c>
      <c r="D40" s="37">
        <f>AVERAGE(C40:C41)</f>
        <v>31.5280685285902</v>
      </c>
      <c r="E40" s="37">
        <v>18.70926938210307</v>
      </c>
      <c r="F40" s="50">
        <f t="shared" ref="F40" si="54">D40-E40</f>
        <v>12.81879914648713</v>
      </c>
      <c r="G40" s="8"/>
      <c r="H40" s="37">
        <f t="shared" si="9"/>
        <v>-2.0499023274260022</v>
      </c>
      <c r="I40" s="49">
        <f>2^-(H40)</f>
        <v>4.1407793490297742</v>
      </c>
      <c r="J40" s="37"/>
      <c r="K40" s="35">
        <f t="shared" si="25"/>
        <v>4.1359374854754174</v>
      </c>
      <c r="L40" s="37"/>
      <c r="M40" s="35"/>
    </row>
    <row r="41" spans="1:13" ht="15" customHeight="1" x14ac:dyDescent="0.2">
      <c r="A41" s="19" t="s">
        <v>55</v>
      </c>
      <c r="B41" s="36"/>
      <c r="C41" s="4"/>
      <c r="D41" s="37"/>
      <c r="E41" s="37"/>
      <c r="F41" s="50"/>
      <c r="G41" s="8"/>
      <c r="H41" s="37"/>
      <c r="I41" s="49"/>
      <c r="J41" s="37"/>
      <c r="K41" s="35"/>
      <c r="L41" s="37"/>
      <c r="M41" s="35"/>
    </row>
    <row r="42" spans="1:13" x14ac:dyDescent="0.2">
      <c r="A42" s="33" t="s">
        <v>56</v>
      </c>
    </row>
    <row r="43" spans="1:13" x14ac:dyDescent="0.2">
      <c r="A43" s="32" t="s">
        <v>56</v>
      </c>
    </row>
    <row r="44" spans="1:13" x14ac:dyDescent="0.2">
      <c r="A44" s="32" t="s">
        <v>56</v>
      </c>
    </row>
    <row r="45" spans="1:13" x14ac:dyDescent="0.2">
      <c r="A45" s="32" t="s">
        <v>56</v>
      </c>
    </row>
    <row r="46" spans="1:13" x14ac:dyDescent="0.2">
      <c r="A46" s="32" t="s">
        <v>56</v>
      </c>
    </row>
    <row r="47" spans="1:13" x14ac:dyDescent="0.2">
      <c r="A47" s="32" t="s">
        <v>56</v>
      </c>
    </row>
    <row r="48" spans="1:13" x14ac:dyDescent="0.2">
      <c r="A48" s="32" t="s">
        <v>56</v>
      </c>
    </row>
    <row r="49" spans="1:1" x14ac:dyDescent="0.2">
      <c r="A49" s="32" t="s">
        <v>56</v>
      </c>
    </row>
  </sheetData>
  <mergeCells count="156">
    <mergeCell ref="D10:D11"/>
    <mergeCell ref="B10:B11"/>
    <mergeCell ref="D6:D7"/>
    <mergeCell ref="B8:B9"/>
    <mergeCell ref="D8:D9"/>
    <mergeCell ref="B2:B3"/>
    <mergeCell ref="D2:D3"/>
    <mergeCell ref="F2:F3"/>
    <mergeCell ref="B4:B5"/>
    <mergeCell ref="D4:D5"/>
    <mergeCell ref="F4:F5"/>
    <mergeCell ref="B6:B7"/>
    <mergeCell ref="B16:B17"/>
    <mergeCell ref="D16:D17"/>
    <mergeCell ref="F16:F17"/>
    <mergeCell ref="E14:E15"/>
    <mergeCell ref="E16:E17"/>
    <mergeCell ref="B12:B13"/>
    <mergeCell ref="D12:D13"/>
    <mergeCell ref="F12:F13"/>
    <mergeCell ref="B14:B15"/>
    <mergeCell ref="D14:D15"/>
    <mergeCell ref="B24:B25"/>
    <mergeCell ref="D24:D25"/>
    <mergeCell ref="F24:F25"/>
    <mergeCell ref="F30:F31"/>
    <mergeCell ref="B18:B19"/>
    <mergeCell ref="D18:D19"/>
    <mergeCell ref="F18:F19"/>
    <mergeCell ref="B20:B21"/>
    <mergeCell ref="D20:D21"/>
    <mergeCell ref="F20:F21"/>
    <mergeCell ref="B22:B23"/>
    <mergeCell ref="D22:D23"/>
    <mergeCell ref="E30:E31"/>
    <mergeCell ref="E32:E33"/>
    <mergeCell ref="B38:B39"/>
    <mergeCell ref="D38:D39"/>
    <mergeCell ref="B26:B27"/>
    <mergeCell ref="D26:D27"/>
    <mergeCell ref="F26:F27"/>
    <mergeCell ref="B28:B29"/>
    <mergeCell ref="D28:D29"/>
    <mergeCell ref="F28:F29"/>
    <mergeCell ref="B30:B31"/>
    <mergeCell ref="D30:D31"/>
    <mergeCell ref="B32:B33"/>
    <mergeCell ref="D32:D33"/>
    <mergeCell ref="F32:F33"/>
    <mergeCell ref="E36:E37"/>
    <mergeCell ref="E38:E39"/>
    <mergeCell ref="F38:F39"/>
    <mergeCell ref="B40:B41"/>
    <mergeCell ref="D40:D41"/>
    <mergeCell ref="F40:F41"/>
    <mergeCell ref="B34:B35"/>
    <mergeCell ref="D34:D35"/>
    <mergeCell ref="F34:F35"/>
    <mergeCell ref="B36:B37"/>
    <mergeCell ref="D36:D37"/>
    <mergeCell ref="F36:F37"/>
    <mergeCell ref="E40:E41"/>
    <mergeCell ref="G2:G9"/>
    <mergeCell ref="H2:H3"/>
    <mergeCell ref="H4:H5"/>
    <mergeCell ref="H6:H7"/>
    <mergeCell ref="H8:H9"/>
    <mergeCell ref="H10:H11"/>
    <mergeCell ref="F6:F7"/>
    <mergeCell ref="F8:F9"/>
    <mergeCell ref="E34:E35"/>
    <mergeCell ref="E2:E3"/>
    <mergeCell ref="E4:E5"/>
    <mergeCell ref="E6:E7"/>
    <mergeCell ref="E8:E9"/>
    <mergeCell ref="E10:E11"/>
    <mergeCell ref="E12:E13"/>
    <mergeCell ref="F22:F23"/>
    <mergeCell ref="F14:F15"/>
    <mergeCell ref="F10:F11"/>
    <mergeCell ref="E18:E19"/>
    <mergeCell ref="E20:E21"/>
    <mergeCell ref="E22:E23"/>
    <mergeCell ref="E24:E25"/>
    <mergeCell ref="E26:E27"/>
    <mergeCell ref="E28:E29"/>
    <mergeCell ref="I2:I3"/>
    <mergeCell ref="I4:I5"/>
    <mergeCell ref="I6:I7"/>
    <mergeCell ref="I8:I9"/>
    <mergeCell ref="I10:I11"/>
    <mergeCell ref="I12:I13"/>
    <mergeCell ref="I14:I15"/>
    <mergeCell ref="H24:H25"/>
    <mergeCell ref="H26:H27"/>
    <mergeCell ref="H12:H13"/>
    <mergeCell ref="H14:H15"/>
    <mergeCell ref="H16:H17"/>
    <mergeCell ref="H18:H19"/>
    <mergeCell ref="H20:H21"/>
    <mergeCell ref="H22:H23"/>
    <mergeCell ref="I16:I17"/>
    <mergeCell ref="I18:I19"/>
    <mergeCell ref="I20:I21"/>
    <mergeCell ref="I22:I23"/>
    <mergeCell ref="I24:I25"/>
    <mergeCell ref="I26:I27"/>
    <mergeCell ref="H36:H37"/>
    <mergeCell ref="H38:H39"/>
    <mergeCell ref="H40:H41"/>
    <mergeCell ref="H28:H29"/>
    <mergeCell ref="H30:H31"/>
    <mergeCell ref="H32:H33"/>
    <mergeCell ref="H34:H35"/>
    <mergeCell ref="J26:J33"/>
    <mergeCell ref="J34:J41"/>
    <mergeCell ref="I40:I41"/>
    <mergeCell ref="I28:I29"/>
    <mergeCell ref="I30:I31"/>
    <mergeCell ref="I32:I33"/>
    <mergeCell ref="I34:I35"/>
    <mergeCell ref="I36:I37"/>
    <mergeCell ref="I38:I39"/>
    <mergeCell ref="K2:K3"/>
    <mergeCell ref="K4:K5"/>
    <mergeCell ref="K6:K7"/>
    <mergeCell ref="K8:K9"/>
    <mergeCell ref="K10:K11"/>
    <mergeCell ref="K12:K13"/>
    <mergeCell ref="J2:J9"/>
    <mergeCell ref="J10:J17"/>
    <mergeCell ref="J18:J25"/>
    <mergeCell ref="M2:M9"/>
    <mergeCell ref="M10:M17"/>
    <mergeCell ref="M18:M25"/>
    <mergeCell ref="M26:M33"/>
    <mergeCell ref="M34:M41"/>
    <mergeCell ref="K38:K39"/>
    <mergeCell ref="K40:K41"/>
    <mergeCell ref="L2:L9"/>
    <mergeCell ref="L10:L17"/>
    <mergeCell ref="L18:L25"/>
    <mergeCell ref="L26:L33"/>
    <mergeCell ref="L34:L41"/>
    <mergeCell ref="K26:K27"/>
    <mergeCell ref="K28:K29"/>
    <mergeCell ref="K30:K31"/>
    <mergeCell ref="K32:K33"/>
    <mergeCell ref="K34:K35"/>
    <mergeCell ref="K36:K37"/>
    <mergeCell ref="K14:K15"/>
    <mergeCell ref="K16:K17"/>
    <mergeCell ref="K18:K19"/>
    <mergeCell ref="K20:K21"/>
    <mergeCell ref="K22:K23"/>
    <mergeCell ref="K24:K25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6895-0B7C-4FA9-A153-0710A65931F2}">
  <dimension ref="A1:M49"/>
  <sheetViews>
    <sheetView topLeftCell="J9" workbookViewId="0">
      <selection activeCell="B2" sqref="B2:B3"/>
    </sheetView>
  </sheetViews>
  <sheetFormatPr baseColWidth="10" defaultColWidth="8.83203125" defaultRowHeight="15" x14ac:dyDescent="0.2"/>
  <cols>
    <col min="1" max="1" width="16.1640625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3" max="13" width="13.6640625" customWidth="1"/>
  </cols>
  <sheetData>
    <row r="1" spans="1:13" ht="16" x14ac:dyDescent="0.2">
      <c r="A1" s="2" t="s">
        <v>51</v>
      </c>
      <c r="B1" s="6" t="s">
        <v>2</v>
      </c>
      <c r="C1" s="3" t="s">
        <v>40</v>
      </c>
      <c r="D1" s="2" t="s">
        <v>4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52</v>
      </c>
      <c r="L1" s="2" t="s">
        <v>48</v>
      </c>
      <c r="M1" s="2" t="s">
        <v>49</v>
      </c>
    </row>
    <row r="2" spans="1:13" ht="16" x14ac:dyDescent="0.2">
      <c r="A2" s="34" t="s">
        <v>64</v>
      </c>
      <c r="B2" s="39">
        <v>1</v>
      </c>
      <c r="C2" s="4">
        <v>28.633651016154001</v>
      </c>
      <c r="D2" s="37">
        <f>AVERAGE(C2:C3)</f>
        <v>28.337269454557799</v>
      </c>
      <c r="E2" s="37">
        <v>17.190287859484446</v>
      </c>
      <c r="F2" s="50">
        <f>D2-E2</f>
        <v>11.146981595073353</v>
      </c>
      <c r="G2" s="37">
        <f>GEOMEAN(F2:F9)</f>
        <v>12.023803083974387</v>
      </c>
      <c r="H2" s="37">
        <f>F2-$G$2</f>
        <v>-0.87682148890103484</v>
      </c>
      <c r="I2" s="49">
        <f>2^-(H2)</f>
        <v>1.8363250938410451</v>
      </c>
      <c r="J2" s="37">
        <f>AVERAGE(I2:I9)</f>
        <v>1.1696178784438029</v>
      </c>
      <c r="K2" s="35">
        <f>I2/$J$2</f>
        <v>1.5700213956068352</v>
      </c>
      <c r="L2" s="37">
        <f>AVERAGE(K2:K9)</f>
        <v>1</v>
      </c>
      <c r="M2" s="35">
        <f>STDEV(K2:K9)/4</f>
        <v>0.15826778906389033</v>
      </c>
    </row>
    <row r="3" spans="1:13" ht="16" x14ac:dyDescent="0.2">
      <c r="A3" s="34" t="s">
        <v>64</v>
      </c>
      <c r="B3" s="39"/>
      <c r="C3" s="4">
        <v>28.040887892961599</v>
      </c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ht="16" x14ac:dyDescent="0.2">
      <c r="A4" s="34" t="s">
        <v>64</v>
      </c>
      <c r="B4" s="36" t="s">
        <v>9</v>
      </c>
      <c r="C4" s="4">
        <v>28.551186830093801</v>
      </c>
      <c r="D4" s="37">
        <f>AVERAGE(C4:C5)</f>
        <v>28.353203693632501</v>
      </c>
      <c r="E4" s="37">
        <v>17.164287644881519</v>
      </c>
      <c r="F4" s="50">
        <f t="shared" ref="F4" si="0">D4-E4</f>
        <v>11.188916048750983</v>
      </c>
      <c r="G4" s="37"/>
      <c r="H4" s="37">
        <f t="shared" ref="H4" si="1">F4-$G$2</f>
        <v>-0.83488703522340479</v>
      </c>
      <c r="I4" s="49">
        <f t="shared" ref="I4" si="2">2^-(H4)</f>
        <v>1.7837173661325041</v>
      </c>
      <c r="J4" s="37"/>
      <c r="K4" s="35">
        <f t="shared" ref="K4" si="3">I4/$J$2</f>
        <v>1.5250428357899002</v>
      </c>
      <c r="L4" s="37"/>
      <c r="M4" s="35"/>
    </row>
    <row r="5" spans="1:13" ht="16" x14ac:dyDescent="0.2">
      <c r="A5" s="34" t="s">
        <v>64</v>
      </c>
      <c r="B5" s="36"/>
      <c r="C5" s="4">
        <v>28.155220557171202</v>
      </c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ht="16" x14ac:dyDescent="0.2">
      <c r="A6" s="34" t="s">
        <v>64</v>
      </c>
      <c r="B6" s="36" t="s">
        <v>10</v>
      </c>
      <c r="C6" s="4">
        <v>28.976259878033201</v>
      </c>
      <c r="D6" s="37">
        <f>AVERAGE(C6:C7)</f>
        <v>28.746442001077952</v>
      </c>
      <c r="E6" s="37">
        <v>15.905719176330518</v>
      </c>
      <c r="F6" s="50">
        <f t="shared" ref="F6" si="4">D6-E6</f>
        <v>12.840722824747434</v>
      </c>
      <c r="G6" s="37"/>
      <c r="H6" s="37">
        <f t="shared" ref="H6" si="5">F6-$G$2</f>
        <v>0.81691974077304685</v>
      </c>
      <c r="I6" s="49">
        <f t="shared" ref="I6" si="6">2^-(H6)</f>
        <v>0.56765262953742701</v>
      </c>
      <c r="J6" s="37"/>
      <c r="K6" s="35">
        <f t="shared" ref="K6" si="7">I6/$J$2</f>
        <v>0.48533169678690169</v>
      </c>
      <c r="L6" s="37"/>
      <c r="M6" s="35"/>
    </row>
    <row r="7" spans="1:13" ht="16" x14ac:dyDescent="0.2">
      <c r="A7" s="34" t="s">
        <v>64</v>
      </c>
      <c r="B7" s="36"/>
      <c r="C7" s="4">
        <v>28.5166241241227</v>
      </c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ht="16" x14ac:dyDescent="0.2">
      <c r="A8" s="34" t="s">
        <v>64</v>
      </c>
      <c r="B8" s="36" t="s">
        <v>11</v>
      </c>
      <c r="C8" s="4">
        <v>29.5174960881291</v>
      </c>
      <c r="D8" s="37">
        <f>AVERAGE(C8:C9)</f>
        <v>29.101106760611501</v>
      </c>
      <c r="E8" s="37">
        <v>16.050441528766051</v>
      </c>
      <c r="F8" s="50">
        <f t="shared" ref="F8" si="8">D8-E8</f>
        <v>13.05066523184545</v>
      </c>
      <c r="G8" s="37"/>
      <c r="H8" s="37">
        <f t="shared" ref="H8:H48" si="9">F8-$G$2</f>
        <v>1.0268621478710624</v>
      </c>
      <c r="I8" s="49">
        <f t="shared" ref="I8" si="10">2^-(H8)</f>
        <v>0.4907764242642359</v>
      </c>
      <c r="J8" s="37"/>
      <c r="K8" s="35">
        <f t="shared" ref="K8" si="11">I8/$J$2</f>
        <v>0.41960407181636322</v>
      </c>
      <c r="L8" s="37"/>
      <c r="M8" s="35"/>
    </row>
    <row r="9" spans="1:13" ht="15" customHeight="1" x14ac:dyDescent="0.2">
      <c r="A9" s="34" t="s">
        <v>64</v>
      </c>
      <c r="B9" s="36"/>
      <c r="C9" s="4">
        <v>28.684717433093901</v>
      </c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4" t="s">
        <v>63</v>
      </c>
      <c r="B10" s="36" t="s">
        <v>13</v>
      </c>
      <c r="C10" s="4">
        <v>29.854538863680698</v>
      </c>
      <c r="D10" s="37">
        <f>AVERAGE(C10:C11)</f>
        <v>29.274759312682498</v>
      </c>
      <c r="E10" s="37">
        <v>17.143829345000096</v>
      </c>
      <c r="F10" s="50">
        <f t="shared" ref="F10" si="12">D10-E10</f>
        <v>12.130929967682402</v>
      </c>
      <c r="G10" s="8"/>
      <c r="H10" s="37">
        <f t="shared" si="9"/>
        <v>0.10712688370801438</v>
      </c>
      <c r="I10" s="49">
        <f t="shared" ref="I10" si="13">2^-(H10)</f>
        <v>0.92843519369060734</v>
      </c>
      <c r="J10" s="37"/>
      <c r="K10" s="35">
        <f t="shared" ref="K10" si="14">I10/$J$2</f>
        <v>0.79379360627242346</v>
      </c>
      <c r="L10" s="37">
        <f t="shared" ref="L10" si="15">AVERAGE(K10:K17)</f>
        <v>1.3427055413684881</v>
      </c>
      <c r="M10" s="35">
        <f t="shared" ref="M10" si="16">STDEV(K10:K17)/4</f>
        <v>0.20836237997004883</v>
      </c>
    </row>
    <row r="11" spans="1:13" ht="15" customHeight="1" x14ac:dyDescent="0.2">
      <c r="A11" s="34" t="s">
        <v>63</v>
      </c>
      <c r="B11" s="36"/>
      <c r="C11" s="4">
        <v>28.694979761684301</v>
      </c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4" t="s">
        <v>63</v>
      </c>
      <c r="B12" s="36" t="s">
        <v>14</v>
      </c>
      <c r="C12" s="4">
        <v>28.650231596156701</v>
      </c>
      <c r="D12" s="37">
        <f>AVERAGE(C12:C13)</f>
        <v>28.421254924798099</v>
      </c>
      <c r="E12" s="37">
        <v>17.978019717604003</v>
      </c>
      <c r="F12" s="50">
        <f t="shared" ref="F12" si="17">D12-E12</f>
        <v>10.443235207194096</v>
      </c>
      <c r="G12" s="8"/>
      <c r="H12" s="37">
        <f t="shared" si="9"/>
        <v>-1.5805678767802913</v>
      </c>
      <c r="I12" s="49">
        <f t="shared" ref="I12" si="18">2^-(H12)</f>
        <v>2.990875540577298</v>
      </c>
      <c r="J12" s="37"/>
      <c r="K12" s="35">
        <f t="shared" ref="K12:K36" si="19">I12/$J$2</f>
        <v>2.5571390414762729</v>
      </c>
      <c r="L12" s="37"/>
      <c r="M12" s="35"/>
    </row>
    <row r="13" spans="1:13" ht="15" customHeight="1" x14ac:dyDescent="0.2">
      <c r="A13" s="34" t="s">
        <v>63</v>
      </c>
      <c r="B13" s="36"/>
      <c r="C13" s="4">
        <v>28.1922782534395</v>
      </c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4" t="s">
        <v>63</v>
      </c>
      <c r="B14" s="36" t="s">
        <v>15</v>
      </c>
      <c r="C14" s="4">
        <v>29.8240940543782</v>
      </c>
      <c r="D14" s="37">
        <f>AVERAGE(C14:C15)</f>
        <v>29.488171616206102</v>
      </c>
      <c r="E14" s="37">
        <v>17.974532197115273</v>
      </c>
      <c r="F14" s="50">
        <f t="shared" ref="F14" si="20">D14-E14</f>
        <v>11.513639419090829</v>
      </c>
      <c r="G14" s="8"/>
      <c r="H14" s="37">
        <f t="shared" si="9"/>
        <v>-0.51016366488355835</v>
      </c>
      <c r="I14" s="49">
        <f t="shared" ref="I14" si="21">2^-(H14)</f>
        <v>1.4242117545013082</v>
      </c>
      <c r="J14" s="37"/>
      <c r="K14" s="35">
        <f t="shared" ref="K14:K38" si="22">I14/$J$2</f>
        <v>1.2176726952876669</v>
      </c>
      <c r="L14" s="37"/>
      <c r="M14" s="35"/>
    </row>
    <row r="15" spans="1:13" ht="15" customHeight="1" x14ac:dyDescent="0.2">
      <c r="A15" s="34" t="s">
        <v>63</v>
      </c>
      <c r="B15" s="36"/>
      <c r="C15" s="4">
        <v>29.152249178034001</v>
      </c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4" t="s">
        <v>63</v>
      </c>
      <c r="B16" s="36" t="s">
        <v>16</v>
      </c>
      <c r="C16" s="4">
        <v>30.8172110295145</v>
      </c>
      <c r="D16" s="37">
        <f>AVERAGE(C16:C17)</f>
        <v>29.435061873968401</v>
      </c>
      <c r="E16" s="37">
        <v>17.319360183997457</v>
      </c>
      <c r="F16" s="50">
        <f t="shared" ref="F16" si="23">D16-E16</f>
        <v>12.115701689970944</v>
      </c>
      <c r="G16" s="8"/>
      <c r="H16" s="37">
        <f t="shared" si="9"/>
        <v>9.1898605996556526E-2</v>
      </c>
      <c r="I16" s="49">
        <f t="shared" ref="I16" si="24">2^-(H16)</f>
        <v>0.93828713791138163</v>
      </c>
      <c r="J16" s="37"/>
      <c r="K16" s="35">
        <f t="shared" ref="K16:K32" si="25">I16/$J$2</f>
        <v>0.80221682243758885</v>
      </c>
      <c r="L16" s="37"/>
      <c r="M16" s="35"/>
    </row>
    <row r="17" spans="1:13" ht="15" customHeight="1" x14ac:dyDescent="0.2">
      <c r="A17" s="34" t="s">
        <v>63</v>
      </c>
      <c r="B17" s="36"/>
      <c r="C17" s="4">
        <v>28.052912718422299</v>
      </c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19" t="s">
        <v>53</v>
      </c>
      <c r="B18" s="36" t="s">
        <v>18</v>
      </c>
      <c r="C18" s="4">
        <v>28.317052037570399</v>
      </c>
      <c r="D18" s="37">
        <f>AVERAGE(C18:C19)</f>
        <v>28.200914913197749</v>
      </c>
      <c r="E18" s="37">
        <v>19.205252186246113</v>
      </c>
      <c r="F18" s="50">
        <f t="shared" ref="F18" si="26">D18-E18</f>
        <v>8.995662726951636</v>
      </c>
      <c r="G18" s="8"/>
      <c r="H18" s="37">
        <f t="shared" si="9"/>
        <v>-3.0281403570227514</v>
      </c>
      <c r="I18" s="49">
        <f t="shared" ref="I18" si="27">2^-(H18)</f>
        <v>8.1575750601521193</v>
      </c>
      <c r="J18" s="37"/>
      <c r="K18" s="35">
        <f t="shared" ref="K18" si="28">I18/$J$2</f>
        <v>6.9745642662421643</v>
      </c>
      <c r="L18" s="37">
        <f t="shared" ref="L18" si="29">AVERAGE(K18:K25)</f>
        <v>2.9411530359751907</v>
      </c>
      <c r="M18" s="35">
        <f t="shared" ref="M18" si="30">STDEV(K18:K25)/4</f>
        <v>0.72428126022594463</v>
      </c>
    </row>
    <row r="19" spans="1:13" ht="15" customHeight="1" x14ac:dyDescent="0.2">
      <c r="A19" s="19" t="s">
        <v>53</v>
      </c>
      <c r="B19" s="36"/>
      <c r="C19" s="4">
        <v>28.0847777888251</v>
      </c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19" t="s">
        <v>53</v>
      </c>
      <c r="B20" s="36" t="s">
        <v>19</v>
      </c>
      <c r="C20" s="4">
        <v>27.767406710924298</v>
      </c>
      <c r="D20" s="37">
        <f>AVERAGE(C20:C21)</f>
        <v>27.713345631181298</v>
      </c>
      <c r="E20" s="37">
        <v>17.51825332356341</v>
      </c>
      <c r="F20" s="50">
        <f t="shared" ref="F20" si="31">D20-E20</f>
        <v>10.195092307617887</v>
      </c>
      <c r="G20" s="8"/>
      <c r="H20" s="37">
        <f t="shared" si="9"/>
        <v>-1.8287107763565</v>
      </c>
      <c r="I20" s="49">
        <f t="shared" ref="I20" si="32">2^-(H20)</f>
        <v>3.5521949872810108</v>
      </c>
      <c r="J20" s="37"/>
      <c r="K20" s="35">
        <f t="shared" si="19"/>
        <v>3.0370559930284826</v>
      </c>
      <c r="L20" s="37"/>
      <c r="M20" s="35"/>
    </row>
    <row r="21" spans="1:13" ht="15" customHeight="1" x14ac:dyDescent="0.2">
      <c r="A21" s="20" t="s">
        <v>53</v>
      </c>
      <c r="B21" s="36"/>
      <c r="C21" s="4">
        <v>27.659284551438301</v>
      </c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20" t="s">
        <v>53</v>
      </c>
      <c r="B22" s="36" t="s">
        <v>20</v>
      </c>
      <c r="C22" s="4">
        <v>28.874903811515299</v>
      </c>
      <c r="D22" s="37">
        <f>AVERAGE(C22:C23)</f>
        <v>28.856815922683349</v>
      </c>
      <c r="E22" s="37">
        <v>17.449205574599276</v>
      </c>
      <c r="F22" s="50">
        <f t="shared" ref="F22" si="33">D22-E22</f>
        <v>11.407610348084074</v>
      </c>
      <c r="G22" s="8"/>
      <c r="H22" s="37">
        <f t="shared" si="9"/>
        <v>-0.61619273589031387</v>
      </c>
      <c r="I22" s="49">
        <f t="shared" ref="I22" si="34">2^-(H22)</f>
        <v>1.5328247232355359</v>
      </c>
      <c r="J22" s="37"/>
      <c r="K22" s="35">
        <f t="shared" si="22"/>
        <v>1.3105346211661761</v>
      </c>
      <c r="L22" s="37"/>
      <c r="M22" s="35"/>
    </row>
    <row r="23" spans="1:13" ht="15" customHeight="1" x14ac:dyDescent="0.2">
      <c r="A23" s="20" t="s">
        <v>53</v>
      </c>
      <c r="B23" s="36"/>
      <c r="C23" s="4">
        <v>28.8387280338514</v>
      </c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20" t="s">
        <v>53</v>
      </c>
      <c r="B24" s="36" t="s">
        <v>21</v>
      </c>
      <c r="C24" s="4">
        <v>30.940867018362098</v>
      </c>
      <c r="D24" s="37">
        <f>AVERAGE(C24:C25)</f>
        <v>29.866452264162898</v>
      </c>
      <c r="E24" s="37">
        <v>16.892296467846915</v>
      </c>
      <c r="F24" s="50">
        <f t="shared" ref="F24" si="35">D24-E24</f>
        <v>12.974155796315983</v>
      </c>
      <c r="G24" s="8"/>
      <c r="H24" s="37">
        <f t="shared" si="9"/>
        <v>0.95035271234159602</v>
      </c>
      <c r="I24" s="49">
        <f t="shared" ref="I24" si="36">2^-(H24)</f>
        <v>0.51750592579474375</v>
      </c>
      <c r="J24" s="37"/>
      <c r="K24" s="35">
        <f t="shared" si="25"/>
        <v>0.44245726346393954</v>
      </c>
      <c r="L24" s="37"/>
      <c r="M24" s="35"/>
    </row>
    <row r="25" spans="1:13" ht="15" customHeight="1" x14ac:dyDescent="0.2">
      <c r="A25" s="20" t="s">
        <v>53</v>
      </c>
      <c r="B25" s="36"/>
      <c r="C25" s="4">
        <v>28.792037509963698</v>
      </c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19" t="s">
        <v>54</v>
      </c>
      <c r="B26" s="36" t="s">
        <v>23</v>
      </c>
      <c r="C26" s="4">
        <v>28.550635676812298</v>
      </c>
      <c r="D26" s="37">
        <f>AVERAGE(C26:C27)</f>
        <v>28.3568659130787</v>
      </c>
      <c r="E26" s="37">
        <v>17.460951826505497</v>
      </c>
      <c r="F26" s="50">
        <f t="shared" ref="F26" si="37">D26-E26</f>
        <v>10.895914086573203</v>
      </c>
      <c r="G26" s="8"/>
      <c r="H26" s="37">
        <f t="shared" si="9"/>
        <v>-1.1278889974011843</v>
      </c>
      <c r="I26" s="49">
        <f t="shared" ref="I26" si="38">2^-(H26)</f>
        <v>2.1853873255443785</v>
      </c>
      <c r="J26" s="37"/>
      <c r="K26" s="35">
        <f t="shared" ref="K26" si="39">I26/$J$2</f>
        <v>1.8684626541893106</v>
      </c>
      <c r="L26" s="37">
        <f t="shared" ref="L26" si="40">AVERAGE(K26:K33)</f>
        <v>1.721712268375388</v>
      </c>
      <c r="M26" s="35">
        <f t="shared" ref="M26" si="41">STDEV(K26:K33)/4</f>
        <v>0.32233937629628151</v>
      </c>
    </row>
    <row r="27" spans="1:13" ht="15" customHeight="1" x14ac:dyDescent="0.2">
      <c r="A27" s="19" t="s">
        <v>54</v>
      </c>
      <c r="B27" s="36"/>
      <c r="C27" s="4">
        <v>28.163096149345101</v>
      </c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19" t="s">
        <v>54</v>
      </c>
      <c r="B28" s="36" t="s">
        <v>24</v>
      </c>
      <c r="C28" s="4">
        <v>29.025704044943598</v>
      </c>
      <c r="D28" s="37">
        <f>AVERAGE(C28:C29)</f>
        <v>28.7249835846618</v>
      </c>
      <c r="E28" s="37">
        <v>17.810378746674107</v>
      </c>
      <c r="F28" s="50">
        <f t="shared" ref="F28" si="42">D28-E28</f>
        <v>10.914604837987692</v>
      </c>
      <c r="G28" s="8"/>
      <c r="H28" s="37">
        <f t="shared" si="9"/>
        <v>-1.1091982459866951</v>
      </c>
      <c r="I28" s="49">
        <f t="shared" ref="I28" si="43">2^-(H28)</f>
        <v>2.1572572796123572</v>
      </c>
      <c r="J28" s="37"/>
      <c r="K28" s="35">
        <f t="shared" si="19"/>
        <v>1.844412024962055</v>
      </c>
      <c r="L28" s="37"/>
      <c r="M28" s="35"/>
    </row>
    <row r="29" spans="1:13" ht="15" customHeight="1" x14ac:dyDescent="0.2">
      <c r="A29" s="19" t="s">
        <v>54</v>
      </c>
      <c r="B29" s="36"/>
      <c r="C29" s="4">
        <v>28.424263124380001</v>
      </c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19" t="s">
        <v>54</v>
      </c>
      <c r="B30" s="36" t="s">
        <v>25</v>
      </c>
      <c r="C30" s="4">
        <v>27.869148055935799</v>
      </c>
      <c r="D30" s="37">
        <f>AVERAGE(C30:C31)</f>
        <v>27.777071035534952</v>
      </c>
      <c r="E30" s="37">
        <v>17.636734292930214</v>
      </c>
      <c r="F30" s="50">
        <f t="shared" ref="F30" si="44">D30-E30</f>
        <v>10.140336742604738</v>
      </c>
      <c r="G30" s="8"/>
      <c r="H30" s="37">
        <f t="shared" si="9"/>
        <v>-1.8834663413696493</v>
      </c>
      <c r="I30" s="49">
        <f t="shared" ref="I30" si="45">2^-(H30)</f>
        <v>3.6896049186360647</v>
      </c>
      <c r="J30" s="37"/>
      <c r="K30" s="35">
        <f t="shared" si="22"/>
        <v>3.1545387486254475</v>
      </c>
      <c r="L30" s="37"/>
      <c r="M30" s="35"/>
    </row>
    <row r="31" spans="1:13" ht="15" customHeight="1" x14ac:dyDescent="0.2">
      <c r="A31" s="19" t="s">
        <v>54</v>
      </c>
      <c r="B31" s="36"/>
      <c r="C31" s="4">
        <v>27.684994015134102</v>
      </c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19" t="s">
        <v>54</v>
      </c>
      <c r="B32" s="36" t="s">
        <v>26</v>
      </c>
      <c r="C32" s="4">
        <v>31.906822103083002</v>
      </c>
      <c r="D32" s="37">
        <f>AVERAGE(C32:C33)</f>
        <v>35.880564572295853</v>
      </c>
      <c r="E32" s="37">
        <v>18.397647607932122</v>
      </c>
      <c r="F32" s="50">
        <f t="shared" ref="F32" si="46">D32-E32</f>
        <v>17.482916964363731</v>
      </c>
      <c r="G32" s="8"/>
      <c r="H32" s="37">
        <f t="shared" si="9"/>
        <v>5.459113880389344</v>
      </c>
      <c r="I32" s="49">
        <f t="shared" ref="I32" si="47">2^-(H32)</f>
        <v>2.2732278718754446E-2</v>
      </c>
      <c r="J32" s="37"/>
      <c r="K32" s="35">
        <f t="shared" si="25"/>
        <v>1.9435645724738871E-2</v>
      </c>
      <c r="L32" s="37"/>
      <c r="M32" s="35"/>
    </row>
    <row r="33" spans="1:13" ht="15" customHeight="1" x14ac:dyDescent="0.2">
      <c r="A33" s="19" t="s">
        <v>54</v>
      </c>
      <c r="B33" s="36"/>
      <c r="C33" s="4">
        <v>39.854307041508697</v>
      </c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19" t="s">
        <v>55</v>
      </c>
      <c r="B34" s="36" t="s">
        <v>28</v>
      </c>
      <c r="C34" s="4">
        <v>29.288442667037501</v>
      </c>
      <c r="D34" s="37">
        <f>AVERAGE(C34:C35)</f>
        <v>29.023015415441051</v>
      </c>
      <c r="E34" s="37">
        <v>16.509506697394823</v>
      </c>
      <c r="F34" s="50">
        <f>D34-E34</f>
        <v>12.513508718046229</v>
      </c>
      <c r="G34" s="8"/>
      <c r="H34" s="37">
        <f t="shared" si="9"/>
        <v>0.48970563407184109</v>
      </c>
      <c r="I34" s="49">
        <f t="shared" ref="I34" si="48">2^-(H34)</f>
        <v>0.71217039344810984</v>
      </c>
      <c r="J34" s="37"/>
      <c r="K34" s="35">
        <f t="shared" ref="K34" si="49">I34/$J$2</f>
        <v>0.608891507708197</v>
      </c>
      <c r="L34" s="37">
        <f t="shared" ref="L34" si="50">AVERAGE(K34:K41)</f>
        <v>2.2527880932621183</v>
      </c>
      <c r="M34" s="35">
        <f t="shared" ref="M34" si="51">STDEV(K34:K41)/4</f>
        <v>0.40591774464914776</v>
      </c>
    </row>
    <row r="35" spans="1:13" ht="15" customHeight="1" x14ac:dyDescent="0.2">
      <c r="A35" s="19" t="s">
        <v>55</v>
      </c>
      <c r="B35" s="36"/>
      <c r="C35" s="4">
        <v>28.757588163844598</v>
      </c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19" t="s">
        <v>55</v>
      </c>
      <c r="B36" s="36" t="s">
        <v>29</v>
      </c>
      <c r="C36" s="4">
        <v>28.484534646934399</v>
      </c>
      <c r="D36" s="37">
        <f>AVERAGE(C36:C37)</f>
        <v>28.194031696794099</v>
      </c>
      <c r="E36" s="37">
        <v>18.343164352268513</v>
      </c>
      <c r="F36" s="50">
        <f t="shared" ref="F36" si="52">D36-E36</f>
        <v>9.8508673445255859</v>
      </c>
      <c r="G36" s="8"/>
      <c r="H36" s="37">
        <f t="shared" si="9"/>
        <v>-2.1729357394488016</v>
      </c>
      <c r="I36" s="49">
        <f t="shared" ref="I36" si="53">2^-(H36)</f>
        <v>4.5094007862888237</v>
      </c>
      <c r="J36" s="37"/>
      <c r="K36" s="35">
        <f t="shared" si="19"/>
        <v>3.8554478940495169</v>
      </c>
      <c r="L36" s="37"/>
      <c r="M36" s="35"/>
    </row>
    <row r="37" spans="1:13" ht="15" customHeight="1" x14ac:dyDescent="0.2">
      <c r="A37" s="19" t="s">
        <v>55</v>
      </c>
      <c r="B37" s="36"/>
      <c r="C37" s="4">
        <v>27.903528746653802</v>
      </c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19" t="s">
        <v>55</v>
      </c>
      <c r="B38" s="36" t="s">
        <v>30</v>
      </c>
      <c r="C38" s="4">
        <v>27.9968529183705</v>
      </c>
      <c r="D38" s="37">
        <f>AVERAGE(C38:C39)</f>
        <v>28.1063740111451</v>
      </c>
      <c r="E38" s="37">
        <v>17.506489233409525</v>
      </c>
      <c r="F38" s="50">
        <f t="shared" ref="F38" si="54">D38-E38</f>
        <v>10.599884777735575</v>
      </c>
      <c r="G38" s="8"/>
      <c r="H38" s="37">
        <f t="shared" si="9"/>
        <v>-1.4239183062388125</v>
      </c>
      <c r="I38" s="49">
        <f t="shared" ref="I38" si="55">2^-(H38)</f>
        <v>2.683132510937162</v>
      </c>
      <c r="J38" s="37"/>
      <c r="K38" s="35">
        <f t="shared" si="22"/>
        <v>2.2940248780286403</v>
      </c>
      <c r="L38" s="37"/>
      <c r="M38" s="35"/>
    </row>
    <row r="39" spans="1:13" ht="15" customHeight="1" x14ac:dyDescent="0.2">
      <c r="A39" s="19" t="s">
        <v>55</v>
      </c>
      <c r="B39" s="36"/>
      <c r="C39" s="4">
        <v>28.215895103919699</v>
      </c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19" t="s">
        <v>55</v>
      </c>
      <c r="B40" s="36" t="s">
        <v>31</v>
      </c>
      <c r="C40" s="14"/>
      <c r="D40" s="37" t="e">
        <f>AVERAGE(C40:C41)</f>
        <v>#DIV/0!</v>
      </c>
      <c r="E40" s="37">
        <v>18.70926938210307</v>
      </c>
      <c r="F40" s="50" t="e">
        <f t="shared" ref="F40" si="56">D40-E40</f>
        <v>#DIV/0!</v>
      </c>
      <c r="G40" s="8"/>
      <c r="H40" s="37" t="e">
        <f t="shared" si="9"/>
        <v>#DIV/0!</v>
      </c>
      <c r="I40" s="49" t="e">
        <f t="shared" ref="I40" si="57">2^-(H40)</f>
        <v>#DIV/0!</v>
      </c>
      <c r="J40" s="37"/>
      <c r="K40" s="35"/>
      <c r="L40" s="37"/>
      <c r="M40" s="35"/>
    </row>
    <row r="41" spans="1:13" ht="15" customHeight="1" x14ac:dyDescent="0.2">
      <c r="A41" s="19" t="s">
        <v>55</v>
      </c>
      <c r="B41" s="36"/>
      <c r="C41" s="14"/>
      <c r="D41" s="37"/>
      <c r="E41" s="37"/>
      <c r="F41" s="50"/>
      <c r="G41" s="8"/>
      <c r="H41" s="37"/>
      <c r="I41" s="49"/>
      <c r="J41" s="37"/>
      <c r="K41" s="35"/>
      <c r="L41" s="37"/>
      <c r="M41" s="35"/>
    </row>
    <row r="42" spans="1:13" s="29" customFormat="1" ht="16" x14ac:dyDescent="0.2">
      <c r="A42" s="33" t="s">
        <v>56</v>
      </c>
      <c r="B42" s="36" t="s">
        <v>57</v>
      </c>
      <c r="C42" s="4">
        <v>29.871567881846101</v>
      </c>
      <c r="D42" s="37">
        <f>AVERAGE(C42:C43)</f>
        <v>29.961814651489249</v>
      </c>
      <c r="E42" s="37">
        <v>17.216022097920472</v>
      </c>
      <c r="F42" s="50">
        <f t="shared" ref="F42" si="58">D42-E42</f>
        <v>12.745792553568776</v>
      </c>
      <c r="H42" s="37">
        <f t="shared" si="9"/>
        <v>0.72198946959438892</v>
      </c>
      <c r="I42" s="49">
        <f t="shared" ref="I42" si="59">2^-(H42)</f>
        <v>0.6062608346858841</v>
      </c>
      <c r="K42" s="35">
        <f>I42/$J$2</f>
        <v>0.51834094353322024</v>
      </c>
      <c r="L42" s="37">
        <f>AVERAGE(K42:K49)</f>
        <v>3.0639178027120479</v>
      </c>
      <c r="M42" s="35">
        <f t="shared" ref="M42" si="60">STDEV(K42:K49)/4</f>
        <v>0.48380548972243465</v>
      </c>
    </row>
    <row r="43" spans="1:13" ht="16" x14ac:dyDescent="0.2">
      <c r="A43" s="32" t="s">
        <v>56</v>
      </c>
      <c r="B43" s="36"/>
      <c r="C43" s="4">
        <v>30.0520614211324</v>
      </c>
      <c r="D43" s="37"/>
      <c r="E43" s="37"/>
      <c r="F43" s="50"/>
      <c r="H43" s="37"/>
      <c r="I43" s="49"/>
      <c r="K43" s="35"/>
      <c r="L43" s="37"/>
      <c r="M43" s="35"/>
    </row>
    <row r="44" spans="1:13" ht="16" x14ac:dyDescent="0.2">
      <c r="A44" s="32" t="s">
        <v>56</v>
      </c>
      <c r="B44" s="36" t="s">
        <v>58</v>
      </c>
      <c r="C44" s="4">
        <v>28.456993500340101</v>
      </c>
      <c r="D44" s="37">
        <f>AVERAGE(C44:C45)</f>
        <v>28.1538569838029</v>
      </c>
      <c r="E44" s="37">
        <v>18.742090881478987</v>
      </c>
      <c r="F44" s="50">
        <f t="shared" ref="F44" si="61">D44-E44</f>
        <v>9.411766102323913</v>
      </c>
      <c r="H44" s="37">
        <f t="shared" si="9"/>
        <v>-2.6120369816504745</v>
      </c>
      <c r="I44" s="49">
        <f t="shared" ref="I44" si="62">2^-(H44)</f>
        <v>6.1136627970137098</v>
      </c>
      <c r="K44" s="35">
        <f t="shared" ref="K44" si="63">I44/$J$2</f>
        <v>5.2270599737651455</v>
      </c>
      <c r="L44" s="37"/>
      <c r="M44" s="35"/>
    </row>
    <row r="45" spans="1:13" ht="16" x14ac:dyDescent="0.2">
      <c r="A45" s="32" t="s">
        <v>56</v>
      </c>
      <c r="B45" s="36"/>
      <c r="C45" s="4">
        <v>27.850720467265699</v>
      </c>
      <c r="D45" s="37"/>
      <c r="E45" s="37"/>
      <c r="F45" s="50"/>
      <c r="H45" s="37"/>
      <c r="I45" s="49"/>
      <c r="K45" s="35"/>
      <c r="L45" s="37"/>
      <c r="M45" s="35"/>
    </row>
    <row r="46" spans="1:13" ht="16" x14ac:dyDescent="0.2">
      <c r="A46" s="32" t="s">
        <v>56</v>
      </c>
      <c r="B46" s="36" t="s">
        <v>59</v>
      </c>
      <c r="C46" s="4">
        <v>28.102688721280799</v>
      </c>
      <c r="D46" s="37">
        <f>AVERAGE(C46:C47)</f>
        <v>28.576764447388648</v>
      </c>
      <c r="E46" s="37">
        <v>18.464510655682574</v>
      </c>
      <c r="F46" s="50">
        <f t="shared" ref="F46" si="64">D46-E46</f>
        <v>10.112253791706074</v>
      </c>
      <c r="H46" s="37">
        <f t="shared" si="9"/>
        <v>-1.9115492922683135</v>
      </c>
      <c r="I46" s="49">
        <f t="shared" ref="I46" si="65">2^-(H46)</f>
        <v>3.7621289318116653</v>
      </c>
      <c r="K46" s="35">
        <f t="shared" ref="K46" si="66">I46/$J$2</f>
        <v>3.2165453360008858</v>
      </c>
      <c r="L46" s="37"/>
      <c r="M46" s="35"/>
    </row>
    <row r="47" spans="1:13" ht="16" x14ac:dyDescent="0.2">
      <c r="A47" s="32" t="s">
        <v>56</v>
      </c>
      <c r="B47" s="36"/>
      <c r="C47" s="4">
        <v>29.0508401734965</v>
      </c>
      <c r="D47" s="37"/>
      <c r="E47" s="37"/>
      <c r="F47" s="50"/>
      <c r="H47" s="37"/>
      <c r="I47" s="49"/>
      <c r="K47" s="35"/>
      <c r="L47" s="37"/>
      <c r="M47" s="35"/>
    </row>
    <row r="48" spans="1:13" ht="16" x14ac:dyDescent="0.2">
      <c r="A48" s="32" t="s">
        <v>56</v>
      </c>
      <c r="B48" s="36" t="s">
        <v>60</v>
      </c>
      <c r="C48" s="4">
        <v>28.155338621956901</v>
      </c>
      <c r="D48" s="37">
        <f>AVERAGE(C48:C49)</f>
        <v>28.952021734320901</v>
      </c>
      <c r="E48" s="37">
        <v>18.873976007408302</v>
      </c>
      <c r="F48" s="50">
        <f>D48-E48</f>
        <v>10.078045726912599</v>
      </c>
      <c r="H48" s="37">
        <f t="shared" si="9"/>
        <v>-1.9457573570617885</v>
      </c>
      <c r="I48" s="49">
        <f t="shared" ref="I48" si="67">2^-(H48)</f>
        <v>3.8523995970257956</v>
      </c>
      <c r="K48" s="35">
        <f>I48/$J$2</f>
        <v>3.2937249575489398</v>
      </c>
      <c r="L48" s="37"/>
      <c r="M48" s="35"/>
    </row>
    <row r="49" spans="1:13" ht="16" x14ac:dyDescent="0.2">
      <c r="A49" s="32" t="s">
        <v>56</v>
      </c>
      <c r="B49" s="36"/>
      <c r="C49" s="4">
        <v>29.748704846684898</v>
      </c>
      <c r="D49" s="37"/>
      <c r="E49" s="37"/>
      <c r="F49" s="50"/>
      <c r="H49" s="37"/>
      <c r="I49" s="49"/>
      <c r="K49" s="35"/>
      <c r="L49" s="37"/>
      <c r="M49" s="35"/>
    </row>
  </sheetData>
  <mergeCells count="186">
    <mergeCell ref="K42:K43"/>
    <mergeCell ref="K44:K45"/>
    <mergeCell ref="K46:K47"/>
    <mergeCell ref="K48:K49"/>
    <mergeCell ref="L42:L49"/>
    <mergeCell ref="M42:M49"/>
    <mergeCell ref="F42:F43"/>
    <mergeCell ref="F44:F45"/>
    <mergeCell ref="F46:F47"/>
    <mergeCell ref="F48:F49"/>
    <mergeCell ref="H42:H43"/>
    <mergeCell ref="H44:H45"/>
    <mergeCell ref="H46:H47"/>
    <mergeCell ref="H48:H49"/>
    <mergeCell ref="I42:I43"/>
    <mergeCell ref="I44:I45"/>
    <mergeCell ref="I46:I47"/>
    <mergeCell ref="I48:I49"/>
    <mergeCell ref="B42:B43"/>
    <mergeCell ref="B44:B45"/>
    <mergeCell ref="B46:B47"/>
    <mergeCell ref="B48:B49"/>
    <mergeCell ref="D42:D43"/>
    <mergeCell ref="D44:D45"/>
    <mergeCell ref="D46:D47"/>
    <mergeCell ref="D48:D49"/>
    <mergeCell ref="E42:E43"/>
    <mergeCell ref="E44:E45"/>
    <mergeCell ref="E46:E47"/>
    <mergeCell ref="E48:E49"/>
    <mergeCell ref="L2:L9"/>
    <mergeCell ref="M2:M9"/>
    <mergeCell ref="H4:H5"/>
    <mergeCell ref="I4:I5"/>
    <mergeCell ref="K4:K5"/>
    <mergeCell ref="K6:K7"/>
    <mergeCell ref="B2:B3"/>
    <mergeCell ref="D2:D3"/>
    <mergeCell ref="E2:E3"/>
    <mergeCell ref="F2:F3"/>
    <mergeCell ref="G2:G9"/>
    <mergeCell ref="B4:B5"/>
    <mergeCell ref="D4:D5"/>
    <mergeCell ref="E4:E5"/>
    <mergeCell ref="F4:F5"/>
    <mergeCell ref="B6:B7"/>
    <mergeCell ref="D6:D7"/>
    <mergeCell ref="E6:E7"/>
    <mergeCell ref="F6:F7"/>
    <mergeCell ref="H6:H7"/>
    <mergeCell ref="I6:I7"/>
    <mergeCell ref="H2:H3"/>
    <mergeCell ref="I2:I3"/>
    <mergeCell ref="J2:J9"/>
    <mergeCell ref="D14:D15"/>
    <mergeCell ref="E14:E15"/>
    <mergeCell ref="F14:F15"/>
    <mergeCell ref="H14:H15"/>
    <mergeCell ref="I14:I15"/>
    <mergeCell ref="K14:K15"/>
    <mergeCell ref="K16:K17"/>
    <mergeCell ref="B16:B17"/>
    <mergeCell ref="D16:D17"/>
    <mergeCell ref="K2:K3"/>
    <mergeCell ref="B12:B13"/>
    <mergeCell ref="D12:D13"/>
    <mergeCell ref="E12:E13"/>
    <mergeCell ref="F12:F13"/>
    <mergeCell ref="H12:H13"/>
    <mergeCell ref="I12:I13"/>
    <mergeCell ref="K12:K13"/>
    <mergeCell ref="B14:B15"/>
    <mergeCell ref="K8:K9"/>
    <mergeCell ref="B10:B11"/>
    <mergeCell ref="D10:D11"/>
    <mergeCell ref="E10:E11"/>
    <mergeCell ref="F10:F11"/>
    <mergeCell ref="H10:H11"/>
    <mergeCell ref="I10:I11"/>
    <mergeCell ref="J10:J17"/>
    <mergeCell ref="K10:K11"/>
    <mergeCell ref="B8:B9"/>
    <mergeCell ref="D8:D9"/>
    <mergeCell ref="E8:E9"/>
    <mergeCell ref="F8:F9"/>
    <mergeCell ref="H8:H9"/>
    <mergeCell ref="I8:I9"/>
    <mergeCell ref="F18:F19"/>
    <mergeCell ref="H18:H19"/>
    <mergeCell ref="E16:E17"/>
    <mergeCell ref="F16:F17"/>
    <mergeCell ref="H16:H17"/>
    <mergeCell ref="I16:I17"/>
    <mergeCell ref="K18:K19"/>
    <mergeCell ref="D22:D23"/>
    <mergeCell ref="E22:E23"/>
    <mergeCell ref="F22:F23"/>
    <mergeCell ref="H22:H23"/>
    <mergeCell ref="I22:I23"/>
    <mergeCell ref="K22:K23"/>
    <mergeCell ref="I18:I19"/>
    <mergeCell ref="J18:J25"/>
    <mergeCell ref="K32:K33"/>
    <mergeCell ref="B32:B33"/>
    <mergeCell ref="L10:L17"/>
    <mergeCell ref="M10:M17"/>
    <mergeCell ref="L18:L25"/>
    <mergeCell ref="M18:M25"/>
    <mergeCell ref="B20:B21"/>
    <mergeCell ref="D20:D21"/>
    <mergeCell ref="E20:E21"/>
    <mergeCell ref="F20:F21"/>
    <mergeCell ref="H20:H21"/>
    <mergeCell ref="I20:I21"/>
    <mergeCell ref="K20:K21"/>
    <mergeCell ref="B22:B23"/>
    <mergeCell ref="K24:K25"/>
    <mergeCell ref="B24:B25"/>
    <mergeCell ref="D24:D25"/>
    <mergeCell ref="E24:E25"/>
    <mergeCell ref="F24:F25"/>
    <mergeCell ref="H24:H25"/>
    <mergeCell ref="I24:I25"/>
    <mergeCell ref="B18:B19"/>
    <mergeCell ref="D18:D19"/>
    <mergeCell ref="E18:E19"/>
    <mergeCell ref="F30:F31"/>
    <mergeCell ref="H30:H31"/>
    <mergeCell ref="I30:I31"/>
    <mergeCell ref="K30:K31"/>
    <mergeCell ref="B28:B29"/>
    <mergeCell ref="D28:D29"/>
    <mergeCell ref="E28:E29"/>
    <mergeCell ref="F28:F29"/>
    <mergeCell ref="H28:H29"/>
    <mergeCell ref="I28:I29"/>
    <mergeCell ref="K28:K29"/>
    <mergeCell ref="B30:B31"/>
    <mergeCell ref="M26:M33"/>
    <mergeCell ref="M34:M41"/>
    <mergeCell ref="B36:B37"/>
    <mergeCell ref="D36:D37"/>
    <mergeCell ref="E36:E37"/>
    <mergeCell ref="F36:F37"/>
    <mergeCell ref="H36:H37"/>
    <mergeCell ref="I36:I37"/>
    <mergeCell ref="K36:K37"/>
    <mergeCell ref="B38:B39"/>
    <mergeCell ref="K40:K41"/>
    <mergeCell ref="B40:B41"/>
    <mergeCell ref="D40:D41"/>
    <mergeCell ref="E40:E41"/>
    <mergeCell ref="F40:F41"/>
    <mergeCell ref="H40:H41"/>
    <mergeCell ref="I40:I41"/>
    <mergeCell ref="D38:D39"/>
    <mergeCell ref="E38:E39"/>
    <mergeCell ref="F38:F39"/>
    <mergeCell ref="D32:D33"/>
    <mergeCell ref="E32:E33"/>
    <mergeCell ref="F32:F33"/>
    <mergeCell ref="H32:H33"/>
    <mergeCell ref="H38:H39"/>
    <mergeCell ref="I38:I39"/>
    <mergeCell ref="K38:K39"/>
    <mergeCell ref="B34:B35"/>
    <mergeCell ref="D34:D35"/>
    <mergeCell ref="J34:J41"/>
    <mergeCell ref="K34:K35"/>
    <mergeCell ref="L34:L41"/>
    <mergeCell ref="L26:L33"/>
    <mergeCell ref="I32:I33"/>
    <mergeCell ref="E34:E35"/>
    <mergeCell ref="F34:F35"/>
    <mergeCell ref="H34:H35"/>
    <mergeCell ref="I34:I35"/>
    <mergeCell ref="B26:B27"/>
    <mergeCell ref="D26:D27"/>
    <mergeCell ref="E26:E27"/>
    <mergeCell ref="F26:F27"/>
    <mergeCell ref="H26:H27"/>
    <mergeCell ref="I26:I27"/>
    <mergeCell ref="J26:J33"/>
    <mergeCell ref="K26:K27"/>
    <mergeCell ref="D30:D31"/>
    <mergeCell ref="E30:E31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9864-2799-4E73-BC89-82A66AF97C15}">
  <dimension ref="A1:M53"/>
  <sheetViews>
    <sheetView topLeftCell="J9" workbookViewId="0">
      <selection activeCell="A2" sqref="A2:A17"/>
    </sheetView>
  </sheetViews>
  <sheetFormatPr baseColWidth="10" defaultColWidth="8.83203125" defaultRowHeight="15" x14ac:dyDescent="0.2"/>
  <cols>
    <col min="1" max="1" width="16.1640625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3" max="13" width="13.6640625" customWidth="1"/>
  </cols>
  <sheetData>
    <row r="1" spans="1:13" ht="16" x14ac:dyDescent="0.2">
      <c r="A1" s="2" t="s">
        <v>51</v>
      </c>
      <c r="B1" s="6" t="s">
        <v>2</v>
      </c>
      <c r="C1" s="3" t="s">
        <v>40</v>
      </c>
      <c r="D1" s="2" t="s">
        <v>4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 ht="16" x14ac:dyDescent="0.2">
      <c r="A2" s="34" t="s">
        <v>64</v>
      </c>
      <c r="B2" s="39">
        <v>1</v>
      </c>
      <c r="C2" s="4">
        <v>23.2837932393948</v>
      </c>
      <c r="D2" s="37">
        <f>AVERAGE(C2:C3)</f>
        <v>23.288915713656351</v>
      </c>
      <c r="E2" s="37">
        <v>17.190287859484446</v>
      </c>
      <c r="F2" s="50">
        <f>D2-E2</f>
        <v>6.0986278541719052</v>
      </c>
      <c r="G2" s="37">
        <f>AVERAGE(F2:F9)</f>
        <v>7.2952074785769172</v>
      </c>
      <c r="H2" s="37">
        <f>F2-$G$2</f>
        <v>-1.196579624405012</v>
      </c>
      <c r="I2" s="49">
        <f>2^-(H2)</f>
        <v>2.2919564389354394</v>
      </c>
      <c r="J2" s="37">
        <f>AVERAGE(I2:I9)</f>
        <v>1.3345301215810421</v>
      </c>
      <c r="K2" s="35">
        <f>I2/$J$2</f>
        <v>1.7174257829565638</v>
      </c>
      <c r="L2" s="37">
        <f>AVERAGE(K2:K9)</f>
        <v>1</v>
      </c>
      <c r="M2" s="35">
        <f>STDEV(K2:K9)/4</f>
        <v>0.19078168827785197</v>
      </c>
    </row>
    <row r="3" spans="1:13" ht="16" x14ac:dyDescent="0.2">
      <c r="A3" s="34" t="s">
        <v>64</v>
      </c>
      <c r="B3" s="39"/>
      <c r="C3" s="4">
        <v>23.294038187917899</v>
      </c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ht="16" x14ac:dyDescent="0.2">
      <c r="A4" s="34" t="s">
        <v>64</v>
      </c>
      <c r="B4" s="36" t="s">
        <v>9</v>
      </c>
      <c r="C4" s="4">
        <v>23.459914885191701</v>
      </c>
      <c r="D4" s="37">
        <f>AVERAGE(C4:C5)</f>
        <v>23.364592820628353</v>
      </c>
      <c r="E4" s="37">
        <v>17.164287644881519</v>
      </c>
      <c r="F4" s="50">
        <f t="shared" ref="F4" si="0">D4-E4</f>
        <v>6.2003051757468342</v>
      </c>
      <c r="G4" s="37"/>
      <c r="H4" s="37">
        <f t="shared" ref="H4" si="1">F4-$G$2</f>
        <v>-1.0949023028300831</v>
      </c>
      <c r="I4" s="49">
        <f>2^-(H4)</f>
        <v>2.1359861653806678</v>
      </c>
      <c r="J4" s="37"/>
      <c r="K4" s="35">
        <f>I4/$J$2</f>
        <v>1.6005529817866726</v>
      </c>
      <c r="L4" s="37"/>
      <c r="M4" s="35"/>
    </row>
    <row r="5" spans="1:13" ht="16" x14ac:dyDescent="0.2">
      <c r="A5" s="34" t="s">
        <v>64</v>
      </c>
      <c r="B5" s="36"/>
      <c r="C5" s="4">
        <v>23.269270756065001</v>
      </c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ht="16" x14ac:dyDescent="0.2">
      <c r="A6" s="34" t="s">
        <v>64</v>
      </c>
      <c r="B6" s="36" t="s">
        <v>10</v>
      </c>
      <c r="C6" s="4">
        <v>24.007958842388099</v>
      </c>
      <c r="D6" s="37">
        <f>AVERAGE(C6:C7)</f>
        <v>24.176936272939798</v>
      </c>
      <c r="E6" s="37">
        <v>15.905719176330518</v>
      </c>
      <c r="F6" s="50">
        <f t="shared" ref="F6" si="2">D6-E6</f>
        <v>8.2712170966092806</v>
      </c>
      <c r="G6" s="37"/>
      <c r="H6" s="37">
        <f t="shared" ref="H6" si="3">F6-$G$2</f>
        <v>0.97600961803236341</v>
      </c>
      <c r="I6" s="49">
        <f>2^-(H6)</f>
        <v>0.50838394738531012</v>
      </c>
      <c r="J6" s="37"/>
      <c r="K6" s="35">
        <f>I6/$J$2</f>
        <v>0.38094602674311945</v>
      </c>
      <c r="L6" s="37"/>
      <c r="M6" s="35"/>
    </row>
    <row r="7" spans="1:13" ht="16" x14ac:dyDescent="0.2">
      <c r="A7" s="34" t="s">
        <v>64</v>
      </c>
      <c r="B7" s="36"/>
      <c r="C7" s="4">
        <v>24.345913703491501</v>
      </c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ht="16" x14ac:dyDescent="0.2">
      <c r="A8" s="34" t="s">
        <v>64</v>
      </c>
      <c r="B8" s="36" t="s">
        <v>11</v>
      </c>
      <c r="C8" s="4">
        <v>24.957683869656599</v>
      </c>
      <c r="D8" s="37">
        <f>AVERAGE(C8:C9)</f>
        <v>24.6611213165457</v>
      </c>
      <c r="E8" s="37">
        <v>16.050441528766051</v>
      </c>
      <c r="F8" s="50">
        <f t="shared" ref="F8" si="4">D8-E8</f>
        <v>8.6106797877796488</v>
      </c>
      <c r="G8" s="37"/>
      <c r="H8" s="37">
        <f t="shared" ref="H8:H48" si="5">F8-$G$2</f>
        <v>1.3154723092027316</v>
      </c>
      <c r="I8" s="49">
        <f>2^-(H8)</f>
        <v>0.40179393462275104</v>
      </c>
      <c r="J8" s="37"/>
      <c r="K8" s="35">
        <f>I8/$J$2</f>
        <v>0.30107520851364405</v>
      </c>
      <c r="L8" s="37"/>
      <c r="M8" s="35"/>
    </row>
    <row r="9" spans="1:13" ht="15" customHeight="1" x14ac:dyDescent="0.2">
      <c r="A9" s="34" t="s">
        <v>64</v>
      </c>
      <c r="B9" s="36"/>
      <c r="C9" s="4">
        <v>24.3645587634348</v>
      </c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4" t="s">
        <v>63</v>
      </c>
      <c r="B10" s="36" t="s">
        <v>13</v>
      </c>
      <c r="C10" s="4">
        <v>24.560265958140601</v>
      </c>
      <c r="D10" s="37">
        <f>AVERAGE(C10:C11)</f>
        <v>24.563046807688401</v>
      </c>
      <c r="E10" s="37">
        <v>17.143829345000096</v>
      </c>
      <c r="F10" s="50">
        <f t="shared" ref="F10" si="6">D10-E10</f>
        <v>7.4192174626883052</v>
      </c>
      <c r="G10" s="8"/>
      <c r="H10" s="37">
        <f t="shared" si="5"/>
        <v>0.12400998411138797</v>
      </c>
      <c r="I10" s="49">
        <f>2^-(H10)</f>
        <v>0.91763353184446983</v>
      </c>
      <c r="J10" s="37"/>
      <c r="K10" s="35">
        <f>I10/$J$2</f>
        <v>0.68760795804094155</v>
      </c>
      <c r="L10" s="37">
        <f t="shared" ref="L10" si="7">AVERAGE(K10:K17)</f>
        <v>1.0852110109670643</v>
      </c>
      <c r="M10" s="35">
        <f t="shared" ref="M10" si="8">STDEV(K10:K17)/4</f>
        <v>0.14626788488530743</v>
      </c>
    </row>
    <row r="11" spans="1:13" ht="15" customHeight="1" x14ac:dyDescent="0.2">
      <c r="A11" s="34" t="s">
        <v>63</v>
      </c>
      <c r="B11" s="36"/>
      <c r="C11" s="4">
        <v>24.565827657236198</v>
      </c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4" t="s">
        <v>63</v>
      </c>
      <c r="B12" s="36" t="s">
        <v>14</v>
      </c>
      <c r="C12" s="4">
        <v>24.067104993913802</v>
      </c>
      <c r="D12" s="37">
        <f>AVERAGE(C12:C13)</f>
        <v>23.890589728683203</v>
      </c>
      <c r="E12" s="37">
        <v>17.978019717604003</v>
      </c>
      <c r="F12" s="50">
        <f t="shared" ref="F12" si="9">D12-E12</f>
        <v>5.9125700110792003</v>
      </c>
      <c r="G12" s="8"/>
      <c r="H12" s="37">
        <f t="shared" si="5"/>
        <v>-1.3826374674977169</v>
      </c>
      <c r="I12" s="49">
        <f>2^-(H12)</f>
        <v>2.6074461672574709</v>
      </c>
      <c r="J12" s="37"/>
      <c r="K12" s="35">
        <f>I12/$J$2</f>
        <v>1.9538308840630603</v>
      </c>
      <c r="L12" s="37"/>
      <c r="M12" s="35"/>
    </row>
    <row r="13" spans="1:13" ht="15" customHeight="1" x14ac:dyDescent="0.2">
      <c r="A13" s="34" t="s">
        <v>63</v>
      </c>
      <c r="B13" s="36"/>
      <c r="C13" s="4">
        <v>23.714074463452601</v>
      </c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4" t="s">
        <v>63</v>
      </c>
      <c r="B14" s="36" t="s">
        <v>15</v>
      </c>
      <c r="C14" s="4">
        <v>24.9154738897893</v>
      </c>
      <c r="D14" s="37">
        <f>AVERAGE(C14:C15)</f>
        <v>25.0199293443724</v>
      </c>
      <c r="E14" s="37">
        <v>17.974532197115273</v>
      </c>
      <c r="F14" s="50">
        <f t="shared" ref="F14" si="10">D14-E14</f>
        <v>7.0453971472571268</v>
      </c>
      <c r="G14" s="8"/>
      <c r="H14" s="37">
        <f t="shared" si="5"/>
        <v>-0.24981033131979036</v>
      </c>
      <c r="I14" s="49">
        <f>2^-(H14)</f>
        <v>1.1890507822285963</v>
      </c>
      <c r="J14" s="37"/>
      <c r="K14" s="35">
        <f>I14/$J$2</f>
        <v>0.89098834338778821</v>
      </c>
      <c r="L14" s="37"/>
      <c r="M14" s="35"/>
    </row>
    <row r="15" spans="1:13" ht="15" customHeight="1" x14ac:dyDescent="0.2">
      <c r="A15" s="34" t="s">
        <v>63</v>
      </c>
      <c r="B15" s="36"/>
      <c r="C15" s="4">
        <v>25.1243847989555</v>
      </c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4" t="s">
        <v>63</v>
      </c>
      <c r="B16" s="36" t="s">
        <v>16</v>
      </c>
      <c r="C16" s="4">
        <v>24.683789204130601</v>
      </c>
      <c r="D16" s="37">
        <f>AVERAGE(C16:C17)</f>
        <v>24.505064481279451</v>
      </c>
      <c r="E16" s="37">
        <v>17.319360183997457</v>
      </c>
      <c r="F16" s="50">
        <f t="shared" ref="F16" si="11">D16-E16</f>
        <v>7.185704297281994</v>
      </c>
      <c r="G16" s="8"/>
      <c r="H16" s="37">
        <f t="shared" si="5"/>
        <v>-0.1095031812949232</v>
      </c>
      <c r="I16" s="49">
        <f>2^-(H16)</f>
        <v>1.0788566482973114</v>
      </c>
      <c r="J16" s="37"/>
      <c r="K16" s="35">
        <f>I16/$J$2</f>
        <v>0.8084168583764676</v>
      </c>
      <c r="L16" s="37"/>
      <c r="M16" s="35"/>
    </row>
    <row r="17" spans="1:13" ht="15" customHeight="1" x14ac:dyDescent="0.2">
      <c r="A17" s="34" t="s">
        <v>63</v>
      </c>
      <c r="B17" s="36"/>
      <c r="C17" s="4">
        <v>24.326339758428301</v>
      </c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19" t="s">
        <v>53</v>
      </c>
      <c r="B18" s="36" t="s">
        <v>18</v>
      </c>
      <c r="C18" s="4">
        <v>24.4891452036114</v>
      </c>
      <c r="D18" s="37">
        <f>AVERAGE(C18:C19)</f>
        <v>24.335378110023399</v>
      </c>
      <c r="E18" s="37">
        <v>19.205252186246113</v>
      </c>
      <c r="F18" s="50">
        <f t="shared" ref="F18" si="12">D18-E18</f>
        <v>5.1301259237772854</v>
      </c>
      <c r="G18" s="8"/>
      <c r="H18" s="37">
        <f t="shared" si="5"/>
        <v>-2.1650815547996318</v>
      </c>
      <c r="I18" s="49">
        <f>2^-(H18)</f>
        <v>4.48491783501869</v>
      </c>
      <c r="J18" s="37"/>
      <c r="K18" s="35">
        <f>I18/$J$2</f>
        <v>3.3606718668180573</v>
      </c>
      <c r="L18" s="37">
        <f t="shared" ref="L18" si="13">AVERAGE(K18:K25)</f>
        <v>2.1267576310140703</v>
      </c>
      <c r="M18" s="35">
        <f t="shared" ref="M18" si="14">STDEV(K18:K25)/4</f>
        <v>0.32392986374397797</v>
      </c>
    </row>
    <row r="19" spans="1:13" ht="15" customHeight="1" x14ac:dyDescent="0.2">
      <c r="A19" s="19" t="s">
        <v>53</v>
      </c>
      <c r="B19" s="36"/>
      <c r="C19" s="4">
        <v>24.181611016435401</v>
      </c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19" t="s">
        <v>53</v>
      </c>
      <c r="B20" s="36" t="s">
        <v>19</v>
      </c>
      <c r="C20" s="4">
        <v>22.870367435524098</v>
      </c>
      <c r="D20" s="37">
        <f>AVERAGE(C20:C21)</f>
        <v>22.754787660154101</v>
      </c>
      <c r="E20" s="37">
        <v>17.51825332356341</v>
      </c>
      <c r="F20" s="50">
        <f t="shared" ref="F20" si="15">D20-E20</f>
        <v>5.2365343365906902</v>
      </c>
      <c r="G20" s="8"/>
      <c r="H20" s="37">
        <f t="shared" si="5"/>
        <v>-2.058673141986227</v>
      </c>
      <c r="I20" s="49">
        <f>2^-(H20)</f>
        <v>4.1660297504431485</v>
      </c>
      <c r="J20" s="37"/>
      <c r="K20" s="35">
        <f>I20/$J$2</f>
        <v>3.1217202842207694</v>
      </c>
      <c r="L20" s="37"/>
      <c r="M20" s="35"/>
    </row>
    <row r="21" spans="1:13" ht="15" customHeight="1" x14ac:dyDescent="0.2">
      <c r="A21" s="20" t="s">
        <v>53</v>
      </c>
      <c r="B21" s="36"/>
      <c r="C21" s="4">
        <v>22.639207884784099</v>
      </c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20" t="s">
        <v>53</v>
      </c>
      <c r="B22" s="36" t="s">
        <v>20</v>
      </c>
      <c r="C22" s="4">
        <v>23.966075214310301</v>
      </c>
      <c r="D22" s="37">
        <f>AVERAGE(C22:C23)</f>
        <v>24.121264454654053</v>
      </c>
      <c r="E22" s="37">
        <v>17.449205574599301</v>
      </c>
      <c r="F22" s="50">
        <f t="shared" ref="F22" si="16">D22-E22</f>
        <v>6.6720588800547524</v>
      </c>
      <c r="G22" s="8"/>
      <c r="H22" s="37">
        <f t="shared" si="5"/>
        <v>-0.62314859852216475</v>
      </c>
      <c r="I22" s="49">
        <f>2^-(H22)</f>
        <v>1.5402329852956689</v>
      </c>
      <c r="J22" s="37"/>
      <c r="K22" s="35">
        <f>I22/$J$2</f>
        <v>1.1541387941629424</v>
      </c>
      <c r="L22" s="37"/>
      <c r="M22" s="35"/>
    </row>
    <row r="23" spans="1:13" ht="15" customHeight="1" x14ac:dyDescent="0.2">
      <c r="A23" s="20" t="s">
        <v>53</v>
      </c>
      <c r="B23" s="36"/>
      <c r="C23" s="4">
        <v>24.276453694997802</v>
      </c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20" t="s">
        <v>53</v>
      </c>
      <c r="B24" s="36" t="s">
        <v>21</v>
      </c>
      <c r="C24" s="4">
        <v>24.1421165355661</v>
      </c>
      <c r="D24" s="37">
        <f>AVERAGE(C24:C25)</f>
        <v>23.971256572595998</v>
      </c>
      <c r="E24" s="37">
        <v>16.892296467846901</v>
      </c>
      <c r="F24" s="50">
        <f>D24-E24</f>
        <v>7.0789601047490969</v>
      </c>
      <c r="G24" s="8"/>
      <c r="H24" s="37">
        <f t="shared" si="5"/>
        <v>-0.21624737382782033</v>
      </c>
      <c r="I24" s="49">
        <f>2^-(H24)</f>
        <v>1.1617079088049576</v>
      </c>
      <c r="J24" s="37"/>
      <c r="K24" s="35">
        <f>I24/$J$2</f>
        <v>0.87049957885451179</v>
      </c>
      <c r="L24" s="37"/>
      <c r="M24" s="35"/>
    </row>
    <row r="25" spans="1:13" ht="15" customHeight="1" x14ac:dyDescent="0.2">
      <c r="A25" s="20" t="s">
        <v>53</v>
      </c>
      <c r="B25" s="36"/>
      <c r="C25" s="4">
        <v>23.800396609625899</v>
      </c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19" t="s">
        <v>54</v>
      </c>
      <c r="B26" s="36" t="s">
        <v>23</v>
      </c>
      <c r="C26" s="4">
        <v>23.506875658078499</v>
      </c>
      <c r="D26" s="37">
        <f>AVERAGE(C26:C27)</f>
        <v>23.603204455156849</v>
      </c>
      <c r="E26" s="37">
        <v>17.460951826505497</v>
      </c>
      <c r="F26" s="50">
        <f t="shared" ref="F26" si="17">D26-E26</f>
        <v>6.1422526286513524</v>
      </c>
      <c r="G26" s="8"/>
      <c r="H26" s="37">
        <f t="shared" si="5"/>
        <v>-1.1529548499255649</v>
      </c>
      <c r="I26" s="49">
        <f>2^-(H26)</f>
        <v>2.2236887221684074</v>
      </c>
      <c r="J26" s="37"/>
      <c r="K26" s="35">
        <f>I26/$J$2</f>
        <v>1.6662709115429803</v>
      </c>
      <c r="L26" s="37">
        <f t="shared" ref="L26" si="18">AVERAGE(K26:K33)</f>
        <v>1.3680903439078405</v>
      </c>
      <c r="M26" s="35">
        <f t="shared" ref="M26" si="19">STDEV(K26:K33)/4</f>
        <v>0.20094228733950675</v>
      </c>
    </row>
    <row r="27" spans="1:13" ht="15" customHeight="1" x14ac:dyDescent="0.2">
      <c r="A27" s="19" t="s">
        <v>54</v>
      </c>
      <c r="B27" s="36"/>
      <c r="C27" s="4">
        <v>23.699533252235199</v>
      </c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19" t="s">
        <v>54</v>
      </c>
      <c r="B28" s="36" t="s">
        <v>24</v>
      </c>
      <c r="C28" s="4">
        <v>23.817531703316298</v>
      </c>
      <c r="D28" s="37">
        <f>AVERAGE(C28:C29)</f>
        <v>23.7388923563331</v>
      </c>
      <c r="E28" s="37">
        <v>17.810378746674107</v>
      </c>
      <c r="F28" s="50">
        <f t="shared" ref="F28" si="20">D28-E28</f>
        <v>5.9285136096589923</v>
      </c>
      <c r="G28" s="8"/>
      <c r="H28" s="37">
        <f t="shared" si="5"/>
        <v>-1.3666938689179249</v>
      </c>
      <c r="I28" s="49">
        <f>2^-(H28)</f>
        <v>2.5787892399141921</v>
      </c>
      <c r="J28" s="37"/>
      <c r="K28" s="35">
        <f>I28/$J$2</f>
        <v>1.9323574629091576</v>
      </c>
      <c r="L28" s="37"/>
      <c r="M28" s="35"/>
    </row>
    <row r="29" spans="1:13" ht="15" customHeight="1" x14ac:dyDescent="0.2">
      <c r="A29" s="19" t="s">
        <v>54</v>
      </c>
      <c r="B29" s="36"/>
      <c r="C29" s="4">
        <v>23.660253009349901</v>
      </c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19" t="s">
        <v>54</v>
      </c>
      <c r="B30" s="36" t="s">
        <v>25</v>
      </c>
      <c r="C30" s="4">
        <v>23.7361331115351</v>
      </c>
      <c r="D30" s="37">
        <f>AVERAGE(C30:C31)</f>
        <v>23.7516983546939</v>
      </c>
      <c r="E30" s="37">
        <v>17.636734292930214</v>
      </c>
      <c r="F30" s="50">
        <f t="shared" ref="F30" si="21">D30-E30</f>
        <v>6.1149640617636862</v>
      </c>
      <c r="G30" s="8"/>
      <c r="H30" s="37">
        <f t="shared" si="5"/>
        <v>-1.180243416813231</v>
      </c>
      <c r="I30" s="49">
        <f>2^-(H30)</f>
        <v>2.266150091515263</v>
      </c>
      <c r="J30" s="37"/>
      <c r="K30" s="35">
        <f>I30/$J$2</f>
        <v>1.6980883794743529</v>
      </c>
      <c r="L30" s="37"/>
      <c r="M30" s="35"/>
    </row>
    <row r="31" spans="1:13" ht="15" customHeight="1" x14ac:dyDescent="0.2">
      <c r="A31" s="19" t="s">
        <v>54</v>
      </c>
      <c r="B31" s="36"/>
      <c r="C31" s="4">
        <v>23.7672635978527</v>
      </c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19" t="s">
        <v>54</v>
      </c>
      <c r="B32" s="36" t="s">
        <v>26</v>
      </c>
      <c r="C32" s="4">
        <v>24.531938422911701</v>
      </c>
      <c r="D32" s="37">
        <f>AVERAGE(C32:C33)</f>
        <v>27.78579191113775</v>
      </c>
      <c r="E32" s="37">
        <v>18.397647607932122</v>
      </c>
      <c r="F32" s="50">
        <f>D32-E32</f>
        <v>9.3881443032056282</v>
      </c>
      <c r="G32" s="8"/>
      <c r="H32" s="37">
        <f t="shared" si="5"/>
        <v>2.092936824628711</v>
      </c>
      <c r="I32" s="49">
        <f>2^-(H32)</f>
        <v>0.23440303835885704</v>
      </c>
      <c r="J32" s="37"/>
      <c r="K32" s="35">
        <f>I32/$J$2</f>
        <v>0.17564462170487055</v>
      </c>
      <c r="L32" s="37"/>
      <c r="M32" s="35"/>
    </row>
    <row r="33" spans="1:13" ht="15" customHeight="1" x14ac:dyDescent="0.2">
      <c r="A33" s="19" t="s">
        <v>54</v>
      </c>
      <c r="B33" s="36"/>
      <c r="C33" s="4">
        <v>31.039645399363799</v>
      </c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19" t="s">
        <v>55</v>
      </c>
      <c r="B34" s="36" t="s">
        <v>28</v>
      </c>
      <c r="C34" s="4">
        <v>24.276092514849299</v>
      </c>
      <c r="D34" s="37">
        <f>AVERAGE(C34:C35)</f>
        <v>24.18376708060395</v>
      </c>
      <c r="E34" s="37">
        <v>16.509506697394823</v>
      </c>
      <c r="F34" s="50">
        <f t="shared" ref="F34" si="22">D34-E34</f>
        <v>7.674260383209127</v>
      </c>
      <c r="G34" s="8"/>
      <c r="H34" s="37">
        <f t="shared" si="5"/>
        <v>0.37905290463220975</v>
      </c>
      <c r="I34" s="49">
        <f>2^-(H34)</f>
        <v>0.76894221747131242</v>
      </c>
      <c r="J34" s="37"/>
      <c r="K34" s="35">
        <f>I34/$J$2</f>
        <v>0.57618948050444341</v>
      </c>
      <c r="L34" s="37">
        <f t="shared" ref="L34" si="23">AVERAGE(K34:K41)</f>
        <v>1.5274137852738507</v>
      </c>
      <c r="M34" s="35">
        <f t="shared" ref="M34" si="24">STDEV(K34:K41)/4</f>
        <v>0.25107264326527579</v>
      </c>
    </row>
    <row r="35" spans="1:13" ht="15" customHeight="1" x14ac:dyDescent="0.2">
      <c r="A35" s="19" t="s">
        <v>55</v>
      </c>
      <c r="B35" s="36"/>
      <c r="C35" s="4">
        <v>24.0914416463586</v>
      </c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19" t="s">
        <v>55</v>
      </c>
      <c r="B36" s="36" t="s">
        <v>29</v>
      </c>
      <c r="C36" s="4">
        <v>24.729004959419498</v>
      </c>
      <c r="D36" s="37">
        <f>AVERAGE(C36:C37)</f>
        <v>24.831835614349401</v>
      </c>
      <c r="E36" s="37">
        <v>18.343164352268513</v>
      </c>
      <c r="F36" s="50">
        <f t="shared" ref="F36" si="25">D36-E36</f>
        <v>6.4886712620808886</v>
      </c>
      <c r="G36" s="8"/>
      <c r="H36" s="37">
        <f t="shared" si="5"/>
        <v>-0.80653621649602858</v>
      </c>
      <c r="I36" s="49">
        <f>2^-(H36)</f>
        <v>1.7490071856889886</v>
      </c>
      <c r="J36" s="37"/>
      <c r="K36" s="35">
        <f>I36/$J$2</f>
        <v>1.3105790250855545</v>
      </c>
      <c r="L36" s="37"/>
      <c r="M36" s="35"/>
    </row>
    <row r="37" spans="1:13" ht="15" customHeight="1" x14ac:dyDescent="0.2">
      <c r="A37" s="19" t="s">
        <v>55</v>
      </c>
      <c r="B37" s="36"/>
      <c r="C37" s="4">
        <v>24.934666269279301</v>
      </c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19" t="s">
        <v>55</v>
      </c>
      <c r="B38" s="36" t="s">
        <v>30</v>
      </c>
      <c r="C38" s="4">
        <v>23.762053619184002</v>
      </c>
      <c r="D38" s="37">
        <f>AVERAGE(C38:C39)</f>
        <v>24.0323292226634</v>
      </c>
      <c r="E38" s="37">
        <v>17.506489233409525</v>
      </c>
      <c r="F38" s="50">
        <f t="shared" ref="F38" si="26">D38-E38</f>
        <v>6.5258399892538748</v>
      </c>
      <c r="G38" s="8"/>
      <c r="H38" s="37">
        <f t="shared" si="5"/>
        <v>-0.76936748932304244</v>
      </c>
      <c r="I38" s="49">
        <f>2^-(H38)</f>
        <v>1.704522317919583</v>
      </c>
      <c r="J38" s="37"/>
      <c r="K38" s="35">
        <f>I38/$J$2</f>
        <v>1.2772452943214234</v>
      </c>
      <c r="L38" s="37"/>
      <c r="M38" s="35"/>
    </row>
    <row r="39" spans="1:13" ht="15" customHeight="1" x14ac:dyDescent="0.2">
      <c r="A39" s="19" t="s">
        <v>55</v>
      </c>
      <c r="B39" s="36"/>
      <c r="C39" s="4">
        <v>24.302604826142801</v>
      </c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19" t="s">
        <v>55</v>
      </c>
      <c r="B40" s="36" t="s">
        <v>31</v>
      </c>
      <c r="C40" s="4">
        <v>24.029563212138701</v>
      </c>
      <c r="D40" s="37">
        <f>AVERAGE(C40:C41)</f>
        <v>24.029563212138701</v>
      </c>
      <c r="E40" s="37">
        <v>18.70926938210307</v>
      </c>
      <c r="F40" s="50">
        <f t="shared" ref="F40" si="27">D40-E40</f>
        <v>5.3202938300356308</v>
      </c>
      <c r="G40" s="8"/>
      <c r="H40" s="37">
        <f t="shared" si="5"/>
        <v>-1.9749136485412864</v>
      </c>
      <c r="I40" s="49">
        <f>2^-(H40)</f>
        <v>3.9310470971844031</v>
      </c>
      <c r="J40" s="37"/>
      <c r="K40" s="35">
        <f>I40/$J$2</f>
        <v>2.9456413411839817</v>
      </c>
      <c r="L40" s="37"/>
      <c r="M40" s="35"/>
    </row>
    <row r="41" spans="1:13" ht="15" customHeight="1" x14ac:dyDescent="0.2">
      <c r="A41" s="19" t="s">
        <v>55</v>
      </c>
      <c r="B41" s="36"/>
      <c r="C41" s="4"/>
      <c r="D41" s="37"/>
      <c r="E41" s="37"/>
      <c r="F41" s="50"/>
      <c r="G41" s="8"/>
      <c r="H41" s="37"/>
      <c r="I41" s="49"/>
      <c r="J41" s="37"/>
      <c r="K41" s="35"/>
      <c r="L41" s="37"/>
      <c r="M41" s="35"/>
    </row>
    <row r="42" spans="1:13" s="29" customFormat="1" ht="16" x14ac:dyDescent="0.2">
      <c r="A42" s="33" t="s">
        <v>56</v>
      </c>
      <c r="B42" s="36" t="s">
        <v>57</v>
      </c>
      <c r="C42" s="31">
        <v>28.194220630544802</v>
      </c>
      <c r="D42" s="37">
        <f>AVERAGE(C42:C43)</f>
        <v>28.195836533877703</v>
      </c>
      <c r="E42" s="37">
        <v>17.216022097920472</v>
      </c>
      <c r="F42" s="50">
        <f t="shared" ref="F42" si="28">D42-E42</f>
        <v>10.979814435957231</v>
      </c>
      <c r="H42" s="37">
        <f t="shared" si="5"/>
        <v>3.6846069573803133</v>
      </c>
      <c r="I42" s="49">
        <f>2^-(H42)</f>
        <v>7.777191334406211E-2</v>
      </c>
      <c r="K42" s="35">
        <f>I42/$J$2</f>
        <v>5.8276626421833261E-2</v>
      </c>
      <c r="L42" s="37">
        <f t="shared" ref="L42" si="29">AVERAGE(K42:K49)</f>
        <v>0.66978189223250317</v>
      </c>
      <c r="M42" s="35">
        <f t="shared" ref="M42" si="30">STDEV(K42:K49)/4</f>
        <v>0.17771415305537969</v>
      </c>
    </row>
    <row r="43" spans="1:13" ht="16" x14ac:dyDescent="0.2">
      <c r="A43" s="32" t="s">
        <v>56</v>
      </c>
      <c r="B43" s="36"/>
      <c r="C43" s="4">
        <v>28.1974524372106</v>
      </c>
      <c r="D43" s="37"/>
      <c r="E43" s="37"/>
      <c r="F43" s="50"/>
      <c r="H43" s="37"/>
      <c r="I43" s="49"/>
      <c r="K43" s="35"/>
      <c r="L43" s="37"/>
      <c r="M43" s="35"/>
    </row>
    <row r="44" spans="1:13" ht="16" x14ac:dyDescent="0.2">
      <c r="A44" s="32" t="s">
        <v>56</v>
      </c>
      <c r="B44" s="36" t="s">
        <v>58</v>
      </c>
      <c r="C44" s="4">
        <v>26.5242160529695</v>
      </c>
      <c r="D44" s="37">
        <f>AVERAGE(C44:C45)</f>
        <v>26.351912189718849</v>
      </c>
      <c r="E44" s="37">
        <v>18.742090881478987</v>
      </c>
      <c r="F44" s="50">
        <f t="shared" ref="F44" si="31">D44-E44</f>
        <v>7.6098213082398622</v>
      </c>
      <c r="H44" s="37">
        <f t="shared" si="5"/>
        <v>0.31461382966294504</v>
      </c>
      <c r="I44" s="49">
        <f>2^-(H44)</f>
        <v>0.80406618865324953</v>
      </c>
      <c r="K44" s="35">
        <f>I44/$J$2</f>
        <v>0.60250883487040197</v>
      </c>
      <c r="L44" s="37"/>
      <c r="M44" s="35"/>
    </row>
    <row r="45" spans="1:13" ht="16" x14ac:dyDescent="0.2">
      <c r="A45" s="32" t="s">
        <v>56</v>
      </c>
      <c r="B45" s="36"/>
      <c r="C45" s="4">
        <v>26.179608326468198</v>
      </c>
      <c r="D45" s="37"/>
      <c r="E45" s="37"/>
      <c r="F45" s="50"/>
      <c r="H45" s="37"/>
      <c r="I45" s="49"/>
      <c r="K45" s="35"/>
      <c r="L45" s="37"/>
      <c r="M45" s="35"/>
    </row>
    <row r="46" spans="1:13" ht="16" x14ac:dyDescent="0.2">
      <c r="A46" s="32" t="s">
        <v>56</v>
      </c>
      <c r="B46" s="36" t="s">
        <v>59</v>
      </c>
      <c r="C46" s="4">
        <v>27.013917067950999</v>
      </c>
      <c r="D46" s="37">
        <f>AVERAGE(C46:C47)</f>
        <v>26.918126649398801</v>
      </c>
      <c r="E46" s="37">
        <v>18.464510655682574</v>
      </c>
      <c r="F46" s="50">
        <f>D46-E46</f>
        <v>8.4536159937162267</v>
      </c>
      <c r="H46" s="37">
        <f t="shared" si="5"/>
        <v>1.1584085151393095</v>
      </c>
      <c r="I46" s="49">
        <f>2^-(H46)</f>
        <v>0.44800647380881892</v>
      </c>
      <c r="K46" s="35">
        <f>I46/$J$2</f>
        <v>0.33570353082630872</v>
      </c>
      <c r="L46" s="37"/>
      <c r="M46" s="35"/>
    </row>
    <row r="47" spans="1:13" ht="16" x14ac:dyDescent="0.2">
      <c r="A47" s="32" t="s">
        <v>56</v>
      </c>
      <c r="B47" s="36"/>
      <c r="C47" s="4">
        <v>26.822336230846599</v>
      </c>
      <c r="D47" s="37"/>
      <c r="E47" s="37"/>
      <c r="F47" s="50"/>
      <c r="H47" s="37"/>
      <c r="I47" s="49"/>
      <c r="K47" s="35"/>
      <c r="L47" s="37"/>
      <c r="M47" s="35"/>
    </row>
    <row r="48" spans="1:13" ht="16" x14ac:dyDescent="0.2">
      <c r="A48" s="32" t="s">
        <v>56</v>
      </c>
      <c r="B48" s="36" t="s">
        <v>60</v>
      </c>
      <c r="C48" s="4">
        <v>24.860690884916899</v>
      </c>
      <c r="D48" s="37">
        <f>AVERAGE(C48:C49)</f>
        <v>25.002126291627999</v>
      </c>
      <c r="E48" s="37">
        <v>18.873976007408302</v>
      </c>
      <c r="F48" s="50">
        <f t="shared" ref="F48" si="32">D48-E48</f>
        <v>6.1281502842196964</v>
      </c>
      <c r="H48" s="37">
        <f t="shared" si="5"/>
        <v>-1.1670571943572208</v>
      </c>
      <c r="I48" s="49">
        <f>2^-(H48)</f>
        <v>2.2455318644891609</v>
      </c>
      <c r="K48" s="35">
        <f>I48/$J$2</f>
        <v>1.6826385768114687</v>
      </c>
      <c r="L48" s="37"/>
      <c r="M48" s="35"/>
    </row>
    <row r="49" spans="1:13" ht="16" x14ac:dyDescent="0.2">
      <c r="A49" s="32" t="s">
        <v>56</v>
      </c>
      <c r="B49" s="36"/>
      <c r="C49" s="4">
        <v>25.143561698339099</v>
      </c>
      <c r="D49" s="37"/>
      <c r="E49" s="37"/>
      <c r="F49" s="50"/>
      <c r="H49" s="37"/>
      <c r="I49" s="49"/>
      <c r="K49" s="35"/>
      <c r="L49" s="37"/>
      <c r="M49" s="35"/>
    </row>
    <row r="50" spans="1:13" ht="16" x14ac:dyDescent="0.2">
      <c r="C50" s="4"/>
      <c r="E50" s="37"/>
    </row>
    <row r="51" spans="1:13" ht="16" x14ac:dyDescent="0.2">
      <c r="C51" s="4"/>
      <c r="E51" s="37"/>
    </row>
    <row r="52" spans="1:13" ht="16" x14ac:dyDescent="0.2">
      <c r="C52" s="4"/>
    </row>
    <row r="53" spans="1:13" ht="16" x14ac:dyDescent="0.2">
      <c r="C53" s="4"/>
    </row>
  </sheetData>
  <mergeCells count="187">
    <mergeCell ref="M42:M49"/>
    <mergeCell ref="I42:I43"/>
    <mergeCell ref="I44:I45"/>
    <mergeCell ref="I46:I47"/>
    <mergeCell ref="I48:I49"/>
    <mergeCell ref="K42:K43"/>
    <mergeCell ref="K44:K45"/>
    <mergeCell ref="K46:K47"/>
    <mergeCell ref="K48:K49"/>
    <mergeCell ref="L42:L49"/>
    <mergeCell ref="E50:E51"/>
    <mergeCell ref="F42:F43"/>
    <mergeCell ref="F44:F45"/>
    <mergeCell ref="F46:F47"/>
    <mergeCell ref="F48:F49"/>
    <mergeCell ref="H42:H43"/>
    <mergeCell ref="H44:H45"/>
    <mergeCell ref="H46:H47"/>
    <mergeCell ref="H48:H49"/>
    <mergeCell ref="B42:B43"/>
    <mergeCell ref="B44:B45"/>
    <mergeCell ref="B46:B47"/>
    <mergeCell ref="B48:B49"/>
    <mergeCell ref="D42:D43"/>
    <mergeCell ref="D44:D45"/>
    <mergeCell ref="D46:D47"/>
    <mergeCell ref="D48:D49"/>
    <mergeCell ref="E42:E43"/>
    <mergeCell ref="E44:E45"/>
    <mergeCell ref="E46:E47"/>
    <mergeCell ref="E48:E49"/>
    <mergeCell ref="L2:L9"/>
    <mergeCell ref="M2:M9"/>
    <mergeCell ref="H4:H5"/>
    <mergeCell ref="I4:I5"/>
    <mergeCell ref="K4:K5"/>
    <mergeCell ref="K6:K7"/>
    <mergeCell ref="B2:B3"/>
    <mergeCell ref="D2:D3"/>
    <mergeCell ref="E2:E3"/>
    <mergeCell ref="F2:F3"/>
    <mergeCell ref="G2:G9"/>
    <mergeCell ref="B4:B5"/>
    <mergeCell ref="D4:D5"/>
    <mergeCell ref="E4:E5"/>
    <mergeCell ref="F4:F5"/>
    <mergeCell ref="B6:B7"/>
    <mergeCell ref="D6:D7"/>
    <mergeCell ref="E6:E7"/>
    <mergeCell ref="F6:F7"/>
    <mergeCell ref="H6:H7"/>
    <mergeCell ref="H2:H3"/>
    <mergeCell ref="I2:I3"/>
    <mergeCell ref="J2:J9"/>
    <mergeCell ref="K2:K3"/>
    <mergeCell ref="D10:D11"/>
    <mergeCell ref="E10:E11"/>
    <mergeCell ref="F10:F11"/>
    <mergeCell ref="H10:H11"/>
    <mergeCell ref="I10:I11"/>
    <mergeCell ref="J10:J17"/>
    <mergeCell ref="B8:B9"/>
    <mergeCell ref="D8:D9"/>
    <mergeCell ref="E8:E9"/>
    <mergeCell ref="F8:F9"/>
    <mergeCell ref="H8:H9"/>
    <mergeCell ref="D14:D15"/>
    <mergeCell ref="E14:E15"/>
    <mergeCell ref="F14:F15"/>
    <mergeCell ref="H14:H15"/>
    <mergeCell ref="I6:I7"/>
    <mergeCell ref="I8:I9"/>
    <mergeCell ref="K8:K9"/>
    <mergeCell ref="K10:K11"/>
    <mergeCell ref="I14:I15"/>
    <mergeCell ref="K14:K15"/>
    <mergeCell ref="L10:L17"/>
    <mergeCell ref="M10:M17"/>
    <mergeCell ref="B12:B13"/>
    <mergeCell ref="D12:D13"/>
    <mergeCell ref="E12:E13"/>
    <mergeCell ref="F12:F13"/>
    <mergeCell ref="H12:H13"/>
    <mergeCell ref="I12:I13"/>
    <mergeCell ref="K12:K13"/>
    <mergeCell ref="B14:B15"/>
    <mergeCell ref="K16:K17"/>
    <mergeCell ref="B16:B17"/>
    <mergeCell ref="D16:D17"/>
    <mergeCell ref="E16:E17"/>
    <mergeCell ref="F16:F17"/>
    <mergeCell ref="H16:H17"/>
    <mergeCell ref="I16:I17"/>
    <mergeCell ref="B10:B11"/>
    <mergeCell ref="I18:I19"/>
    <mergeCell ref="J18:J25"/>
    <mergeCell ref="K18:K19"/>
    <mergeCell ref="D22:D23"/>
    <mergeCell ref="E22:E23"/>
    <mergeCell ref="F22:F23"/>
    <mergeCell ref="H22:H23"/>
    <mergeCell ref="I22:I23"/>
    <mergeCell ref="K22:K23"/>
    <mergeCell ref="I32:I33"/>
    <mergeCell ref="K32:K33"/>
    <mergeCell ref="L18:L25"/>
    <mergeCell ref="M18:M25"/>
    <mergeCell ref="B20:B21"/>
    <mergeCell ref="D20:D21"/>
    <mergeCell ref="E20:E21"/>
    <mergeCell ref="F20:F21"/>
    <mergeCell ref="H20:H21"/>
    <mergeCell ref="I20:I21"/>
    <mergeCell ref="K20:K21"/>
    <mergeCell ref="B22:B23"/>
    <mergeCell ref="K24:K25"/>
    <mergeCell ref="B24:B25"/>
    <mergeCell ref="D24:D25"/>
    <mergeCell ref="E24:E25"/>
    <mergeCell ref="F24:F25"/>
    <mergeCell ref="H24:H25"/>
    <mergeCell ref="I24:I25"/>
    <mergeCell ref="B18:B19"/>
    <mergeCell ref="D18:D19"/>
    <mergeCell ref="E18:E19"/>
    <mergeCell ref="F18:F19"/>
    <mergeCell ref="H18:H19"/>
    <mergeCell ref="F30:F31"/>
    <mergeCell ref="H30:H31"/>
    <mergeCell ref="I30:I31"/>
    <mergeCell ref="K30:K31"/>
    <mergeCell ref="B28:B29"/>
    <mergeCell ref="D28:D29"/>
    <mergeCell ref="E28:E29"/>
    <mergeCell ref="F28:F29"/>
    <mergeCell ref="H28:H29"/>
    <mergeCell ref="I28:I29"/>
    <mergeCell ref="K28:K29"/>
    <mergeCell ref="B30:B31"/>
    <mergeCell ref="M26:M33"/>
    <mergeCell ref="M34:M41"/>
    <mergeCell ref="B36:B37"/>
    <mergeCell ref="D36:D37"/>
    <mergeCell ref="E36:E37"/>
    <mergeCell ref="F36:F37"/>
    <mergeCell ref="H36:H37"/>
    <mergeCell ref="I36:I37"/>
    <mergeCell ref="K36:K37"/>
    <mergeCell ref="B38:B39"/>
    <mergeCell ref="I40:I41"/>
    <mergeCell ref="K40:K41"/>
    <mergeCell ref="B40:B41"/>
    <mergeCell ref="D40:D41"/>
    <mergeCell ref="E40:E41"/>
    <mergeCell ref="F40:F41"/>
    <mergeCell ref="H40:H41"/>
    <mergeCell ref="D38:D39"/>
    <mergeCell ref="E38:E39"/>
    <mergeCell ref="F38:F39"/>
    <mergeCell ref="B32:B33"/>
    <mergeCell ref="D32:D33"/>
    <mergeCell ref="E32:E33"/>
    <mergeCell ref="F32:F33"/>
    <mergeCell ref="H38:H39"/>
    <mergeCell ref="I38:I39"/>
    <mergeCell ref="K38:K39"/>
    <mergeCell ref="B34:B35"/>
    <mergeCell ref="D34:D35"/>
    <mergeCell ref="J34:J41"/>
    <mergeCell ref="K34:K35"/>
    <mergeCell ref="L34:L41"/>
    <mergeCell ref="L26:L33"/>
    <mergeCell ref="H32:H33"/>
    <mergeCell ref="E34:E35"/>
    <mergeCell ref="F34:F35"/>
    <mergeCell ref="H34:H35"/>
    <mergeCell ref="I34:I35"/>
    <mergeCell ref="B26:B27"/>
    <mergeCell ref="D26:D27"/>
    <mergeCell ref="E26:E27"/>
    <mergeCell ref="F26:F27"/>
    <mergeCell ref="H26:H27"/>
    <mergeCell ref="I26:I27"/>
    <mergeCell ref="J26:J33"/>
    <mergeCell ref="K26:K27"/>
    <mergeCell ref="D30:D31"/>
    <mergeCell ref="E30:E31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B82F-C230-46A2-BD8F-908A0E79265A}">
  <dimension ref="A1:M1048576"/>
  <sheetViews>
    <sheetView topLeftCell="K9" workbookViewId="0">
      <selection activeCell="A2" sqref="A2:A17"/>
    </sheetView>
  </sheetViews>
  <sheetFormatPr baseColWidth="10" defaultColWidth="8.83203125" defaultRowHeight="15" x14ac:dyDescent="0.2"/>
  <cols>
    <col min="1" max="1" width="16.1640625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3" max="13" width="13.6640625" customWidth="1"/>
  </cols>
  <sheetData>
    <row r="1" spans="1:13" ht="16" x14ac:dyDescent="0.2">
      <c r="A1" s="2" t="s">
        <v>51</v>
      </c>
      <c r="B1" s="6" t="s">
        <v>2</v>
      </c>
      <c r="C1" s="3" t="s">
        <v>40</v>
      </c>
      <c r="D1" s="2" t="s">
        <v>4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 ht="16" x14ac:dyDescent="0.2">
      <c r="A2" s="34" t="s">
        <v>64</v>
      </c>
      <c r="B2" s="39">
        <v>1</v>
      </c>
      <c r="C2" s="4">
        <v>28.23</v>
      </c>
      <c r="D2" s="37">
        <f>AVERAGE(C2:C3)</f>
        <v>28.39</v>
      </c>
      <c r="E2" s="37">
        <v>17.190287859484446</v>
      </c>
      <c r="F2" s="50">
        <f>D2-E2</f>
        <v>11.199712140515555</v>
      </c>
      <c r="G2" s="37">
        <f>AVERAGE(F2:F9)</f>
        <v>11.557315947634367</v>
      </c>
      <c r="H2" s="37">
        <f>F2-$G$2</f>
        <v>-0.3576038071188119</v>
      </c>
      <c r="I2" s="49">
        <f>2^-(H2)</f>
        <v>1.2812960063587882</v>
      </c>
      <c r="J2" s="37">
        <f>AVERAGE(I2:I9)</f>
        <v>1.0259276491988614</v>
      </c>
      <c r="K2" s="35">
        <f>I2/$J$2</f>
        <v>1.2489145870660001</v>
      </c>
      <c r="L2" s="37">
        <f>AVERAGE(K2:K9)</f>
        <v>1</v>
      </c>
      <c r="M2" s="35">
        <f>STDEV(K2:K9)/4</f>
        <v>6.1394870547622937E-2</v>
      </c>
    </row>
    <row r="3" spans="1:13" ht="16" x14ac:dyDescent="0.2">
      <c r="A3" s="34" t="s">
        <v>64</v>
      </c>
      <c r="B3" s="39"/>
      <c r="C3" s="4">
        <v>28.55</v>
      </c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ht="16" x14ac:dyDescent="0.2">
      <c r="A4" s="34" t="s">
        <v>64</v>
      </c>
      <c r="B4" s="36" t="s">
        <v>9</v>
      </c>
      <c r="C4" s="4">
        <v>29.1</v>
      </c>
      <c r="D4" s="37">
        <f>AVERAGE(C4:C5)</f>
        <v>28.560000000000002</v>
      </c>
      <c r="E4" s="37">
        <v>17.164287644881519</v>
      </c>
      <c r="F4" s="50">
        <f t="shared" ref="F4" si="0">D4-E4</f>
        <v>11.395712355118484</v>
      </c>
      <c r="G4" s="37"/>
      <c r="H4" s="37">
        <f>F4-$G$2</f>
        <v>-0.16160359251588297</v>
      </c>
      <c r="I4" s="49">
        <f>2^-(H4)</f>
        <v>1.1185297218174506</v>
      </c>
      <c r="J4" s="37"/>
      <c r="K4" s="35">
        <f>I4/$J$2</f>
        <v>1.0902617964248273</v>
      </c>
      <c r="L4" s="37"/>
      <c r="M4" s="35"/>
    </row>
    <row r="5" spans="1:13" ht="16" x14ac:dyDescent="0.2">
      <c r="A5" s="34" t="s">
        <v>64</v>
      </c>
      <c r="B5" s="36"/>
      <c r="C5" s="4">
        <v>28.02</v>
      </c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ht="16" x14ac:dyDescent="0.2">
      <c r="A6" s="34" t="s">
        <v>64</v>
      </c>
      <c r="B6" s="36" t="s">
        <v>10</v>
      </c>
      <c r="C6" s="4">
        <v>27.95</v>
      </c>
      <c r="D6" s="37">
        <f>AVERAGE(C6:C7)</f>
        <v>28.009999999999998</v>
      </c>
      <c r="E6" s="37">
        <v>15.905719176330518</v>
      </c>
      <c r="F6" s="50">
        <f t="shared" ref="F6" si="1">D6-E6</f>
        <v>12.10428082366948</v>
      </c>
      <c r="G6" s="37"/>
      <c r="H6" s="37">
        <f t="shared" ref="H6" si="2">F6-$G$2</f>
        <v>0.54696487603511379</v>
      </c>
      <c r="I6" s="49">
        <f>2^-(H6)</f>
        <v>0.6844585702242828</v>
      </c>
      <c r="J6" s="37"/>
      <c r="K6" s="35">
        <f>I6/$J$2</f>
        <v>0.66716066260498097</v>
      </c>
      <c r="L6" s="37"/>
      <c r="M6" s="35"/>
    </row>
    <row r="7" spans="1:13" ht="16" x14ac:dyDescent="0.2">
      <c r="A7" s="34" t="s">
        <v>64</v>
      </c>
      <c r="B7" s="36"/>
      <c r="C7" s="4">
        <v>28.07</v>
      </c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ht="16" x14ac:dyDescent="0.2">
      <c r="A8" s="34" t="s">
        <v>64</v>
      </c>
      <c r="B8" s="36" t="s">
        <v>11</v>
      </c>
      <c r="C8" s="4">
        <v>27.48</v>
      </c>
      <c r="D8" s="37">
        <f>AVERAGE(C8:C9)</f>
        <v>27.58</v>
      </c>
      <c r="E8" s="37">
        <v>16.050441528766051</v>
      </c>
      <c r="F8" s="50">
        <f t="shared" ref="F8" si="3">D8-E8</f>
        <v>11.529558471233948</v>
      </c>
      <c r="G8" s="37"/>
      <c r="H8" s="37">
        <f t="shared" ref="H8:H48" si="4">F8-$G$2</f>
        <v>-2.7757476400418923E-2</v>
      </c>
      <c r="I8" s="49">
        <f>2^-(H8)</f>
        <v>1.0194262983949238</v>
      </c>
      <c r="J8" s="37"/>
      <c r="K8" s="35">
        <f>I8/$J$2</f>
        <v>0.99366295390419157</v>
      </c>
      <c r="L8" s="37"/>
      <c r="M8" s="35"/>
    </row>
    <row r="9" spans="1:13" ht="15" customHeight="1" x14ac:dyDescent="0.2">
      <c r="A9" s="34" t="s">
        <v>64</v>
      </c>
      <c r="B9" s="36"/>
      <c r="C9" s="4">
        <v>27.68</v>
      </c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4" t="s">
        <v>63</v>
      </c>
      <c r="B10" s="36" t="s">
        <v>13</v>
      </c>
      <c r="C10" s="4">
        <v>29.73</v>
      </c>
      <c r="D10" s="37">
        <f>AVERAGE(C10:C11)</f>
        <v>29.524999999999999</v>
      </c>
      <c r="E10" s="37">
        <v>17.143829345000096</v>
      </c>
      <c r="F10" s="50">
        <f t="shared" ref="F10" si="5">D10-E10</f>
        <v>12.381170654999902</v>
      </c>
      <c r="G10" s="8"/>
      <c r="H10" s="37">
        <f>F10-$G$2</f>
        <v>0.82385470736553579</v>
      </c>
      <c r="I10" s="49">
        <f>2^-(H10)</f>
        <v>0.56493049810748441</v>
      </c>
      <c r="J10" s="37"/>
      <c r="K10" s="35">
        <f>I10/$J$2</f>
        <v>0.55065335118771197</v>
      </c>
      <c r="L10" s="37">
        <f t="shared" ref="L10" si="6">AVERAGE(K10:K17)</f>
        <v>1.7445739602414374</v>
      </c>
      <c r="M10" s="35">
        <f>STDEV(K10:K17)/4</f>
        <v>0.23252607684464904</v>
      </c>
    </row>
    <row r="11" spans="1:13" ht="15" customHeight="1" x14ac:dyDescent="0.2">
      <c r="A11" s="34" t="s">
        <v>63</v>
      </c>
      <c r="B11" s="36"/>
      <c r="C11" s="4">
        <v>29.32</v>
      </c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4" t="s">
        <v>63</v>
      </c>
      <c r="B12" s="36" t="s">
        <v>14</v>
      </c>
      <c r="C12" s="4">
        <v>28.19</v>
      </c>
      <c r="D12" s="37">
        <f>AVERAGE(C12:C13)</f>
        <v>28.14</v>
      </c>
      <c r="E12" s="37">
        <v>17.978019717604003</v>
      </c>
      <c r="F12" s="50">
        <f t="shared" ref="F12" si="7">D12-E12</f>
        <v>10.161980282395998</v>
      </c>
      <c r="G12" s="8"/>
      <c r="H12" s="37">
        <f>F12-$G$2</f>
        <v>-1.3953356652383686</v>
      </c>
      <c r="I12" s="49">
        <f>2^-(H12)</f>
        <v>2.6304974750000079</v>
      </c>
      <c r="J12" s="37"/>
      <c r="K12" s="35">
        <f>I12/$J$2</f>
        <v>2.5640185027220408</v>
      </c>
      <c r="L12" s="37"/>
      <c r="M12" s="35"/>
    </row>
    <row r="13" spans="1:13" ht="15" customHeight="1" x14ac:dyDescent="0.2">
      <c r="A13" s="34" t="s">
        <v>63</v>
      </c>
      <c r="B13" s="36"/>
      <c r="C13" s="4">
        <v>28.09</v>
      </c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4" t="s">
        <v>63</v>
      </c>
      <c r="B14" s="36" t="s">
        <v>15</v>
      </c>
      <c r="C14" s="4">
        <v>28.34</v>
      </c>
      <c r="D14" s="37">
        <f>AVERAGE(C14:C15)</f>
        <v>28.939999999999998</v>
      </c>
      <c r="E14" s="37">
        <v>17.974532197115273</v>
      </c>
      <c r="F14" s="50">
        <f t="shared" ref="F14" si="8">D14-E14</f>
        <v>10.965467802884724</v>
      </c>
      <c r="G14" s="8"/>
      <c r="H14" s="37">
        <f t="shared" si="4"/>
        <v>-0.5918481447496422</v>
      </c>
      <c r="I14" s="49">
        <f>2^-(H14)</f>
        <v>1.5071762587920099</v>
      </c>
      <c r="J14" s="37"/>
      <c r="K14" s="35">
        <f>I14/$J$2</f>
        <v>1.4690863044474449</v>
      </c>
      <c r="L14" s="37"/>
      <c r="M14" s="35"/>
    </row>
    <row r="15" spans="1:13" ht="15" customHeight="1" x14ac:dyDescent="0.2">
      <c r="A15" s="34" t="s">
        <v>63</v>
      </c>
      <c r="B15" s="36"/>
      <c r="C15" s="4">
        <v>29.54</v>
      </c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4" t="s">
        <v>63</v>
      </c>
      <c r="B16" s="36" t="s">
        <v>16</v>
      </c>
      <c r="C16" s="4">
        <v>27.59</v>
      </c>
      <c r="D16" s="37">
        <f>AVERAGE(C16:C17)</f>
        <v>27.58</v>
      </c>
      <c r="E16" s="37">
        <v>17.319360183997457</v>
      </c>
      <c r="F16" s="50">
        <f t="shared" ref="F16" si="9">D16-E16</f>
        <v>10.260639816002541</v>
      </c>
      <c r="G16" s="8"/>
      <c r="H16" s="37">
        <f t="shared" si="4"/>
        <v>-1.2966761316318252</v>
      </c>
      <c r="I16" s="49">
        <f>2^-(H16)</f>
        <v>2.4566224156366818</v>
      </c>
      <c r="J16" s="37"/>
      <c r="K16" s="35">
        <f>I16/$J$2</f>
        <v>2.3945376826085529</v>
      </c>
      <c r="L16" s="37"/>
      <c r="M16" s="35"/>
    </row>
    <row r="17" spans="1:13" ht="15" customHeight="1" x14ac:dyDescent="0.2">
      <c r="A17" s="34" t="s">
        <v>63</v>
      </c>
      <c r="B17" s="36"/>
      <c r="C17" s="4">
        <v>27.57</v>
      </c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19" t="s">
        <v>53</v>
      </c>
      <c r="B18" s="36" t="s">
        <v>18</v>
      </c>
      <c r="C18" s="4">
        <v>30.02</v>
      </c>
      <c r="D18" s="37">
        <f>AVERAGE(C18:C19)</f>
        <v>29.574999999999999</v>
      </c>
      <c r="E18" s="37">
        <v>19.205252186246099</v>
      </c>
      <c r="F18" s="50">
        <f>D18-E18</f>
        <v>10.3697478137539</v>
      </c>
      <c r="G18" s="8"/>
      <c r="H18" s="37">
        <f t="shared" si="4"/>
        <v>-1.1875681338804664</v>
      </c>
      <c r="I18" s="49">
        <f>2^-(H18)</f>
        <v>2.2776848347558118</v>
      </c>
      <c r="J18" s="37"/>
      <c r="K18" s="35">
        <f>I18/$J$2</f>
        <v>2.2201222830230161</v>
      </c>
      <c r="L18" s="37">
        <f t="shared" ref="L18" si="10">AVERAGE(K18:K25)</f>
        <v>1.7375478197450278</v>
      </c>
      <c r="M18" s="35">
        <f t="shared" ref="M18" si="11">STDEV(K18:K25)/4</f>
        <v>0.11971403972594774</v>
      </c>
    </row>
    <row r="19" spans="1:13" ht="15" customHeight="1" x14ac:dyDescent="0.2">
      <c r="A19" s="19" t="s">
        <v>53</v>
      </c>
      <c r="B19" s="36"/>
      <c r="C19" s="4">
        <v>29.13</v>
      </c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19" t="s">
        <v>53</v>
      </c>
      <c r="B20" s="36" t="s">
        <v>19</v>
      </c>
      <c r="C20" s="4">
        <v>27.83</v>
      </c>
      <c r="D20" s="37">
        <f>AVERAGE(C20:C21)</f>
        <v>28.034999999999997</v>
      </c>
      <c r="E20" s="37">
        <v>17.51825332356341</v>
      </c>
      <c r="F20" s="50">
        <f t="shared" ref="F20" si="12">D20-E20</f>
        <v>10.516746676436586</v>
      </c>
      <c r="G20" s="8"/>
      <c r="H20" s="37">
        <f t="shared" si="4"/>
        <v>-1.0405692711977803</v>
      </c>
      <c r="I20" s="49">
        <f>2^-(H20)</f>
        <v>2.0570391776602839</v>
      </c>
      <c r="J20" s="37"/>
      <c r="K20" s="35">
        <f>I20/$J$2</f>
        <v>2.0050528702161494</v>
      </c>
      <c r="L20" s="37"/>
      <c r="M20" s="35"/>
    </row>
    <row r="21" spans="1:13" ht="15" customHeight="1" x14ac:dyDescent="0.2">
      <c r="A21" s="20" t="s">
        <v>53</v>
      </c>
      <c r="B21" s="36"/>
      <c r="C21" s="4">
        <v>28.24</v>
      </c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20" t="s">
        <v>53</v>
      </c>
      <c r="B22" s="36" t="s">
        <v>20</v>
      </c>
      <c r="C22" s="4">
        <v>27.45</v>
      </c>
      <c r="D22" s="37">
        <f>AVERAGE(C22:C23)</f>
        <v>28.785</v>
      </c>
      <c r="E22" s="37">
        <v>17.449205574599276</v>
      </c>
      <c r="F22" s="50">
        <f t="shared" ref="F22" si="13">D22-E22</f>
        <v>11.335794425400724</v>
      </c>
      <c r="G22" s="8"/>
      <c r="H22" s="37">
        <f t="shared" si="4"/>
        <v>-0.22152152223364219</v>
      </c>
      <c r="I22" s="49">
        <f>2^-(H22)</f>
        <v>1.1659626077273271</v>
      </c>
      <c r="J22" s="37"/>
      <c r="K22" s="35">
        <f>I22/$J$2</f>
        <v>1.1364959396871874</v>
      </c>
      <c r="L22" s="37"/>
      <c r="M22" s="35"/>
    </row>
    <row r="23" spans="1:13" ht="15" customHeight="1" x14ac:dyDescent="0.2">
      <c r="A23" s="20" t="s">
        <v>53</v>
      </c>
      <c r="B23" s="36"/>
      <c r="C23" s="4">
        <v>30.12</v>
      </c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20" t="s">
        <v>53</v>
      </c>
      <c r="B24" s="36" t="s">
        <v>21</v>
      </c>
      <c r="C24" s="4">
        <v>27.67</v>
      </c>
      <c r="D24" s="37">
        <f>AVERAGE(C24:C25)</f>
        <v>27.745000000000001</v>
      </c>
      <c r="E24" s="37">
        <v>16.892296467846915</v>
      </c>
      <c r="F24" s="50">
        <f t="shared" ref="F24" si="14">D24-E24</f>
        <v>10.852703532153086</v>
      </c>
      <c r="G24" s="8"/>
      <c r="H24" s="37">
        <f t="shared" si="4"/>
        <v>-0.70461241548128051</v>
      </c>
      <c r="I24" s="49">
        <f>2^-(H24)</f>
        <v>1.6297067801830698</v>
      </c>
      <c r="J24" s="37"/>
      <c r="K24" s="35">
        <f>I24/$J$2</f>
        <v>1.5885201860537579</v>
      </c>
      <c r="L24" s="37"/>
      <c r="M24" s="35"/>
    </row>
    <row r="25" spans="1:13" ht="15" customHeight="1" x14ac:dyDescent="0.2">
      <c r="A25" s="20" t="s">
        <v>53</v>
      </c>
      <c r="B25" s="36"/>
      <c r="C25" s="4">
        <v>27.82</v>
      </c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19" t="s">
        <v>54</v>
      </c>
      <c r="B26" s="36" t="s">
        <v>23</v>
      </c>
      <c r="C26" s="4">
        <v>29.16</v>
      </c>
      <c r="D26" s="37">
        <f>AVERAGE(C26:C27)</f>
        <v>28.994999999999997</v>
      </c>
      <c r="E26" s="37">
        <v>17.460951826505497</v>
      </c>
      <c r="F26" s="50">
        <f t="shared" ref="F26" si="15">D26-E26</f>
        <v>11.534048173494501</v>
      </c>
      <c r="G26" s="8"/>
      <c r="H26" s="37">
        <f t="shared" si="4"/>
        <v>-2.3267774139865693E-2</v>
      </c>
      <c r="I26" s="49">
        <f>2^-(H26)</f>
        <v>1.01625875011589</v>
      </c>
      <c r="J26" s="37"/>
      <c r="K26" s="35">
        <f>I26/$J$2</f>
        <v>0.99057545715770334</v>
      </c>
      <c r="L26" s="37">
        <f t="shared" ref="L26" si="16">AVERAGE(K26:K33)</f>
        <v>1.6611535768713559</v>
      </c>
      <c r="M26" s="35">
        <f t="shared" ref="M26" si="17">STDEV(K26:K33)/4</f>
        <v>0.11701429350316089</v>
      </c>
    </row>
    <row r="27" spans="1:13" ht="15" customHeight="1" x14ac:dyDescent="0.2">
      <c r="A27" s="19" t="s">
        <v>54</v>
      </c>
      <c r="B27" s="36"/>
      <c r="C27" s="4">
        <v>28.83</v>
      </c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19" t="s">
        <v>54</v>
      </c>
      <c r="B28" s="36" t="s">
        <v>24</v>
      </c>
      <c r="C28" s="4">
        <v>28.69</v>
      </c>
      <c r="D28" s="37">
        <f>AVERAGE(C28:C29)</f>
        <v>28.380000000000003</v>
      </c>
      <c r="E28" s="37">
        <v>17.810378746674107</v>
      </c>
      <c r="F28" s="50">
        <f t="shared" ref="F28" si="18">D28-E28</f>
        <v>10.569621253325895</v>
      </c>
      <c r="G28" s="8"/>
      <c r="H28" s="37">
        <f t="shared" si="4"/>
        <v>-0.98769469430847145</v>
      </c>
      <c r="I28" s="49">
        <f>2^-(H28)</f>
        <v>1.9830137681680502</v>
      </c>
      <c r="J28" s="37"/>
      <c r="K28" s="35">
        <f>I28/$J$2</f>
        <v>1.9328982601419991</v>
      </c>
      <c r="L28" s="37"/>
      <c r="M28" s="35"/>
    </row>
    <row r="29" spans="1:13" ht="15" customHeight="1" x14ac:dyDescent="0.2">
      <c r="A29" s="19" t="s">
        <v>54</v>
      </c>
      <c r="B29" s="36"/>
      <c r="C29" s="4">
        <v>28.07</v>
      </c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19" t="s">
        <v>54</v>
      </c>
      <c r="B30" s="36" t="s">
        <v>25</v>
      </c>
      <c r="C30" s="4">
        <v>28.24</v>
      </c>
      <c r="D30" s="37">
        <f>AVERAGE(C30:C31)</f>
        <v>28.395</v>
      </c>
      <c r="E30" s="37">
        <v>17.636734292930214</v>
      </c>
      <c r="F30" s="50">
        <f>D30-E30</f>
        <v>10.758265707069786</v>
      </c>
      <c r="G30" s="8"/>
      <c r="H30" s="37">
        <f t="shared" si="4"/>
        <v>-0.79905024056458096</v>
      </c>
      <c r="I30" s="49">
        <f>2^-(H30)</f>
        <v>1.7399552967494241</v>
      </c>
      <c r="J30" s="37"/>
      <c r="K30" s="35">
        <f>I30/$J$2</f>
        <v>1.6959824585175585</v>
      </c>
      <c r="L30" s="37"/>
      <c r="M30" s="35"/>
    </row>
    <row r="31" spans="1:13" ht="15" customHeight="1" x14ac:dyDescent="0.2">
      <c r="A31" s="19" t="s">
        <v>54</v>
      </c>
      <c r="B31" s="36"/>
      <c r="C31" s="4">
        <v>28.55</v>
      </c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19" t="s">
        <v>54</v>
      </c>
      <c r="B32" s="36" t="s">
        <v>26</v>
      </c>
      <c r="C32" s="4">
        <v>28.94</v>
      </c>
      <c r="D32" s="37">
        <f>AVERAGE(C32:C33)</f>
        <v>28.9</v>
      </c>
      <c r="E32" s="37">
        <v>18.397647607932122</v>
      </c>
      <c r="F32" s="50">
        <f t="shared" ref="F32" si="19">D32-E32</f>
        <v>10.502352392067877</v>
      </c>
      <c r="G32" s="8"/>
      <c r="H32" s="37">
        <f t="shared" si="4"/>
        <v>-1.0549635555664896</v>
      </c>
      <c r="I32" s="49">
        <f>2^-(H32)</f>
        <v>2.0776657212782763</v>
      </c>
      <c r="J32" s="37"/>
      <c r="K32" s="35">
        <f>I32/$J$2</f>
        <v>2.0251581316681628</v>
      </c>
      <c r="L32" s="37"/>
      <c r="M32" s="35"/>
    </row>
    <row r="33" spans="1:13" ht="15" customHeight="1" x14ac:dyDescent="0.2">
      <c r="A33" s="19" t="s">
        <v>54</v>
      </c>
      <c r="B33" s="36"/>
      <c r="C33" s="4">
        <v>28.86</v>
      </c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19" t="s">
        <v>55</v>
      </c>
      <c r="B34" s="36" t="s">
        <v>28</v>
      </c>
      <c r="C34" s="4">
        <v>27.44</v>
      </c>
      <c r="D34" s="37">
        <f>AVERAGE(C34:C35)</f>
        <v>28.024999999999999</v>
      </c>
      <c r="E34" s="37">
        <v>16.509506697394801</v>
      </c>
      <c r="F34" s="50">
        <f t="shared" ref="F34" si="20">D34-E34</f>
        <v>11.515493302605197</v>
      </c>
      <c r="G34" s="8"/>
      <c r="H34" s="37">
        <f t="shared" si="4"/>
        <v>-4.1822645029169436E-2</v>
      </c>
      <c r="I34" s="49">
        <f>2^-(H34)</f>
        <v>1.0294135266612037</v>
      </c>
      <c r="J34" s="37"/>
      <c r="K34" s="35">
        <f>I34/$J$2</f>
        <v>1.0033977809888099</v>
      </c>
      <c r="L34" s="37">
        <f t="shared" ref="L34" si="21">AVERAGE(K34:K41)</f>
        <v>2.5902328664302159</v>
      </c>
      <c r="M34" s="35">
        <f t="shared" ref="M34" si="22">STDEV(K34:K41)/4</f>
        <v>0.47134903242627729</v>
      </c>
    </row>
    <row r="35" spans="1:13" ht="15" customHeight="1" x14ac:dyDescent="0.2">
      <c r="A35" s="19" t="s">
        <v>55</v>
      </c>
      <c r="B35" s="36"/>
      <c r="C35" s="4">
        <v>28.61</v>
      </c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19" t="s">
        <v>55</v>
      </c>
      <c r="B36" s="36" t="s">
        <v>29</v>
      </c>
      <c r="C36" s="4">
        <v>28.36</v>
      </c>
      <c r="D36" s="37">
        <f>AVERAGE(C36:C37)</f>
        <v>28.574999999999999</v>
      </c>
      <c r="E36" s="37">
        <v>18.343164352268499</v>
      </c>
      <c r="F36" s="50">
        <f t="shared" ref="F36" si="23">D36-E36</f>
        <v>10.231835647731501</v>
      </c>
      <c r="G36" s="8"/>
      <c r="H36" s="37">
        <f t="shared" si="4"/>
        <v>-1.3254802999028659</v>
      </c>
      <c r="I36" s="49">
        <f>2^-(H36)</f>
        <v>2.5061630864930882</v>
      </c>
      <c r="J36" s="37"/>
      <c r="K36" s="35">
        <f>I36/$J$2</f>
        <v>2.4428263420428631</v>
      </c>
      <c r="L36" s="37"/>
      <c r="M36" s="35"/>
    </row>
    <row r="37" spans="1:13" ht="15" customHeight="1" x14ac:dyDescent="0.2">
      <c r="A37" s="19" t="s">
        <v>55</v>
      </c>
      <c r="B37" s="36"/>
      <c r="C37" s="4">
        <v>28.79</v>
      </c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19" t="s">
        <v>55</v>
      </c>
      <c r="B38" s="36" t="s">
        <v>30</v>
      </c>
      <c r="C38" s="4">
        <v>28.33</v>
      </c>
      <c r="D38" s="37">
        <f>AVERAGE(C38:C39)</f>
        <v>28.314999999999998</v>
      </c>
      <c r="E38" s="37">
        <v>17.5064892334095</v>
      </c>
      <c r="F38" s="50">
        <f t="shared" ref="F38" si="24">D38-E38</f>
        <v>10.808510766590498</v>
      </c>
      <c r="G38" s="8"/>
      <c r="H38" s="37">
        <f t="shared" si="4"/>
        <v>-0.74880518104386873</v>
      </c>
      <c r="I38" s="49">
        <f>2^-(H38)</f>
        <v>1.6804005708591105</v>
      </c>
      <c r="J38" s="37"/>
      <c r="K38" s="35">
        <f>I38/$J$2</f>
        <v>1.6379328232076811</v>
      </c>
      <c r="L38" s="37"/>
      <c r="M38" s="35"/>
    </row>
    <row r="39" spans="1:13" ht="15" customHeight="1" x14ac:dyDescent="0.2">
      <c r="A39" s="19" t="s">
        <v>55</v>
      </c>
      <c r="B39" s="36"/>
      <c r="C39" s="4">
        <v>28.3</v>
      </c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19" t="s">
        <v>55</v>
      </c>
      <c r="B40" s="36" t="s">
        <v>31</v>
      </c>
      <c r="C40" s="4">
        <v>27.83</v>
      </c>
      <c r="D40" s="37">
        <f>AVERAGE(C40:C41)</f>
        <v>27.83</v>
      </c>
      <c r="E40" s="37">
        <v>18.709269382103098</v>
      </c>
      <c r="F40" s="50">
        <f t="shared" ref="F40" si="25">D40-E40</f>
        <v>9.1207306178968999</v>
      </c>
      <c r="G40" s="8"/>
      <c r="H40" s="37">
        <f t="shared" si="4"/>
        <v>-2.4365853297374667</v>
      </c>
      <c r="I40" s="49">
        <f>2^-(H40)</f>
        <v>5.4135888781241164</v>
      </c>
      <c r="J40" s="37"/>
      <c r="K40" s="35">
        <f>I40/$J$2</f>
        <v>5.2767745194815099</v>
      </c>
      <c r="L40" s="37"/>
      <c r="M40" s="35"/>
    </row>
    <row r="41" spans="1:13" ht="15" customHeight="1" x14ac:dyDescent="0.2">
      <c r="A41" s="19" t="s">
        <v>55</v>
      </c>
      <c r="B41" s="36"/>
      <c r="C41" s="4"/>
      <c r="D41" s="37"/>
      <c r="E41" s="37"/>
      <c r="F41" s="50"/>
      <c r="G41" s="8"/>
      <c r="H41" s="37"/>
      <c r="I41" s="49"/>
      <c r="J41" s="37"/>
      <c r="K41" s="35"/>
      <c r="L41" s="37"/>
      <c r="M41" s="35"/>
    </row>
    <row r="42" spans="1:13" s="29" customFormat="1" ht="16" x14ac:dyDescent="0.2">
      <c r="A42" s="33" t="s">
        <v>56</v>
      </c>
      <c r="B42" s="36" t="s">
        <v>57</v>
      </c>
      <c r="C42" s="4">
        <v>37.569269736072599</v>
      </c>
      <c r="D42" s="37">
        <f>AVERAGE(C42:C43)</f>
        <v>36.794316434960152</v>
      </c>
      <c r="E42" s="37">
        <v>17.216022097920501</v>
      </c>
      <c r="F42" s="50">
        <f>D42-E42</f>
        <v>19.578294337039651</v>
      </c>
      <c r="H42" s="37">
        <f>F42-$G$2</f>
        <v>8.0209783894052844</v>
      </c>
      <c r="I42" s="49">
        <f>2^-(H42)</f>
        <v>3.8498597652796519E-3</v>
      </c>
      <c r="K42" s="35">
        <f>I42/$J$2</f>
        <v>3.7525645870700301E-3</v>
      </c>
      <c r="L42" s="37">
        <f t="shared" ref="L42" si="26">AVERAGE(K42:K49)</f>
        <v>0.40092941754555239</v>
      </c>
      <c r="M42" s="35">
        <f t="shared" ref="M42" si="27">STDEV(K42:K49)/4</f>
        <v>0.11242349277474269</v>
      </c>
    </row>
    <row r="43" spans="1:13" ht="16" x14ac:dyDescent="0.2">
      <c r="A43" s="32" t="s">
        <v>56</v>
      </c>
      <c r="B43" s="36"/>
      <c r="C43" s="4">
        <v>36.019363133847698</v>
      </c>
      <c r="D43" s="37"/>
      <c r="E43" s="37"/>
      <c r="F43" s="50"/>
      <c r="H43" s="37"/>
      <c r="I43" s="49"/>
      <c r="K43" s="35"/>
      <c r="L43" s="37"/>
      <c r="M43" s="35"/>
    </row>
    <row r="44" spans="1:13" ht="16" x14ac:dyDescent="0.2">
      <c r="A44" s="32" t="s">
        <v>56</v>
      </c>
      <c r="B44" s="36" t="s">
        <v>58</v>
      </c>
      <c r="C44" s="4">
        <v>33.753259138165802</v>
      </c>
      <c r="D44" s="37">
        <f>AVERAGE(C44:C45)</f>
        <v>32.069299477659797</v>
      </c>
      <c r="E44" s="37">
        <v>18.742090881478987</v>
      </c>
      <c r="F44" s="50">
        <f t="shared" ref="F44" si="28">D44-E44</f>
        <v>13.32720859618081</v>
      </c>
      <c r="H44" s="37">
        <f t="shared" si="4"/>
        <v>1.7698926485464437</v>
      </c>
      <c r="I44" s="49">
        <f>2^-(H44)</f>
        <v>0.29323055588664837</v>
      </c>
      <c r="K44" s="35">
        <f>I44/$J$2</f>
        <v>0.28581991733591522</v>
      </c>
      <c r="L44" s="37"/>
      <c r="M44" s="35"/>
    </row>
    <row r="45" spans="1:13" ht="16" x14ac:dyDescent="0.2">
      <c r="A45" s="32" t="s">
        <v>56</v>
      </c>
      <c r="B45" s="36"/>
      <c r="C45" s="4">
        <v>30.385339817153799</v>
      </c>
      <c r="D45" s="37"/>
      <c r="E45" s="37"/>
      <c r="F45" s="50"/>
      <c r="H45" s="37"/>
      <c r="I45" s="49"/>
      <c r="K45" s="35"/>
      <c r="L45" s="37"/>
      <c r="M45" s="35"/>
    </row>
    <row r="46" spans="1:13" ht="16" x14ac:dyDescent="0.2">
      <c r="A46" s="32" t="s">
        <v>56</v>
      </c>
      <c r="B46" s="36" t="s">
        <v>59</v>
      </c>
      <c r="C46" s="4">
        <v>30.914873066160101</v>
      </c>
      <c r="D46" s="37">
        <f>AVERAGE(C46:C47)</f>
        <v>31.89047927387125</v>
      </c>
      <c r="E46" s="37">
        <v>18.464510655682574</v>
      </c>
      <c r="F46" s="50">
        <f t="shared" ref="F46" si="29">D46-E46</f>
        <v>13.425968618188676</v>
      </c>
      <c r="H46" s="37">
        <f t="shared" si="4"/>
        <v>1.8686526705543098</v>
      </c>
      <c r="I46" s="49">
        <f>2^-(H46)</f>
        <v>0.27382903422000116</v>
      </c>
      <c r="K46" s="35">
        <f>I46/$J$2</f>
        <v>0.26690871859612325</v>
      </c>
      <c r="L46" s="37"/>
      <c r="M46" s="35"/>
    </row>
    <row r="47" spans="1:13" ht="16" x14ac:dyDescent="0.2">
      <c r="A47" s="32" t="s">
        <v>56</v>
      </c>
      <c r="B47" s="36"/>
      <c r="C47" s="4">
        <v>32.866085481582402</v>
      </c>
      <c r="D47" s="37"/>
      <c r="E47" s="37"/>
      <c r="F47" s="50"/>
      <c r="H47" s="37"/>
      <c r="I47" s="49"/>
      <c r="K47" s="35"/>
      <c r="L47" s="37"/>
      <c r="M47" s="35"/>
    </row>
    <row r="48" spans="1:13" ht="16" x14ac:dyDescent="0.2">
      <c r="A48" s="32" t="s">
        <v>56</v>
      </c>
      <c r="B48" s="36" t="s">
        <v>60</v>
      </c>
      <c r="C48" s="4">
        <v>29.877314245072899</v>
      </c>
      <c r="D48" s="37">
        <f>AVERAGE(C48:C49)</f>
        <v>30.327775718068651</v>
      </c>
      <c r="E48" s="37">
        <v>18.873976007408302</v>
      </c>
      <c r="F48" s="50">
        <f t="shared" ref="F48" si="30">D48-E48</f>
        <v>11.453799710660348</v>
      </c>
      <c r="H48" s="37">
        <f t="shared" si="4"/>
        <v>-0.10351623697401813</v>
      </c>
      <c r="I48" s="49">
        <f>2^-(H48)</f>
        <v>1.0743888494767802</v>
      </c>
      <c r="K48" s="35">
        <f>I48/$J$2</f>
        <v>1.0472364696631011</v>
      </c>
      <c r="L48" s="37"/>
      <c r="M48" s="35"/>
    </row>
    <row r="49" spans="1:13" ht="16" x14ac:dyDescent="0.2">
      <c r="A49" s="32" t="s">
        <v>56</v>
      </c>
      <c r="B49" s="36"/>
      <c r="C49" s="4">
        <v>30.778237191064399</v>
      </c>
      <c r="D49" s="37"/>
      <c r="E49" s="37"/>
      <c r="F49" s="50"/>
      <c r="H49" s="37"/>
      <c r="I49" s="49"/>
      <c r="K49" s="35"/>
      <c r="L49" s="37"/>
      <c r="M49" s="35"/>
    </row>
    <row r="50" spans="1:13" x14ac:dyDescent="0.2">
      <c r="A50" s="32"/>
      <c r="D50" s="25"/>
    </row>
    <row r="1048576" spans="1:1" x14ac:dyDescent="0.2">
      <c r="A1048576" s="32"/>
    </row>
  </sheetData>
  <mergeCells count="186">
    <mergeCell ref="K42:K43"/>
    <mergeCell ref="K44:K45"/>
    <mergeCell ref="K46:K47"/>
    <mergeCell ref="K48:K49"/>
    <mergeCell ref="L42:L49"/>
    <mergeCell ref="M42:M49"/>
    <mergeCell ref="F42:F43"/>
    <mergeCell ref="F44:F45"/>
    <mergeCell ref="F46:F47"/>
    <mergeCell ref="F48:F49"/>
    <mergeCell ref="H42:H43"/>
    <mergeCell ref="H44:H45"/>
    <mergeCell ref="H46:H47"/>
    <mergeCell ref="H48:H49"/>
    <mergeCell ref="I42:I43"/>
    <mergeCell ref="I44:I45"/>
    <mergeCell ref="I46:I47"/>
    <mergeCell ref="I48:I49"/>
    <mergeCell ref="B42:B43"/>
    <mergeCell ref="B44:B45"/>
    <mergeCell ref="B46:B47"/>
    <mergeCell ref="B48:B49"/>
    <mergeCell ref="D42:D43"/>
    <mergeCell ref="D44:D45"/>
    <mergeCell ref="D46:D47"/>
    <mergeCell ref="D48:D49"/>
    <mergeCell ref="E42:E43"/>
    <mergeCell ref="E44:E45"/>
    <mergeCell ref="E46:E47"/>
    <mergeCell ref="E48:E49"/>
    <mergeCell ref="L2:L9"/>
    <mergeCell ref="M2:M9"/>
    <mergeCell ref="H4:H5"/>
    <mergeCell ref="I4:I5"/>
    <mergeCell ref="K4:K5"/>
    <mergeCell ref="K6:K7"/>
    <mergeCell ref="B2:B3"/>
    <mergeCell ref="D2:D3"/>
    <mergeCell ref="E2:E3"/>
    <mergeCell ref="F2:F3"/>
    <mergeCell ref="G2:G9"/>
    <mergeCell ref="B4:B5"/>
    <mergeCell ref="D4:D5"/>
    <mergeCell ref="E4:E5"/>
    <mergeCell ref="F4:F5"/>
    <mergeCell ref="B6:B7"/>
    <mergeCell ref="D6:D7"/>
    <mergeCell ref="E6:E7"/>
    <mergeCell ref="F6:F7"/>
    <mergeCell ref="H6:H7"/>
    <mergeCell ref="I6:I7"/>
    <mergeCell ref="H2:H3"/>
    <mergeCell ref="I2:I3"/>
    <mergeCell ref="J2:J9"/>
    <mergeCell ref="D14:D15"/>
    <mergeCell ref="E14:E15"/>
    <mergeCell ref="F14:F15"/>
    <mergeCell ref="H14:H15"/>
    <mergeCell ref="I14:I15"/>
    <mergeCell ref="K14:K15"/>
    <mergeCell ref="K16:K17"/>
    <mergeCell ref="B16:B17"/>
    <mergeCell ref="D16:D17"/>
    <mergeCell ref="K2:K3"/>
    <mergeCell ref="B12:B13"/>
    <mergeCell ref="D12:D13"/>
    <mergeCell ref="E12:E13"/>
    <mergeCell ref="F12:F13"/>
    <mergeCell ref="H12:H13"/>
    <mergeCell ref="I12:I13"/>
    <mergeCell ref="K12:K13"/>
    <mergeCell ref="B14:B15"/>
    <mergeCell ref="K8:K9"/>
    <mergeCell ref="B10:B11"/>
    <mergeCell ref="D10:D11"/>
    <mergeCell ref="E10:E11"/>
    <mergeCell ref="F10:F11"/>
    <mergeCell ref="H10:H11"/>
    <mergeCell ref="I10:I11"/>
    <mergeCell ref="J10:J17"/>
    <mergeCell ref="K10:K11"/>
    <mergeCell ref="B8:B9"/>
    <mergeCell ref="D8:D9"/>
    <mergeCell ref="E8:E9"/>
    <mergeCell ref="F8:F9"/>
    <mergeCell ref="H8:H9"/>
    <mergeCell ref="I8:I9"/>
    <mergeCell ref="F18:F19"/>
    <mergeCell ref="H18:H19"/>
    <mergeCell ref="E16:E17"/>
    <mergeCell ref="F16:F17"/>
    <mergeCell ref="H16:H17"/>
    <mergeCell ref="I16:I17"/>
    <mergeCell ref="K18:K19"/>
    <mergeCell ref="D22:D23"/>
    <mergeCell ref="E22:E23"/>
    <mergeCell ref="F22:F23"/>
    <mergeCell ref="H22:H23"/>
    <mergeCell ref="I22:I23"/>
    <mergeCell ref="K22:K23"/>
    <mergeCell ref="I18:I19"/>
    <mergeCell ref="J18:J25"/>
    <mergeCell ref="K32:K33"/>
    <mergeCell ref="B32:B33"/>
    <mergeCell ref="L10:L17"/>
    <mergeCell ref="M10:M17"/>
    <mergeCell ref="L18:L25"/>
    <mergeCell ref="M18:M25"/>
    <mergeCell ref="B20:B21"/>
    <mergeCell ref="D20:D21"/>
    <mergeCell ref="E20:E21"/>
    <mergeCell ref="F20:F21"/>
    <mergeCell ref="H20:H21"/>
    <mergeCell ref="I20:I21"/>
    <mergeCell ref="K20:K21"/>
    <mergeCell ref="B22:B23"/>
    <mergeCell ref="K24:K25"/>
    <mergeCell ref="B24:B25"/>
    <mergeCell ref="D24:D25"/>
    <mergeCell ref="E24:E25"/>
    <mergeCell ref="F24:F25"/>
    <mergeCell ref="H24:H25"/>
    <mergeCell ref="I24:I25"/>
    <mergeCell ref="B18:B19"/>
    <mergeCell ref="D18:D19"/>
    <mergeCell ref="E18:E19"/>
    <mergeCell ref="F30:F31"/>
    <mergeCell ref="H30:H31"/>
    <mergeCell ref="I30:I31"/>
    <mergeCell ref="K30:K31"/>
    <mergeCell ref="B28:B29"/>
    <mergeCell ref="D28:D29"/>
    <mergeCell ref="E28:E29"/>
    <mergeCell ref="F28:F29"/>
    <mergeCell ref="H28:H29"/>
    <mergeCell ref="I28:I29"/>
    <mergeCell ref="K28:K29"/>
    <mergeCell ref="B30:B31"/>
    <mergeCell ref="M26:M33"/>
    <mergeCell ref="M34:M41"/>
    <mergeCell ref="B36:B37"/>
    <mergeCell ref="D36:D37"/>
    <mergeCell ref="E36:E37"/>
    <mergeCell ref="F36:F37"/>
    <mergeCell ref="H36:H37"/>
    <mergeCell ref="I36:I37"/>
    <mergeCell ref="K36:K37"/>
    <mergeCell ref="B38:B39"/>
    <mergeCell ref="K40:K41"/>
    <mergeCell ref="B40:B41"/>
    <mergeCell ref="D40:D41"/>
    <mergeCell ref="E40:E41"/>
    <mergeCell ref="F40:F41"/>
    <mergeCell ref="H40:H41"/>
    <mergeCell ref="I40:I41"/>
    <mergeCell ref="D38:D39"/>
    <mergeCell ref="E38:E39"/>
    <mergeCell ref="F38:F39"/>
    <mergeCell ref="D32:D33"/>
    <mergeCell ref="E32:E33"/>
    <mergeCell ref="F32:F33"/>
    <mergeCell ref="H32:H33"/>
    <mergeCell ref="H38:H39"/>
    <mergeCell ref="I38:I39"/>
    <mergeCell ref="K38:K39"/>
    <mergeCell ref="B34:B35"/>
    <mergeCell ref="D34:D35"/>
    <mergeCell ref="J34:J41"/>
    <mergeCell ref="K34:K35"/>
    <mergeCell ref="L34:L41"/>
    <mergeCell ref="L26:L33"/>
    <mergeCell ref="I32:I33"/>
    <mergeCell ref="E34:E35"/>
    <mergeCell ref="F34:F35"/>
    <mergeCell ref="H34:H35"/>
    <mergeCell ref="I34:I35"/>
    <mergeCell ref="B26:B27"/>
    <mergeCell ref="D26:D27"/>
    <mergeCell ref="E26:E27"/>
    <mergeCell ref="F26:F27"/>
    <mergeCell ref="H26:H27"/>
    <mergeCell ref="I26:I27"/>
    <mergeCell ref="J26:J33"/>
    <mergeCell ref="K26:K27"/>
    <mergeCell ref="D30:D31"/>
    <mergeCell ref="E30:E31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E417-79BE-4817-8487-DADB30CB01E9}">
  <dimension ref="A1:M49"/>
  <sheetViews>
    <sheetView topLeftCell="J9" workbookViewId="0">
      <selection activeCell="A42" sqref="A42:A49"/>
    </sheetView>
  </sheetViews>
  <sheetFormatPr baseColWidth="10" defaultColWidth="8.83203125" defaultRowHeight="15" x14ac:dyDescent="0.2"/>
  <cols>
    <col min="1" max="1" width="16.1640625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3" max="13" width="13.6640625" customWidth="1"/>
  </cols>
  <sheetData>
    <row r="1" spans="1:13" ht="16" x14ac:dyDescent="0.2">
      <c r="A1" s="2" t="s">
        <v>51</v>
      </c>
      <c r="B1" s="6" t="s">
        <v>2</v>
      </c>
      <c r="C1" s="3" t="s">
        <v>40</v>
      </c>
      <c r="D1" s="2" t="s">
        <v>4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 ht="16" x14ac:dyDescent="0.2">
      <c r="A2" s="34" t="s">
        <v>64</v>
      </c>
      <c r="B2" s="39">
        <v>1</v>
      </c>
      <c r="C2" s="4">
        <v>25.48</v>
      </c>
      <c r="D2" s="37">
        <f>AVERAGE(C2:C3)</f>
        <v>25.47</v>
      </c>
      <c r="E2" s="37">
        <v>17.190287859484446</v>
      </c>
      <c r="F2" s="50">
        <f>D2-E2</f>
        <v>8.2797121405155529</v>
      </c>
      <c r="G2" s="37">
        <f>AVERAGE(F2:F9)</f>
        <v>9.1410659476343668</v>
      </c>
      <c r="H2" s="37">
        <f>F2-$G$2</f>
        <v>-0.86135380711881382</v>
      </c>
      <c r="I2" s="49">
        <f>2^-(H2)</f>
        <v>1.8167423194410415</v>
      </c>
      <c r="J2" s="37">
        <f>AVERAGE(I2:I9)</f>
        <v>1.2163717310420692</v>
      </c>
      <c r="K2" s="35">
        <f>I2/$J$2</f>
        <v>1.4935749270370111</v>
      </c>
      <c r="L2" s="37">
        <f>AVERAGE(K2:K9)</f>
        <v>1</v>
      </c>
      <c r="M2" s="35">
        <f>STDEV(K2:K9)/4</f>
        <v>0.16432977239821508</v>
      </c>
    </row>
    <row r="3" spans="1:13" ht="16" x14ac:dyDescent="0.2">
      <c r="A3" s="34" t="s">
        <v>64</v>
      </c>
      <c r="B3" s="39"/>
      <c r="C3" s="4">
        <v>25.46</v>
      </c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ht="16" x14ac:dyDescent="0.2">
      <c r="A4" s="34" t="s">
        <v>64</v>
      </c>
      <c r="B4" s="36" t="s">
        <v>9</v>
      </c>
      <c r="C4" s="4">
        <v>24.98</v>
      </c>
      <c r="D4" s="37">
        <f>AVERAGE(C4:C5)</f>
        <v>25.310000000000002</v>
      </c>
      <c r="E4" s="37">
        <v>17.164287644881519</v>
      </c>
      <c r="F4" s="50">
        <f t="shared" ref="F4" si="0">D4-E4</f>
        <v>8.1457123551184836</v>
      </c>
      <c r="G4" s="37"/>
      <c r="H4" s="37">
        <f t="shared" ref="H4" si="1">F4-$G$2</f>
        <v>-0.99535359251588318</v>
      </c>
      <c r="I4" s="49">
        <f>2^-(H4)</f>
        <v>1.993569072928201</v>
      </c>
      <c r="J4" s="37"/>
      <c r="K4" s="35">
        <f>I4/$J$2</f>
        <v>1.6389472248095609</v>
      </c>
      <c r="L4" s="37"/>
      <c r="M4" s="35"/>
    </row>
    <row r="5" spans="1:13" ht="16" x14ac:dyDescent="0.2">
      <c r="A5" s="34" t="s">
        <v>64</v>
      </c>
      <c r="B5" s="36"/>
      <c r="C5" s="4">
        <v>25.64</v>
      </c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ht="16" x14ac:dyDescent="0.2">
      <c r="A6" s="34" t="s">
        <v>64</v>
      </c>
      <c r="B6" s="36" t="s">
        <v>10</v>
      </c>
      <c r="C6" s="4">
        <v>25.29</v>
      </c>
      <c r="D6" s="37">
        <f>AVERAGE(C6:C7)</f>
        <v>26.105</v>
      </c>
      <c r="E6" s="37">
        <v>15.905719176330518</v>
      </c>
      <c r="F6" s="50">
        <f t="shared" ref="F6" si="2">D6-E6</f>
        <v>10.199280823669483</v>
      </c>
      <c r="G6" s="37"/>
      <c r="H6" s="37">
        <f t="shared" ref="H6" si="3">F6-$G$2</f>
        <v>1.058214876035116</v>
      </c>
      <c r="I6" s="49">
        <f>2^-(H6)</f>
        <v>0.48022590145944472</v>
      </c>
      <c r="J6" s="37"/>
      <c r="K6" s="35">
        <f>I6/$J$2</f>
        <v>0.3948019254344507</v>
      </c>
      <c r="L6" s="37"/>
      <c r="M6" s="35"/>
    </row>
    <row r="7" spans="1:13" ht="16" x14ac:dyDescent="0.2">
      <c r="A7" s="34" t="s">
        <v>64</v>
      </c>
      <c r="B7" s="36"/>
      <c r="C7" s="4">
        <v>26.92</v>
      </c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ht="16" x14ac:dyDescent="0.2">
      <c r="A8" s="34" t="s">
        <v>64</v>
      </c>
      <c r="B8" s="36" t="s">
        <v>11</v>
      </c>
      <c r="C8" s="4">
        <v>24.92</v>
      </c>
      <c r="D8" s="37">
        <f>AVERAGE(C8:C9)</f>
        <v>25.990000000000002</v>
      </c>
      <c r="E8" s="37">
        <v>16.050441528766051</v>
      </c>
      <c r="F8" s="50">
        <f t="shared" ref="F8" si="4">D8-E8</f>
        <v>9.9395584712339513</v>
      </c>
      <c r="G8" s="37"/>
      <c r="H8" s="37">
        <f t="shared" ref="H8:H40" si="5">F8-$G$2</f>
        <v>0.79849252359958456</v>
      </c>
      <c r="I8" s="49">
        <f>2^-(H8)</f>
        <v>0.57494963033959001</v>
      </c>
      <c r="J8" s="37"/>
      <c r="K8" s="35">
        <f>I8/$J$2</f>
        <v>0.47267592271897751</v>
      </c>
      <c r="L8" s="37"/>
      <c r="M8" s="35"/>
    </row>
    <row r="9" spans="1:13" ht="15" customHeight="1" x14ac:dyDescent="0.2">
      <c r="A9" s="34" t="s">
        <v>64</v>
      </c>
      <c r="B9" s="36"/>
      <c r="C9" s="4">
        <v>27.06</v>
      </c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4" t="s">
        <v>63</v>
      </c>
      <c r="B10" s="36" t="s">
        <v>13</v>
      </c>
      <c r="C10" s="4">
        <v>26.24</v>
      </c>
      <c r="D10" s="37">
        <f>AVERAGE(C10:C11)</f>
        <v>26.22</v>
      </c>
      <c r="E10" s="37">
        <v>17.143829345000096</v>
      </c>
      <c r="F10" s="50">
        <f t="shared" ref="F10" si="6">D10-E10</f>
        <v>9.0761706549999026</v>
      </c>
      <c r="G10" s="8"/>
      <c r="H10" s="37">
        <f t="shared" si="5"/>
        <v>-6.4895292634464141E-2</v>
      </c>
      <c r="I10" s="49">
        <f>2^-(H10)</f>
        <v>1.0460090201973622</v>
      </c>
      <c r="J10" s="37"/>
      <c r="K10" s="35">
        <f>I10/$J$2</f>
        <v>0.8599419022186936</v>
      </c>
      <c r="L10" s="37">
        <f t="shared" ref="L10" si="7">AVERAGE(K10:K17)</f>
        <v>1.4367950921525883</v>
      </c>
      <c r="M10" s="35">
        <f t="shared" ref="M10" si="8">STDEV(K10:K17)/4</f>
        <v>0.19846452116660876</v>
      </c>
    </row>
    <row r="11" spans="1:13" ht="15" customHeight="1" x14ac:dyDescent="0.2">
      <c r="A11" s="34" t="s">
        <v>63</v>
      </c>
      <c r="B11" s="36"/>
      <c r="C11" s="4">
        <v>26.2</v>
      </c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4" t="s">
        <v>63</v>
      </c>
      <c r="B12" s="36" t="s">
        <v>14</v>
      </c>
      <c r="C12" s="4">
        <v>25.24</v>
      </c>
      <c r="D12" s="37">
        <f>AVERAGE(C12:C13)</f>
        <v>25.454999999999998</v>
      </c>
      <c r="E12" s="37">
        <v>17.978019717604003</v>
      </c>
      <c r="F12" s="50">
        <f t="shared" ref="F12" si="9">D12-E12</f>
        <v>7.4769802823959957</v>
      </c>
      <c r="G12" s="8"/>
      <c r="H12" s="37">
        <f t="shared" si="5"/>
        <v>-1.6640856652383711</v>
      </c>
      <c r="I12" s="49">
        <f>2^-(H12)</f>
        <v>3.1691274165207819</v>
      </c>
      <c r="J12" s="37"/>
      <c r="K12" s="35">
        <f>I12/$J$2</f>
        <v>2.6053938410799642</v>
      </c>
      <c r="L12" s="37"/>
      <c r="M12" s="35"/>
    </row>
    <row r="13" spans="1:13" ht="15" customHeight="1" x14ac:dyDescent="0.2">
      <c r="A13" s="34" t="s">
        <v>63</v>
      </c>
      <c r="B13" s="36"/>
      <c r="C13" s="4">
        <v>25.67</v>
      </c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4" t="s">
        <v>63</v>
      </c>
      <c r="B14" s="36" t="s">
        <v>15</v>
      </c>
      <c r="C14" s="4">
        <v>26</v>
      </c>
      <c r="D14" s="37">
        <f>AVERAGE(C14:C15)</f>
        <v>26.765000000000001</v>
      </c>
      <c r="E14" s="37">
        <v>17.974532197115273</v>
      </c>
      <c r="F14" s="50">
        <f t="shared" ref="F14" si="10">D14-E14</f>
        <v>8.7904678028847272</v>
      </c>
      <c r="G14" s="8"/>
      <c r="H14" s="37">
        <f t="shared" si="5"/>
        <v>-0.35059814474963957</v>
      </c>
      <c r="I14" s="49">
        <f>2^-(H14)</f>
        <v>1.2750891727069691</v>
      </c>
      <c r="J14" s="37"/>
      <c r="K14" s="35">
        <f>I14/$J$2</f>
        <v>1.0482726128587323</v>
      </c>
      <c r="L14" s="37"/>
      <c r="M14" s="35"/>
    </row>
    <row r="15" spans="1:13" ht="15" customHeight="1" x14ac:dyDescent="0.2">
      <c r="A15" s="34" t="s">
        <v>63</v>
      </c>
      <c r="B15" s="36"/>
      <c r="C15" s="4">
        <v>27.53</v>
      </c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4" t="s">
        <v>63</v>
      </c>
      <c r="B16" s="36" t="s">
        <v>16</v>
      </c>
      <c r="C16" s="4">
        <v>25.04</v>
      </c>
      <c r="D16" s="37">
        <f>AVERAGE(C16:C17)</f>
        <v>25.875</v>
      </c>
      <c r="E16" s="37">
        <v>17.319360183997457</v>
      </c>
      <c r="F16" s="50">
        <f t="shared" ref="F16" si="11">D16-E16</f>
        <v>8.5556398160025431</v>
      </c>
      <c r="G16" s="8"/>
      <c r="H16" s="37">
        <f t="shared" si="5"/>
        <v>-0.58542613163182367</v>
      </c>
      <c r="I16" s="49">
        <f>2^-(H16)</f>
        <v>1.5004821241524586</v>
      </c>
      <c r="J16" s="37"/>
      <c r="K16" s="35">
        <f>I16/$J$2</f>
        <v>1.2335720124529623</v>
      </c>
      <c r="L16" s="37"/>
      <c r="M16" s="35"/>
    </row>
    <row r="17" spans="1:13" ht="15" customHeight="1" x14ac:dyDescent="0.2">
      <c r="A17" s="34" t="s">
        <v>63</v>
      </c>
      <c r="B17" s="36"/>
      <c r="C17" s="4">
        <v>26.71</v>
      </c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19" t="s">
        <v>53</v>
      </c>
      <c r="B18" s="36" t="s">
        <v>18</v>
      </c>
      <c r="C18" s="4">
        <v>25.61</v>
      </c>
      <c r="D18" s="37">
        <f>AVERAGE(C18:C19)</f>
        <v>25.634999999999998</v>
      </c>
      <c r="E18" s="37">
        <v>19.205252186246113</v>
      </c>
      <c r="F18" s="50">
        <f t="shared" ref="F18" si="12">D18-E18</f>
        <v>6.4297478137538846</v>
      </c>
      <c r="G18" s="8"/>
      <c r="H18" s="37">
        <f t="shared" si="5"/>
        <v>-2.7113181338804822</v>
      </c>
      <c r="I18" s="49">
        <f>2^-(H18)</f>
        <v>6.5491974806352902</v>
      </c>
      <c r="J18" s="37"/>
      <c r="K18" s="35">
        <f>I18/$J$2</f>
        <v>5.3842072398579779</v>
      </c>
      <c r="L18" s="37">
        <f t="shared" ref="L18" si="13">AVERAGE(K18:K25)</f>
        <v>2.0077689522622904</v>
      </c>
      <c r="M18" s="35">
        <f t="shared" ref="M18" si="14">STDEV(K18:K25)/4</f>
        <v>0.56608937058412268</v>
      </c>
    </row>
    <row r="19" spans="1:13" ht="15" customHeight="1" x14ac:dyDescent="0.2">
      <c r="A19" s="19" t="s">
        <v>53</v>
      </c>
      <c r="B19" s="36"/>
      <c r="C19" s="4">
        <v>25.66</v>
      </c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19" t="s">
        <v>53</v>
      </c>
      <c r="B20" s="36" t="s">
        <v>19</v>
      </c>
      <c r="C20" s="4">
        <v>25.62</v>
      </c>
      <c r="D20" s="37">
        <f>AVERAGE(C20:C21)</f>
        <v>26.085000000000001</v>
      </c>
      <c r="E20" s="37">
        <v>17.51825332356341</v>
      </c>
      <c r="F20" s="50">
        <f t="shared" ref="F20" si="15">D20-E20</f>
        <v>8.5667466764365905</v>
      </c>
      <c r="G20" s="8"/>
      <c r="H20" s="37">
        <f t="shared" si="5"/>
        <v>-0.57431927119777626</v>
      </c>
      <c r="I20" s="49">
        <f>2^-(H20)</f>
        <v>1.4889747316909965</v>
      </c>
      <c r="J20" s="37"/>
      <c r="K20" s="35">
        <f>I20/$J$2</f>
        <v>1.2241115883344209</v>
      </c>
      <c r="L20" s="37"/>
      <c r="M20" s="35"/>
    </row>
    <row r="21" spans="1:13" ht="15" customHeight="1" x14ac:dyDescent="0.2">
      <c r="A21" s="20" t="s">
        <v>53</v>
      </c>
      <c r="B21" s="36"/>
      <c r="C21" s="4">
        <v>26.55</v>
      </c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20" t="s">
        <v>53</v>
      </c>
      <c r="B22" s="36" t="s">
        <v>20</v>
      </c>
      <c r="C22" s="4">
        <v>26.24</v>
      </c>
      <c r="D22" s="37">
        <f>AVERAGE(C22:C23)</f>
        <v>26.689999999999998</v>
      </c>
      <c r="E22" s="37">
        <v>17.449205574599276</v>
      </c>
      <c r="F22" s="50">
        <f t="shared" ref="F22" si="16">D22-E22</f>
        <v>9.2407944254007219</v>
      </c>
      <c r="G22" s="8"/>
      <c r="H22" s="37">
        <f t="shared" si="5"/>
        <v>9.9728477766355184E-2</v>
      </c>
      <c r="I22" s="49">
        <f>2^-(H22)</f>
        <v>0.93320860941589967</v>
      </c>
      <c r="J22" s="37"/>
      <c r="K22" s="35">
        <f>I22/$J$2</f>
        <v>0.76720675563252128</v>
      </c>
      <c r="L22" s="37"/>
      <c r="M22" s="35"/>
    </row>
    <row r="23" spans="1:13" ht="15" customHeight="1" x14ac:dyDescent="0.2">
      <c r="A23" s="20" t="s">
        <v>53</v>
      </c>
      <c r="B23" s="36"/>
      <c r="C23" s="4">
        <v>27.14</v>
      </c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20" t="s">
        <v>53</v>
      </c>
      <c r="B24" s="36" t="s">
        <v>21</v>
      </c>
      <c r="C24" s="4">
        <v>25.54</v>
      </c>
      <c r="D24" s="37">
        <f>AVERAGE(C24:C25)</f>
        <v>26.36</v>
      </c>
      <c r="E24" s="37">
        <v>16.892296467846915</v>
      </c>
      <c r="F24" s="50">
        <f t="shared" ref="F24" si="17">D24-E24</f>
        <v>9.4677035321530845</v>
      </c>
      <c r="G24" s="8"/>
      <c r="H24" s="37">
        <f t="shared" si="5"/>
        <v>0.32663758451871772</v>
      </c>
      <c r="I24" s="49">
        <f>2^-(H24)</f>
        <v>0.7973927622410274</v>
      </c>
      <c r="J24" s="37"/>
      <c r="K24" s="35">
        <f>I24/$J$2</f>
        <v>0.65555022522424022</v>
      </c>
      <c r="L24" s="37"/>
      <c r="M24" s="35"/>
    </row>
    <row r="25" spans="1:13" ht="15" customHeight="1" x14ac:dyDescent="0.2">
      <c r="A25" s="20" t="s">
        <v>53</v>
      </c>
      <c r="B25" s="36"/>
      <c r="C25" s="4">
        <v>27.18</v>
      </c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19" t="s">
        <v>54</v>
      </c>
      <c r="B26" s="36" t="s">
        <v>23</v>
      </c>
      <c r="C26" s="4">
        <v>25.54</v>
      </c>
      <c r="D26" s="37">
        <f>AVERAGE(C26:C27)</f>
        <v>25.35</v>
      </c>
      <c r="E26" s="37">
        <v>17.460951826505497</v>
      </c>
      <c r="F26" s="50">
        <f t="shared" ref="F26" si="18">D26-E26</f>
        <v>7.8890481734945048</v>
      </c>
      <c r="G26" s="8"/>
      <c r="H26" s="37">
        <f t="shared" si="5"/>
        <v>-1.2520177741398619</v>
      </c>
      <c r="I26" s="49">
        <f>2^-(H26)</f>
        <v>2.3817430418495609</v>
      </c>
      <c r="J26" s="37"/>
      <c r="K26" s="35">
        <f>I26/$J$2</f>
        <v>1.9580716824199085</v>
      </c>
      <c r="L26" s="37">
        <f t="shared" ref="L26" si="19">AVERAGE(K26:K33)</f>
        <v>1.1881582953378107</v>
      </c>
      <c r="M26" s="35">
        <f t="shared" ref="M26" si="20">STDEV(K26:K33)/4</f>
        <v>0.15497763133249615</v>
      </c>
    </row>
    <row r="27" spans="1:13" ht="15" customHeight="1" x14ac:dyDescent="0.2">
      <c r="A27" s="19" t="s">
        <v>54</v>
      </c>
      <c r="B27" s="36"/>
      <c r="C27" s="4">
        <v>25.16</v>
      </c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19" t="s">
        <v>54</v>
      </c>
      <c r="B28" s="36" t="s">
        <v>24</v>
      </c>
      <c r="C28" s="4">
        <v>25.89</v>
      </c>
      <c r="D28" s="37">
        <f>AVERAGE(C28:C29)</f>
        <v>26.16</v>
      </c>
      <c r="E28" s="37">
        <v>17.810378746674107</v>
      </c>
      <c r="F28" s="50">
        <f t="shared" ref="F28" si="21">D28-E28</f>
        <v>8.3496212533258927</v>
      </c>
      <c r="G28" s="8"/>
      <c r="H28" s="37">
        <f t="shared" si="5"/>
        <v>-0.79144469430847408</v>
      </c>
      <c r="I28" s="49">
        <f>2^-(H28)</f>
        <v>1.7308068004311932</v>
      </c>
      <c r="J28" s="37"/>
      <c r="K28" s="35">
        <f>I28/$J$2</f>
        <v>1.4229258673649099</v>
      </c>
      <c r="L28" s="37"/>
      <c r="M28" s="35"/>
    </row>
    <row r="29" spans="1:13" ht="15" customHeight="1" x14ac:dyDescent="0.2">
      <c r="A29" s="19" t="s">
        <v>54</v>
      </c>
      <c r="B29" s="36"/>
      <c r="C29" s="4">
        <v>26.43</v>
      </c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19" t="s">
        <v>54</v>
      </c>
      <c r="B30" s="36" t="s">
        <v>25</v>
      </c>
      <c r="C30" s="4">
        <v>25.01</v>
      </c>
      <c r="D30" s="37">
        <f>AVERAGE(C30:C31)</f>
        <v>27.065000000000001</v>
      </c>
      <c r="E30" s="37">
        <v>17.636734292930214</v>
      </c>
      <c r="F30" s="50">
        <f t="shared" ref="F30" si="22">D30-E30</f>
        <v>9.4282657070697873</v>
      </c>
      <c r="G30" s="8"/>
      <c r="H30" s="37">
        <f t="shared" si="5"/>
        <v>0.28719975943542053</v>
      </c>
      <c r="I30" s="49">
        <f>2^-(H30)</f>
        <v>0.81949113083558922</v>
      </c>
      <c r="J30" s="37"/>
      <c r="K30" s="35">
        <f>I30/$J$2</f>
        <v>0.67371767192709153</v>
      </c>
      <c r="L30" s="37"/>
      <c r="M30" s="35"/>
    </row>
    <row r="31" spans="1:13" ht="15" customHeight="1" x14ac:dyDescent="0.2">
      <c r="A31" s="19" t="s">
        <v>54</v>
      </c>
      <c r="B31" s="36"/>
      <c r="C31" s="4">
        <v>29.12</v>
      </c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19" t="s">
        <v>54</v>
      </c>
      <c r="B32" s="36" t="s">
        <v>26</v>
      </c>
      <c r="C32" s="4">
        <v>27.17</v>
      </c>
      <c r="D32" s="37">
        <f>AVERAGE(C32:C33)</f>
        <v>27.774999999999999</v>
      </c>
      <c r="E32" s="37">
        <v>18.397647607932122</v>
      </c>
      <c r="F32" s="50">
        <f t="shared" ref="F32" si="23">D32-E32</f>
        <v>9.377352392067877</v>
      </c>
      <c r="G32" s="8"/>
      <c r="H32" s="37">
        <f t="shared" si="5"/>
        <v>0.23628644443351021</v>
      </c>
      <c r="I32" s="49">
        <f>2^-(H32)</f>
        <v>0.84892767669184399</v>
      </c>
      <c r="J32" s="37"/>
      <c r="K32" s="35">
        <f>I32/$J$2</f>
        <v>0.69791795963933256</v>
      </c>
      <c r="L32" s="37"/>
      <c r="M32" s="35"/>
    </row>
    <row r="33" spans="1:13" ht="15" customHeight="1" x14ac:dyDescent="0.2">
      <c r="A33" s="19" t="s">
        <v>54</v>
      </c>
      <c r="B33" s="36"/>
      <c r="C33" s="4">
        <v>28.38</v>
      </c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19" t="s">
        <v>55</v>
      </c>
      <c r="B34" s="36" t="s">
        <v>28</v>
      </c>
      <c r="C34" s="4">
        <v>27.8</v>
      </c>
      <c r="D34" s="37">
        <f>AVERAGE(C34:C35)</f>
        <v>26.884999999999998</v>
      </c>
      <c r="E34" s="37">
        <v>16.509506697394823</v>
      </c>
      <c r="F34" s="50">
        <f t="shared" ref="F34" si="24">D34-E34</f>
        <v>10.375493302605175</v>
      </c>
      <c r="G34" s="8"/>
      <c r="H34" s="37">
        <f t="shared" si="5"/>
        <v>1.2344273549708085</v>
      </c>
      <c r="I34" s="49">
        <f>2^-(H34)</f>
        <v>0.42501116462193739</v>
      </c>
      <c r="J34" s="37"/>
      <c r="K34" s="35">
        <f>I34/$J$2</f>
        <v>0.34940894611043705</v>
      </c>
      <c r="L34" s="37">
        <f t="shared" ref="L34" si="25">AVERAGE(K34:K41)</f>
        <v>2.2682842038283066</v>
      </c>
      <c r="M34" s="35">
        <f t="shared" ref="M34" si="26">STDEV(K34:K41)/4</f>
        <v>0.48501163121536905</v>
      </c>
    </row>
    <row r="35" spans="1:13" ht="15" customHeight="1" x14ac:dyDescent="0.2">
      <c r="A35" s="19" t="s">
        <v>55</v>
      </c>
      <c r="B35" s="36"/>
      <c r="C35" s="4">
        <v>25.97</v>
      </c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19" t="s">
        <v>55</v>
      </c>
      <c r="B36" s="36" t="s">
        <v>29</v>
      </c>
      <c r="C36" s="4">
        <v>25.92</v>
      </c>
      <c r="D36" s="37">
        <f>AVERAGE(C36:C37)</f>
        <v>26.11</v>
      </c>
      <c r="E36" s="37">
        <v>18.343164352268513</v>
      </c>
      <c r="F36" s="50">
        <f t="shared" ref="F36" si="27">D36-E36</f>
        <v>7.7668356477314866</v>
      </c>
      <c r="G36" s="8"/>
      <c r="H36" s="37">
        <f t="shared" si="5"/>
        <v>-1.3742302999028801</v>
      </c>
      <c r="I36" s="49">
        <f>2^-(H36)</f>
        <v>2.5922957104843074</v>
      </c>
      <c r="J36" s="37"/>
      <c r="K36" s="35">
        <f>I36/$J$2</f>
        <v>2.131170631747155</v>
      </c>
      <c r="L36" s="37"/>
      <c r="M36" s="35"/>
    </row>
    <row r="37" spans="1:13" ht="15" customHeight="1" x14ac:dyDescent="0.2">
      <c r="A37" s="19" t="s">
        <v>55</v>
      </c>
      <c r="B37" s="36"/>
      <c r="C37" s="4">
        <v>26.3</v>
      </c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19" t="s">
        <v>55</v>
      </c>
      <c r="B38" s="36" t="s">
        <v>30</v>
      </c>
      <c r="C38" s="4">
        <v>24.91</v>
      </c>
      <c r="D38" s="37">
        <f>AVERAGE(C38:C39)</f>
        <v>25.65</v>
      </c>
      <c r="E38" s="37">
        <v>17.506489233409525</v>
      </c>
      <c r="F38" s="50">
        <f t="shared" ref="F38" si="28">D38-E38</f>
        <v>8.1435107665904738</v>
      </c>
      <c r="G38" s="8"/>
      <c r="H38" s="37">
        <f t="shared" si="5"/>
        <v>-0.99755518104389296</v>
      </c>
      <c r="I38" s="49">
        <f>2^-(H38)</f>
        <v>1.9966136313805078</v>
      </c>
      <c r="J38" s="37"/>
      <c r="K38" s="35">
        <f>I38/$J$2</f>
        <v>1.6414502083750362</v>
      </c>
      <c r="L38" s="37"/>
      <c r="M38" s="35"/>
    </row>
    <row r="39" spans="1:13" ht="15" customHeight="1" x14ac:dyDescent="0.2">
      <c r="A39" s="19" t="s">
        <v>55</v>
      </c>
      <c r="B39" s="36"/>
      <c r="C39" s="4">
        <v>26.39</v>
      </c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19" t="s">
        <v>55</v>
      </c>
      <c r="B40" s="36" t="s">
        <v>31</v>
      </c>
      <c r="C40" s="4">
        <v>25.26</v>
      </c>
      <c r="D40" s="37">
        <f>AVERAGE(C40:C41)</f>
        <v>25.26</v>
      </c>
      <c r="E40" s="37">
        <v>18.70926938210307</v>
      </c>
      <c r="F40" s="50">
        <f t="shared" ref="F40" si="29">D40-E40</f>
        <v>6.5507306178969316</v>
      </c>
      <c r="G40" s="8"/>
      <c r="H40" s="37">
        <f t="shared" si="5"/>
        <v>-2.5903353297374352</v>
      </c>
      <c r="I40" s="49">
        <f>2^-(H40)</f>
        <v>6.0223866275373235</v>
      </c>
      <c r="J40" s="37"/>
      <c r="K40" s="35">
        <f>I40/$J$2</f>
        <v>4.9511070290805979</v>
      </c>
      <c r="L40" s="37"/>
      <c r="M40" s="35"/>
    </row>
    <row r="41" spans="1:13" ht="15" customHeight="1" x14ac:dyDescent="0.2">
      <c r="A41" s="19" t="s">
        <v>55</v>
      </c>
      <c r="B41" s="36"/>
      <c r="C41" s="4"/>
      <c r="D41" s="37"/>
      <c r="E41" s="37"/>
      <c r="F41" s="50"/>
      <c r="G41" s="8"/>
      <c r="H41" s="37"/>
      <c r="I41" s="49"/>
      <c r="J41" s="37"/>
      <c r="K41" s="35"/>
      <c r="L41" s="37"/>
      <c r="M41" s="35"/>
    </row>
    <row r="42" spans="1:13" x14ac:dyDescent="0.2">
      <c r="A42" s="33" t="s">
        <v>56</v>
      </c>
    </row>
    <row r="43" spans="1:13" x14ac:dyDescent="0.2">
      <c r="A43" s="32" t="s">
        <v>56</v>
      </c>
    </row>
    <row r="44" spans="1:13" x14ac:dyDescent="0.2">
      <c r="A44" s="32" t="s">
        <v>56</v>
      </c>
    </row>
    <row r="45" spans="1:13" x14ac:dyDescent="0.2">
      <c r="A45" s="32" t="s">
        <v>56</v>
      </c>
    </row>
    <row r="46" spans="1:13" x14ac:dyDescent="0.2">
      <c r="A46" s="32" t="s">
        <v>56</v>
      </c>
    </row>
    <row r="47" spans="1:13" x14ac:dyDescent="0.2">
      <c r="A47" s="32" t="s">
        <v>56</v>
      </c>
    </row>
    <row r="48" spans="1:13" x14ac:dyDescent="0.2">
      <c r="A48" s="32" t="s">
        <v>56</v>
      </c>
    </row>
    <row r="49" spans="1:1" x14ac:dyDescent="0.2">
      <c r="A49" s="32" t="s">
        <v>56</v>
      </c>
    </row>
  </sheetData>
  <mergeCells count="156">
    <mergeCell ref="L2:L9"/>
    <mergeCell ref="M2:M9"/>
    <mergeCell ref="H4:H5"/>
    <mergeCell ref="I4:I5"/>
    <mergeCell ref="K4:K5"/>
    <mergeCell ref="K6:K7"/>
    <mergeCell ref="B2:B3"/>
    <mergeCell ref="D2:D3"/>
    <mergeCell ref="E2:E3"/>
    <mergeCell ref="F2:F3"/>
    <mergeCell ref="G2:G9"/>
    <mergeCell ref="B4:B5"/>
    <mergeCell ref="D4:D5"/>
    <mergeCell ref="E4:E5"/>
    <mergeCell ref="F4:F5"/>
    <mergeCell ref="B6:B7"/>
    <mergeCell ref="D6:D7"/>
    <mergeCell ref="E6:E7"/>
    <mergeCell ref="F6:F7"/>
    <mergeCell ref="H6:H7"/>
    <mergeCell ref="I6:I7"/>
    <mergeCell ref="H2:H3"/>
    <mergeCell ref="I2:I3"/>
    <mergeCell ref="J2:J9"/>
    <mergeCell ref="D14:D15"/>
    <mergeCell ref="E14:E15"/>
    <mergeCell ref="F14:F15"/>
    <mergeCell ref="H14:H15"/>
    <mergeCell ref="I14:I15"/>
    <mergeCell ref="K14:K15"/>
    <mergeCell ref="K16:K17"/>
    <mergeCell ref="B16:B17"/>
    <mergeCell ref="D16:D17"/>
    <mergeCell ref="K2:K3"/>
    <mergeCell ref="B12:B13"/>
    <mergeCell ref="D12:D13"/>
    <mergeCell ref="E12:E13"/>
    <mergeCell ref="F12:F13"/>
    <mergeCell ref="H12:H13"/>
    <mergeCell ref="I12:I13"/>
    <mergeCell ref="K12:K13"/>
    <mergeCell ref="B14:B15"/>
    <mergeCell ref="K8:K9"/>
    <mergeCell ref="B10:B11"/>
    <mergeCell ref="D10:D11"/>
    <mergeCell ref="E10:E11"/>
    <mergeCell ref="F10:F11"/>
    <mergeCell ref="H10:H11"/>
    <mergeCell ref="I10:I11"/>
    <mergeCell ref="J10:J17"/>
    <mergeCell ref="K10:K11"/>
    <mergeCell ref="B8:B9"/>
    <mergeCell ref="D8:D9"/>
    <mergeCell ref="E8:E9"/>
    <mergeCell ref="F8:F9"/>
    <mergeCell ref="H8:H9"/>
    <mergeCell ref="I8:I9"/>
    <mergeCell ref="F18:F19"/>
    <mergeCell ref="H18:H19"/>
    <mergeCell ref="E16:E17"/>
    <mergeCell ref="F16:F17"/>
    <mergeCell ref="H16:H17"/>
    <mergeCell ref="I16:I17"/>
    <mergeCell ref="K18:K19"/>
    <mergeCell ref="D22:D23"/>
    <mergeCell ref="E22:E23"/>
    <mergeCell ref="F22:F23"/>
    <mergeCell ref="H22:H23"/>
    <mergeCell ref="I22:I23"/>
    <mergeCell ref="K22:K23"/>
    <mergeCell ref="I18:I19"/>
    <mergeCell ref="J18:J25"/>
    <mergeCell ref="K32:K33"/>
    <mergeCell ref="B32:B33"/>
    <mergeCell ref="L10:L17"/>
    <mergeCell ref="M10:M17"/>
    <mergeCell ref="L18:L25"/>
    <mergeCell ref="M18:M25"/>
    <mergeCell ref="B20:B21"/>
    <mergeCell ref="D20:D21"/>
    <mergeCell ref="E20:E21"/>
    <mergeCell ref="F20:F21"/>
    <mergeCell ref="H20:H21"/>
    <mergeCell ref="I20:I21"/>
    <mergeCell ref="K20:K21"/>
    <mergeCell ref="B22:B23"/>
    <mergeCell ref="K24:K25"/>
    <mergeCell ref="B24:B25"/>
    <mergeCell ref="D24:D25"/>
    <mergeCell ref="E24:E25"/>
    <mergeCell ref="F24:F25"/>
    <mergeCell ref="H24:H25"/>
    <mergeCell ref="I24:I25"/>
    <mergeCell ref="B18:B19"/>
    <mergeCell ref="D18:D19"/>
    <mergeCell ref="E18:E19"/>
    <mergeCell ref="F30:F31"/>
    <mergeCell ref="H30:H31"/>
    <mergeCell ref="I30:I31"/>
    <mergeCell ref="K30:K31"/>
    <mergeCell ref="B28:B29"/>
    <mergeCell ref="D28:D29"/>
    <mergeCell ref="E28:E29"/>
    <mergeCell ref="F28:F29"/>
    <mergeCell ref="H28:H29"/>
    <mergeCell ref="I28:I29"/>
    <mergeCell ref="K28:K29"/>
    <mergeCell ref="B30:B31"/>
    <mergeCell ref="M26:M33"/>
    <mergeCell ref="M34:M41"/>
    <mergeCell ref="B36:B37"/>
    <mergeCell ref="D36:D37"/>
    <mergeCell ref="E36:E37"/>
    <mergeCell ref="F36:F37"/>
    <mergeCell ref="H36:H37"/>
    <mergeCell ref="I36:I37"/>
    <mergeCell ref="K36:K37"/>
    <mergeCell ref="B38:B39"/>
    <mergeCell ref="K40:K41"/>
    <mergeCell ref="B40:B41"/>
    <mergeCell ref="D40:D41"/>
    <mergeCell ref="E40:E41"/>
    <mergeCell ref="F40:F41"/>
    <mergeCell ref="H40:H41"/>
    <mergeCell ref="I40:I41"/>
    <mergeCell ref="D38:D39"/>
    <mergeCell ref="E38:E39"/>
    <mergeCell ref="F38:F39"/>
    <mergeCell ref="D32:D33"/>
    <mergeCell ref="E32:E33"/>
    <mergeCell ref="F32:F33"/>
    <mergeCell ref="H32:H33"/>
    <mergeCell ref="H38:H39"/>
    <mergeCell ref="I38:I39"/>
    <mergeCell ref="K38:K39"/>
    <mergeCell ref="B34:B35"/>
    <mergeCell ref="D34:D35"/>
    <mergeCell ref="J34:J41"/>
    <mergeCell ref="K34:K35"/>
    <mergeCell ref="L34:L41"/>
    <mergeCell ref="L26:L33"/>
    <mergeCell ref="I32:I33"/>
    <mergeCell ref="E34:E35"/>
    <mergeCell ref="F34:F35"/>
    <mergeCell ref="H34:H35"/>
    <mergeCell ref="I34:I35"/>
    <mergeCell ref="B26:B27"/>
    <mergeCell ref="D26:D27"/>
    <mergeCell ref="E26:E27"/>
    <mergeCell ref="F26:F27"/>
    <mergeCell ref="H26:H27"/>
    <mergeCell ref="I26:I27"/>
    <mergeCell ref="J26:J33"/>
    <mergeCell ref="K26:K27"/>
    <mergeCell ref="D30:D31"/>
    <mergeCell ref="E30:E31"/>
  </mergeCells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6412E-E07E-4293-9681-BAD8A0E8140E}">
  <dimension ref="A1:M51"/>
  <sheetViews>
    <sheetView topLeftCell="K6" workbookViewId="0">
      <selection activeCell="A2" sqref="A2:A17"/>
    </sheetView>
  </sheetViews>
  <sheetFormatPr baseColWidth="10" defaultColWidth="8.83203125" defaultRowHeight="15" x14ac:dyDescent="0.2"/>
  <cols>
    <col min="1" max="1" width="16.1640625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3" max="13" width="13.6640625" customWidth="1"/>
  </cols>
  <sheetData>
    <row r="1" spans="1:13" ht="16" x14ac:dyDescent="0.2">
      <c r="A1" s="2" t="s">
        <v>51</v>
      </c>
      <c r="B1" s="6" t="s">
        <v>2</v>
      </c>
      <c r="C1" s="3" t="s">
        <v>40</v>
      </c>
      <c r="D1" s="2" t="s">
        <v>4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 ht="16" x14ac:dyDescent="0.2">
      <c r="A2" s="34" t="s">
        <v>64</v>
      </c>
      <c r="B2" s="39">
        <v>1</v>
      </c>
      <c r="C2" s="4">
        <v>24.87</v>
      </c>
      <c r="D2" s="37">
        <f>AVERAGE(C2:C3)</f>
        <v>24.990000000000002</v>
      </c>
      <c r="E2" s="37">
        <v>17.190287859484446</v>
      </c>
      <c r="F2" s="50">
        <f>D2-E2</f>
        <v>7.7997121405155561</v>
      </c>
      <c r="G2" s="37">
        <f>AVERAGE(F2:F9)</f>
        <v>8.5673159476343663</v>
      </c>
      <c r="H2" s="37">
        <f>F2-$G$2</f>
        <v>-0.76760380711881027</v>
      </c>
      <c r="I2" s="49">
        <f>2^-(H2)</f>
        <v>1.7024398273074337</v>
      </c>
      <c r="J2" s="37">
        <f>AVERAGE(I2:I9)</f>
        <v>1.1070406648708571</v>
      </c>
      <c r="K2" s="35">
        <f>I2/$J$2</f>
        <v>1.5378295317688564</v>
      </c>
      <c r="L2" s="37">
        <f>AVERAGE(K2:K9)</f>
        <v>0.99999999999999989</v>
      </c>
      <c r="M2" s="35">
        <f>STDEV(K2:K9)/4</f>
        <v>0.12390652421533739</v>
      </c>
    </row>
    <row r="3" spans="1:13" ht="16" x14ac:dyDescent="0.2">
      <c r="A3" s="34" t="s">
        <v>64</v>
      </c>
      <c r="B3" s="39"/>
      <c r="C3" s="4">
        <v>25.11</v>
      </c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ht="16" x14ac:dyDescent="0.2">
      <c r="A4" s="34" t="s">
        <v>64</v>
      </c>
      <c r="B4" s="36" t="s">
        <v>9</v>
      </c>
      <c r="C4" s="4">
        <v>24.62</v>
      </c>
      <c r="D4" s="37">
        <f>AVERAGE(C4:C5)</f>
        <v>25.21</v>
      </c>
      <c r="E4" s="37">
        <v>17.164287644881519</v>
      </c>
      <c r="F4" s="50">
        <f t="shared" ref="F4" si="0">D4-E4</f>
        <v>8.0457123551184822</v>
      </c>
      <c r="G4" s="37"/>
      <c r="H4" s="37">
        <f t="shared" ref="H4" si="1">F4-$G$2</f>
        <v>-0.52160359251588417</v>
      </c>
      <c r="I4" s="49">
        <f>2^-(H4)</f>
        <v>1.4355500121743483</v>
      </c>
      <c r="J4" s="37"/>
      <c r="K4" s="35">
        <f>I4/$J$2</f>
        <v>1.2967455105561221</v>
      </c>
      <c r="L4" s="37"/>
      <c r="M4" s="35"/>
    </row>
    <row r="5" spans="1:13" ht="16" x14ac:dyDescent="0.2">
      <c r="A5" s="34" t="s">
        <v>64</v>
      </c>
      <c r="B5" s="36"/>
      <c r="C5" s="4">
        <v>25.8</v>
      </c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ht="16" x14ac:dyDescent="0.2">
      <c r="A6" s="34" t="s">
        <v>64</v>
      </c>
      <c r="B6" s="36" t="s">
        <v>10</v>
      </c>
      <c r="C6" s="4">
        <v>24.54</v>
      </c>
      <c r="D6" s="37">
        <f>AVERAGE(C6:C7)</f>
        <v>24.93</v>
      </c>
      <c r="E6" s="37">
        <v>15.905719176330518</v>
      </c>
      <c r="F6" s="50">
        <f t="shared" ref="F6" si="2">D6-E6</f>
        <v>9.024280823669482</v>
      </c>
      <c r="G6" s="37"/>
      <c r="H6" s="37">
        <f t="shared" ref="H6" si="3">F6-$G$2</f>
        <v>0.45696487603511571</v>
      </c>
      <c r="I6" s="49">
        <f>2^-(H6)</f>
        <v>0.72851729327138481</v>
      </c>
      <c r="J6" s="37"/>
      <c r="K6" s="35">
        <f>I6/$J$2</f>
        <v>0.65807636195222396</v>
      </c>
      <c r="L6" s="37"/>
      <c r="M6" s="35"/>
    </row>
    <row r="7" spans="1:13" ht="16" x14ac:dyDescent="0.2">
      <c r="A7" s="34" t="s">
        <v>64</v>
      </c>
      <c r="B7" s="36"/>
      <c r="C7" s="4">
        <v>25.32</v>
      </c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ht="16" x14ac:dyDescent="0.2">
      <c r="A8" s="34" t="s">
        <v>64</v>
      </c>
      <c r="B8" s="36" t="s">
        <v>11</v>
      </c>
      <c r="C8" s="4">
        <v>25.45</v>
      </c>
      <c r="D8" s="37">
        <f>AVERAGE(C8:C9)</f>
        <v>25.45</v>
      </c>
      <c r="E8" s="37">
        <v>16.050441528766051</v>
      </c>
      <c r="F8" s="50">
        <f t="shared" ref="F8" si="4">D8-E8</f>
        <v>9.3995584712339486</v>
      </c>
      <c r="G8" s="37"/>
      <c r="H8" s="37">
        <f t="shared" ref="H8:H40" si="5">F8-$G$2</f>
        <v>0.83224252359958228</v>
      </c>
      <c r="I8" s="49">
        <f>2^-(H8)</f>
        <v>0.56165552673026109</v>
      </c>
      <c r="J8" s="37"/>
      <c r="K8" s="35">
        <f>I8/$J$2</f>
        <v>0.50734859572279722</v>
      </c>
      <c r="L8" s="37"/>
      <c r="M8" s="35"/>
    </row>
    <row r="9" spans="1:13" ht="15" customHeight="1" x14ac:dyDescent="0.2">
      <c r="A9" s="34" t="s">
        <v>64</v>
      </c>
      <c r="B9" s="36"/>
      <c r="C9" s="4">
        <v>25.45</v>
      </c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4" t="s">
        <v>63</v>
      </c>
      <c r="B10" s="36" t="s">
        <v>13</v>
      </c>
      <c r="C10" s="4">
        <v>25.61</v>
      </c>
      <c r="D10" s="37">
        <f>AVERAGE(C10:C11)</f>
        <v>25.83</v>
      </c>
      <c r="E10" s="37">
        <v>17.143829345000096</v>
      </c>
      <c r="F10" s="50">
        <f t="shared" ref="F10" si="6">D10-E10</f>
        <v>8.686170654999902</v>
      </c>
      <c r="G10" s="8"/>
      <c r="H10" s="37">
        <f t="shared" si="5"/>
        <v>0.11885470736553572</v>
      </c>
      <c r="I10" s="49">
        <f>2^-(H10)</f>
        <v>0.92091843747568836</v>
      </c>
      <c r="J10" s="37"/>
      <c r="K10" s="35">
        <f>I10/$J$2</f>
        <v>0.83187408258676665</v>
      </c>
      <c r="L10" s="37">
        <f t="shared" ref="L10" si="7">AVERAGE(K10:K17)</f>
        <v>1.5860427392081644</v>
      </c>
      <c r="M10" s="35">
        <f t="shared" ref="M10" si="8">STDEV(K10:K17)/4</f>
        <v>0.23659048512918163</v>
      </c>
    </row>
    <row r="11" spans="1:13" ht="15" customHeight="1" x14ac:dyDescent="0.2">
      <c r="A11" s="34" t="s">
        <v>63</v>
      </c>
      <c r="B11" s="36"/>
      <c r="C11" s="4">
        <v>26.05</v>
      </c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4" t="s">
        <v>63</v>
      </c>
      <c r="B12" s="36" t="s">
        <v>14</v>
      </c>
      <c r="C12" s="4">
        <v>24.61</v>
      </c>
      <c r="D12" s="37">
        <f>AVERAGE(C12:C13)</f>
        <v>24.835000000000001</v>
      </c>
      <c r="E12" s="37">
        <v>17.978019717604003</v>
      </c>
      <c r="F12" s="50">
        <f t="shared" ref="F12" si="9">D12-E12</f>
        <v>6.8569802823959982</v>
      </c>
      <c r="G12" s="8"/>
      <c r="H12" s="37">
        <f t="shared" si="5"/>
        <v>-1.7103356652383681</v>
      </c>
      <c r="I12" s="49">
        <f>2^-(H12)</f>
        <v>3.2723695128722068</v>
      </c>
      <c r="J12" s="37"/>
      <c r="K12" s="35">
        <f>I12/$J$2</f>
        <v>2.9559614354852521</v>
      </c>
      <c r="L12" s="37"/>
      <c r="M12" s="35"/>
    </row>
    <row r="13" spans="1:13" ht="15" customHeight="1" x14ac:dyDescent="0.2">
      <c r="A13" s="34" t="s">
        <v>63</v>
      </c>
      <c r="B13" s="36"/>
      <c r="C13" s="4">
        <v>25.06</v>
      </c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4" t="s">
        <v>63</v>
      </c>
      <c r="B14" s="36" t="s">
        <v>15</v>
      </c>
      <c r="C14" s="4">
        <v>25.33</v>
      </c>
      <c r="D14" s="37">
        <f>AVERAGE(C14:C15)</f>
        <v>25.869999999999997</v>
      </c>
      <c r="E14" s="37">
        <v>17.974532197115273</v>
      </c>
      <c r="F14" s="50">
        <f t="shared" ref="F14" si="10">D14-E14</f>
        <v>7.8954678028847241</v>
      </c>
      <c r="G14" s="8"/>
      <c r="H14" s="37">
        <f t="shared" si="5"/>
        <v>-0.67184814474964227</v>
      </c>
      <c r="I14" s="49">
        <f>2^-(H14)</f>
        <v>1.5931124958489622</v>
      </c>
      <c r="J14" s="37"/>
      <c r="K14" s="35">
        <f>I14/$J$2</f>
        <v>1.4390731491645867</v>
      </c>
      <c r="L14" s="37"/>
      <c r="M14" s="35"/>
    </row>
    <row r="15" spans="1:13" ht="15" customHeight="1" x14ac:dyDescent="0.2">
      <c r="A15" s="34" t="s">
        <v>63</v>
      </c>
      <c r="B15" s="36"/>
      <c r="C15" s="4">
        <v>26.41</v>
      </c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4" t="s">
        <v>63</v>
      </c>
      <c r="B16" s="36" t="s">
        <v>16</v>
      </c>
      <c r="C16" s="4">
        <v>25.27</v>
      </c>
      <c r="D16" s="37">
        <f>AVERAGE(C16:C17)</f>
        <v>25.58</v>
      </c>
      <c r="E16" s="37">
        <v>17.319360183997457</v>
      </c>
      <c r="F16" s="50">
        <f t="shared" ref="F16" si="11">D16-E16</f>
        <v>8.2606398160025414</v>
      </c>
      <c r="G16" s="8"/>
      <c r="H16" s="37">
        <f t="shared" si="5"/>
        <v>-0.30667613163182494</v>
      </c>
      <c r="I16" s="49">
        <f>2^-(H16)</f>
        <v>1.2368547879095499</v>
      </c>
      <c r="J16" s="37"/>
      <c r="K16" s="35">
        <f>I16/$J$2</f>
        <v>1.1172622895960524</v>
      </c>
      <c r="L16" s="37"/>
      <c r="M16" s="35"/>
    </row>
    <row r="17" spans="1:13" ht="15" customHeight="1" x14ac:dyDescent="0.2">
      <c r="A17" s="34" t="s">
        <v>63</v>
      </c>
      <c r="B17" s="36"/>
      <c r="C17" s="4">
        <v>25.89</v>
      </c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19" t="s">
        <v>53</v>
      </c>
      <c r="B18" s="36" t="s">
        <v>18</v>
      </c>
      <c r="C18" s="4">
        <v>25.6</v>
      </c>
      <c r="D18" s="37">
        <f>AVERAGE(C18:C19)</f>
        <v>25.655000000000001</v>
      </c>
      <c r="E18" s="37">
        <v>19.205252186246113</v>
      </c>
      <c r="F18" s="50">
        <f t="shared" ref="F18" si="12">D18-E18</f>
        <v>6.4497478137538877</v>
      </c>
      <c r="G18" s="8"/>
      <c r="H18" s="37">
        <f t="shared" si="5"/>
        <v>-2.1175681338804786</v>
      </c>
      <c r="I18" s="49">
        <f>2^-(H18)</f>
        <v>4.3396182423136622</v>
      </c>
      <c r="J18" s="37"/>
      <c r="K18" s="35">
        <f>I18/$J$2</f>
        <v>3.9200170147497739</v>
      </c>
      <c r="L18" s="37">
        <f t="shared" ref="L18" si="13">AVERAGE(K18:K25)</f>
        <v>2.0911575362716532</v>
      </c>
      <c r="M18" s="35">
        <f t="shared" ref="M18" si="14">STDEV(K18:K25)/4</f>
        <v>0.323121614593326</v>
      </c>
    </row>
    <row r="19" spans="1:13" ht="15" customHeight="1" x14ac:dyDescent="0.2">
      <c r="A19" s="19" t="s">
        <v>53</v>
      </c>
      <c r="B19" s="36"/>
      <c r="C19" s="4">
        <v>25.71</v>
      </c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19" t="s">
        <v>53</v>
      </c>
      <c r="B20" s="36" t="s">
        <v>19</v>
      </c>
      <c r="C20" s="4">
        <v>24.87</v>
      </c>
      <c r="D20" s="37">
        <f>AVERAGE(C20:C21)</f>
        <v>25.045000000000002</v>
      </c>
      <c r="E20" s="37">
        <v>17.51825332356341</v>
      </c>
      <c r="F20" s="50">
        <f t="shared" ref="F20" si="15">D20-E20</f>
        <v>7.5267466764365913</v>
      </c>
      <c r="G20" s="8"/>
      <c r="H20" s="37">
        <f t="shared" si="5"/>
        <v>-1.040569271197775</v>
      </c>
      <c r="I20" s="49">
        <f>2^-(H20)</f>
        <v>2.0570391776602763</v>
      </c>
      <c r="J20" s="37"/>
      <c r="K20" s="35">
        <f>I20/$J$2</f>
        <v>1.8581423816985461</v>
      </c>
      <c r="L20" s="37"/>
      <c r="M20" s="35"/>
    </row>
    <row r="21" spans="1:13" ht="15" customHeight="1" x14ac:dyDescent="0.2">
      <c r="A21" s="20" t="s">
        <v>53</v>
      </c>
      <c r="B21" s="36"/>
      <c r="C21" s="4">
        <v>25.22</v>
      </c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20" t="s">
        <v>53</v>
      </c>
      <c r="B22" s="36" t="s">
        <v>20</v>
      </c>
      <c r="C22" s="4">
        <v>24.7</v>
      </c>
      <c r="D22" s="37">
        <f>AVERAGE(C22:C23)</f>
        <v>25.1</v>
      </c>
      <c r="E22" s="37">
        <v>17.449205574599276</v>
      </c>
      <c r="F22" s="50">
        <f>D22-E22</f>
        <v>7.6507944254007256</v>
      </c>
      <c r="G22" s="8"/>
      <c r="H22" s="37">
        <f t="shared" si="5"/>
        <v>-0.9165215222336407</v>
      </c>
      <c r="I22" s="49">
        <f>2^-(H22)</f>
        <v>1.8875587152204061</v>
      </c>
      <c r="J22" s="37"/>
      <c r="K22" s="35">
        <f>I22/$J$2</f>
        <v>1.7050491234128253</v>
      </c>
      <c r="L22" s="37"/>
      <c r="M22" s="35"/>
    </row>
    <row r="23" spans="1:13" ht="15" customHeight="1" x14ac:dyDescent="0.2">
      <c r="A23" s="20" t="s">
        <v>53</v>
      </c>
      <c r="B23" s="36"/>
      <c r="C23" s="4">
        <v>25.5</v>
      </c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20" t="s">
        <v>53</v>
      </c>
      <c r="B24" s="36" t="s">
        <v>21</v>
      </c>
      <c r="C24" s="4">
        <v>24.96</v>
      </c>
      <c r="D24" s="37">
        <f>AVERAGE(C24:C25)</f>
        <v>25.495000000000001</v>
      </c>
      <c r="E24" s="37">
        <v>16.892296467846915</v>
      </c>
      <c r="F24" s="50">
        <f t="shared" ref="F24" si="16">D24-E24</f>
        <v>8.602703532153086</v>
      </c>
      <c r="G24" s="8"/>
      <c r="H24" s="37">
        <f t="shared" si="5"/>
        <v>3.5387584518719706E-2</v>
      </c>
      <c r="I24" s="49">
        <f>2^-(H24)</f>
        <v>0.9757695820211536</v>
      </c>
      <c r="J24" s="37"/>
      <c r="K24" s="35">
        <f>I24/$J$2</f>
        <v>0.88142162522546808</v>
      </c>
      <c r="L24" s="37"/>
      <c r="M24" s="35"/>
    </row>
    <row r="25" spans="1:13" ht="15" customHeight="1" x14ac:dyDescent="0.2">
      <c r="A25" s="20" t="s">
        <v>53</v>
      </c>
      <c r="B25" s="36"/>
      <c r="C25" s="4">
        <v>26.03</v>
      </c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19" t="s">
        <v>54</v>
      </c>
      <c r="B26" s="36" t="s">
        <v>23</v>
      </c>
      <c r="C26" s="4">
        <v>24.6</v>
      </c>
      <c r="D26" s="37">
        <f>AVERAGE(C26:C27)</f>
        <v>24.715</v>
      </c>
      <c r="E26" s="37">
        <v>17.460951826505497</v>
      </c>
      <c r="F26" s="50">
        <f t="shared" ref="F26" si="17">D26-E26</f>
        <v>7.2540481734945033</v>
      </c>
      <c r="G26" s="8"/>
      <c r="H26" s="37">
        <f t="shared" si="5"/>
        <v>-1.3132677741398631</v>
      </c>
      <c r="I26" s="49">
        <f>2^-(H26)</f>
        <v>2.4850377608973679</v>
      </c>
      <c r="J26" s="37"/>
      <c r="K26" s="35">
        <f>I26/$J$2</f>
        <v>2.2447574328150472</v>
      </c>
      <c r="L26" s="37">
        <f t="shared" ref="L26" si="18">AVERAGE(K26:K33)</f>
        <v>1.9543524821716334</v>
      </c>
      <c r="M26" s="35">
        <f t="shared" ref="M26" si="19">STDEV(K26:K33)/4</f>
        <v>0.23496271770175667</v>
      </c>
    </row>
    <row r="27" spans="1:13" ht="15" customHeight="1" x14ac:dyDescent="0.2">
      <c r="A27" s="19" t="s">
        <v>54</v>
      </c>
      <c r="B27" s="36"/>
      <c r="C27" s="4">
        <v>24.83</v>
      </c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19" t="s">
        <v>54</v>
      </c>
      <c r="B28" s="36" t="s">
        <v>24</v>
      </c>
      <c r="C28" s="4">
        <v>24.61</v>
      </c>
      <c r="D28" s="37">
        <f>AVERAGE(C28:C29)</f>
        <v>24.655000000000001</v>
      </c>
      <c r="E28" s="37">
        <v>17.810378746674107</v>
      </c>
      <c r="F28" s="50">
        <f t="shared" ref="F28" si="20">D28-E28</f>
        <v>6.8446212533258937</v>
      </c>
      <c r="G28" s="8"/>
      <c r="H28" s="37">
        <f t="shared" si="5"/>
        <v>-1.7226946943084727</v>
      </c>
      <c r="I28" s="49">
        <f>2^-(H28)</f>
        <v>3.3005230975699704</v>
      </c>
      <c r="J28" s="37"/>
      <c r="K28" s="35">
        <f>I28/$J$2</f>
        <v>2.981392827114437</v>
      </c>
      <c r="L28" s="37"/>
      <c r="M28" s="35"/>
    </row>
    <row r="29" spans="1:13" ht="15" customHeight="1" x14ac:dyDescent="0.2">
      <c r="A29" s="19" t="s">
        <v>54</v>
      </c>
      <c r="B29" s="36"/>
      <c r="C29" s="4">
        <v>24.7</v>
      </c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19" t="s">
        <v>54</v>
      </c>
      <c r="B30" s="36" t="s">
        <v>25</v>
      </c>
      <c r="C30" s="4">
        <v>25.04</v>
      </c>
      <c r="D30" s="37">
        <f>AVERAGE(C30:C31)</f>
        <v>25.16</v>
      </c>
      <c r="E30" s="37">
        <v>17.636734292930214</v>
      </c>
      <c r="F30" s="50">
        <f t="shared" ref="F30" si="21">D30-E30</f>
        <v>7.5232657070697861</v>
      </c>
      <c r="G30" s="8"/>
      <c r="H30" s="37">
        <f>F30-$G$2</f>
        <v>-1.0440502405645802</v>
      </c>
      <c r="I30" s="49">
        <f>2^-(H30)</f>
        <v>2.0620084439392565</v>
      </c>
      <c r="J30" s="37"/>
      <c r="K30" s="35">
        <f>I30/$J$2</f>
        <v>1.8626311655677095</v>
      </c>
      <c r="L30" s="37"/>
      <c r="M30" s="35"/>
    </row>
    <row r="31" spans="1:13" ht="15" customHeight="1" x14ac:dyDescent="0.2">
      <c r="A31" s="19" t="s">
        <v>54</v>
      </c>
      <c r="B31" s="36"/>
      <c r="C31" s="4">
        <v>25.28</v>
      </c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19" t="s">
        <v>54</v>
      </c>
      <c r="B32" s="36" t="s">
        <v>26</v>
      </c>
      <c r="C32" s="4">
        <v>26.28</v>
      </c>
      <c r="D32" s="37">
        <f>AVERAGE(C32:C33)</f>
        <v>27.274999999999999</v>
      </c>
      <c r="E32" s="37">
        <v>18.397647607932122</v>
      </c>
      <c r="F32" s="50">
        <f t="shared" ref="F32" si="22">D32-E32</f>
        <v>8.877352392067877</v>
      </c>
      <c r="G32" s="8"/>
      <c r="H32" s="37">
        <f t="shared" si="5"/>
        <v>0.31003644443351064</v>
      </c>
      <c r="I32" s="49">
        <f>2^-(H32)</f>
        <v>0.80662138261458338</v>
      </c>
      <c r="J32" s="37"/>
      <c r="K32" s="35">
        <f>I32/$J$2</f>
        <v>0.72862850318933914</v>
      </c>
      <c r="L32" s="37"/>
      <c r="M32" s="35"/>
    </row>
    <row r="33" spans="1:13" ht="15" customHeight="1" x14ac:dyDescent="0.2">
      <c r="A33" s="19" t="s">
        <v>54</v>
      </c>
      <c r="B33" s="36"/>
      <c r="C33" s="4">
        <v>28.27</v>
      </c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19" t="s">
        <v>55</v>
      </c>
      <c r="B34" s="36" t="s">
        <v>28</v>
      </c>
      <c r="C34" s="4">
        <v>25</v>
      </c>
      <c r="D34" s="37">
        <f>AVERAGE(C34:C35)</f>
        <v>25.11</v>
      </c>
      <c r="E34" s="37">
        <v>16.509506697394823</v>
      </c>
      <c r="F34" s="50">
        <f t="shared" ref="F34" si="23">D34-E34</f>
        <v>8.6004933026051766</v>
      </c>
      <c r="G34" s="8"/>
      <c r="H34" s="37">
        <f t="shared" si="5"/>
        <v>3.3177354970810313E-2</v>
      </c>
      <c r="I34" s="49">
        <f>2^-(H34)</f>
        <v>0.97726562073571477</v>
      </c>
      <c r="J34" s="37"/>
      <c r="K34" s="35">
        <f>I34/$J$2</f>
        <v>0.88277301073643821</v>
      </c>
      <c r="L34" s="37">
        <f>AVERAGE(K34:K41)</f>
        <v>2.9478196118251545</v>
      </c>
      <c r="M34" s="35">
        <f t="shared" ref="M34" si="24">STDEV(K34:K41)/4</f>
        <v>0.44484769366728599</v>
      </c>
    </row>
    <row r="35" spans="1:13" ht="15" customHeight="1" x14ac:dyDescent="0.2">
      <c r="A35" s="19" t="s">
        <v>55</v>
      </c>
      <c r="B35" s="36"/>
      <c r="C35" s="4">
        <v>25.22</v>
      </c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19" t="s">
        <v>55</v>
      </c>
      <c r="B36" s="36" t="s">
        <v>29</v>
      </c>
      <c r="C36" s="4">
        <v>24.34</v>
      </c>
      <c r="D36" s="37">
        <f>AVERAGE(C36:C37)</f>
        <v>24.734999999999999</v>
      </c>
      <c r="E36" s="37">
        <v>18.343164352268513</v>
      </c>
      <c r="F36" s="50">
        <f t="shared" ref="F36" si="25">D36-E36</f>
        <v>6.3918356477314866</v>
      </c>
      <c r="G36" s="8"/>
      <c r="H36" s="37">
        <f t="shared" si="5"/>
        <v>-2.1754802999028797</v>
      </c>
      <c r="I36" s="49">
        <f>2^-(H36)</f>
        <v>4.5173612821602074</v>
      </c>
      <c r="J36" s="37"/>
      <c r="K36" s="35">
        <f>I36/$J$2</f>
        <v>4.0805739350931471</v>
      </c>
      <c r="L36" s="37"/>
      <c r="M36" s="35"/>
    </row>
    <row r="37" spans="1:13" ht="15" customHeight="1" x14ac:dyDescent="0.2">
      <c r="A37" s="19" t="s">
        <v>55</v>
      </c>
      <c r="B37" s="36"/>
      <c r="C37" s="4">
        <v>25.13</v>
      </c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19" t="s">
        <v>55</v>
      </c>
      <c r="B38" s="36" t="s">
        <v>30</v>
      </c>
      <c r="C38" s="4">
        <v>24.31</v>
      </c>
      <c r="D38" s="37">
        <f>AVERAGE(C38:C39)</f>
        <v>24.865000000000002</v>
      </c>
      <c r="E38" s="37">
        <v>17.506489233409525</v>
      </c>
      <c r="F38" s="50">
        <f t="shared" ref="F38" si="26">D38-E38</f>
        <v>7.3585107665904772</v>
      </c>
      <c r="G38" s="8"/>
      <c r="H38" s="37">
        <f t="shared" si="5"/>
        <v>-1.2088051810438891</v>
      </c>
      <c r="I38" s="49">
        <f>2^-(H38)</f>
        <v>2.3114612564426364</v>
      </c>
      <c r="J38" s="37"/>
      <c r="K38" s="35">
        <f>I38/$J$2</f>
        <v>2.0879641821579176</v>
      </c>
      <c r="L38" s="37"/>
      <c r="M38" s="35"/>
    </row>
    <row r="39" spans="1:13" ht="15" customHeight="1" x14ac:dyDescent="0.2">
      <c r="A39" s="19" t="s">
        <v>55</v>
      </c>
      <c r="B39" s="36"/>
      <c r="C39" s="4">
        <v>25.42</v>
      </c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19" t="s">
        <v>55</v>
      </c>
      <c r="B40" s="36" t="s">
        <v>31</v>
      </c>
      <c r="C40" s="4">
        <v>24.47</v>
      </c>
      <c r="D40" s="37">
        <f>AVERAGE(C40:C41)</f>
        <v>24.884999999999998</v>
      </c>
      <c r="E40" s="37">
        <v>18.70926938210307</v>
      </c>
      <c r="F40" s="50">
        <f t="shared" ref="F40" si="27">D40-E40</f>
        <v>6.175730617896928</v>
      </c>
      <c r="G40" s="8"/>
      <c r="H40" s="37">
        <f t="shared" si="5"/>
        <v>-2.3915853297374383</v>
      </c>
      <c r="I40" s="49">
        <f>2^-(H40)</f>
        <v>5.2473365726385257</v>
      </c>
      <c r="J40" s="37"/>
      <c r="K40" s="35">
        <f>I40/$J$2</f>
        <v>4.7399673193131155</v>
      </c>
      <c r="L40" s="37"/>
      <c r="M40" s="35"/>
    </row>
    <row r="41" spans="1:13" ht="15" customHeight="1" x14ac:dyDescent="0.2">
      <c r="A41" s="19" t="s">
        <v>55</v>
      </c>
      <c r="B41" s="36"/>
      <c r="C41" s="4">
        <v>25.3</v>
      </c>
      <c r="D41" s="37"/>
      <c r="E41" s="37"/>
      <c r="F41" s="50"/>
      <c r="G41" s="8"/>
      <c r="H41" s="37"/>
      <c r="I41" s="49"/>
      <c r="J41" s="37"/>
      <c r="K41" s="35"/>
      <c r="L41" s="37"/>
      <c r="M41" s="35"/>
    </row>
    <row r="42" spans="1:13" s="29" customFormat="1" ht="16" x14ac:dyDescent="0.2">
      <c r="A42" s="30" t="s">
        <v>56</v>
      </c>
      <c r="B42" s="36" t="s">
        <v>57</v>
      </c>
      <c r="C42" s="31">
        <v>29.1684876013443</v>
      </c>
      <c r="D42" s="37">
        <f>AVERAGE(C42:C43)</f>
        <v>29.0510806205073</v>
      </c>
      <c r="E42" s="37">
        <v>17.216022097920472</v>
      </c>
      <c r="F42" s="50">
        <f>D42-E42</f>
        <v>11.835058522586827</v>
      </c>
      <c r="H42" s="37">
        <f>F42-$G$2</f>
        <v>3.2677425749524609</v>
      </c>
      <c r="I42" s="49">
        <f>2^-(H42)</f>
        <v>0.10382727761753244</v>
      </c>
      <c r="K42" s="35">
        <f>I42/$J$2</f>
        <v>9.378813345546301E-2</v>
      </c>
      <c r="L42" s="37">
        <f t="shared" ref="L42" si="28">AVERAGE(K42:K49)</f>
        <v>0.59886468849377283</v>
      </c>
      <c r="M42" s="35">
        <f t="shared" ref="M42" si="29">STDEV(K42:K49)/4</f>
        <v>0.11527153419603722</v>
      </c>
    </row>
    <row r="43" spans="1:13" ht="16" x14ac:dyDescent="0.2">
      <c r="A43" s="26" t="s">
        <v>56</v>
      </c>
      <c r="B43" s="36"/>
      <c r="C43" s="4">
        <v>28.9336736396703</v>
      </c>
      <c r="D43" s="37"/>
      <c r="E43" s="37"/>
      <c r="F43" s="50"/>
      <c r="H43" s="37"/>
      <c r="I43" s="49"/>
      <c r="K43" s="35"/>
      <c r="L43" s="37"/>
      <c r="M43" s="35"/>
    </row>
    <row r="44" spans="1:13" ht="16" x14ac:dyDescent="0.2">
      <c r="A44" s="26" t="s">
        <v>56</v>
      </c>
      <c r="B44" s="36" t="s">
        <v>58</v>
      </c>
      <c r="C44" s="4">
        <v>28.046561975567599</v>
      </c>
      <c r="D44" s="37">
        <f>AVERAGE(C44:C45)</f>
        <v>27.539884721726402</v>
      </c>
      <c r="E44" s="37">
        <v>18.742090881478987</v>
      </c>
      <c r="F44" s="50">
        <f t="shared" ref="F44" si="30">D44-E44</f>
        <v>8.7977938402474152</v>
      </c>
      <c r="H44" s="37">
        <f t="shared" ref="H44:H46" si="31">F44-$G$2</f>
        <v>0.23047789261304885</v>
      </c>
      <c r="I44" s="49">
        <f>2^-(H44)</f>
        <v>0.85235250330369272</v>
      </c>
      <c r="K44" s="35">
        <f>I44/$J$2</f>
        <v>0.76993784451732383</v>
      </c>
      <c r="L44" s="37"/>
      <c r="M44" s="35"/>
    </row>
    <row r="45" spans="1:13" ht="16" x14ac:dyDescent="0.2">
      <c r="A45" s="26" t="s">
        <v>56</v>
      </c>
      <c r="B45" s="36"/>
      <c r="C45" s="4">
        <v>27.033207467885202</v>
      </c>
      <c r="D45" s="37"/>
      <c r="E45" s="37"/>
      <c r="F45" s="50"/>
      <c r="H45" s="37"/>
      <c r="I45" s="49"/>
      <c r="K45" s="35"/>
      <c r="L45" s="37"/>
      <c r="M45" s="35"/>
    </row>
    <row r="46" spans="1:13" ht="16" x14ac:dyDescent="0.2">
      <c r="A46" s="26" t="s">
        <v>56</v>
      </c>
      <c r="B46" s="36" t="s">
        <v>59</v>
      </c>
      <c r="C46" s="4">
        <v>28.022418674019999</v>
      </c>
      <c r="D46" s="37">
        <f>AVERAGE(C46:C47)</f>
        <v>28.280722499792851</v>
      </c>
      <c r="E46" s="37">
        <v>18.464510655682574</v>
      </c>
      <c r="F46" s="50">
        <f t="shared" ref="F46" si="32">D46-E46</f>
        <v>9.8162118441102777</v>
      </c>
      <c r="H46" s="37">
        <f t="shared" si="31"/>
        <v>1.2488958964759114</v>
      </c>
      <c r="I46" s="49">
        <f>2^-(H46)</f>
        <v>0.42077010242409402</v>
      </c>
      <c r="K46" s="35">
        <f>I46/$J$2</f>
        <v>0.38008549800939734</v>
      </c>
      <c r="L46" s="37"/>
      <c r="M46" s="35"/>
    </row>
    <row r="47" spans="1:13" ht="16" x14ac:dyDescent="0.2">
      <c r="A47" s="26" t="s">
        <v>56</v>
      </c>
      <c r="B47" s="36"/>
      <c r="C47" s="4">
        <v>28.5390263255657</v>
      </c>
      <c r="D47" s="37"/>
      <c r="E47" s="37"/>
      <c r="F47" s="50"/>
      <c r="H47" s="37"/>
      <c r="I47" s="49"/>
      <c r="K47" s="35"/>
      <c r="L47" s="37"/>
      <c r="M47" s="35"/>
    </row>
    <row r="48" spans="1:13" ht="16" x14ac:dyDescent="0.2">
      <c r="A48" s="26" t="s">
        <v>56</v>
      </c>
      <c r="B48" s="36" t="s">
        <v>60</v>
      </c>
      <c r="C48" s="4">
        <v>27.007006980422702</v>
      </c>
      <c r="D48" s="37">
        <f>AVERAGE(C48:C49)</f>
        <v>27.090884816044003</v>
      </c>
      <c r="E48" s="37">
        <v>18.873976007408302</v>
      </c>
      <c r="F48" s="50">
        <f t="shared" ref="F48" si="33">D48-E48</f>
        <v>8.2169088086357007</v>
      </c>
      <c r="H48" s="37">
        <f>F48-$G$2</f>
        <v>-0.3504071389986656</v>
      </c>
      <c r="I48" s="49">
        <f>2^-(H48)</f>
        <v>1.2749203683259809</v>
      </c>
      <c r="K48" s="35">
        <f>I48/$J$2</f>
        <v>1.1516472779929072</v>
      </c>
      <c r="L48" s="37"/>
      <c r="M48" s="35"/>
    </row>
    <row r="49" spans="1:13" ht="16" x14ac:dyDescent="0.2">
      <c r="A49" s="26" t="s">
        <v>56</v>
      </c>
      <c r="B49" s="36"/>
      <c r="C49" s="4">
        <v>27.174762651665301</v>
      </c>
      <c r="D49" s="37"/>
      <c r="E49" s="37"/>
      <c r="F49" s="50"/>
      <c r="H49" s="37"/>
      <c r="I49" s="49"/>
      <c r="K49" s="35"/>
      <c r="L49" s="37"/>
      <c r="M49" s="35"/>
    </row>
    <row r="50" spans="1:13" ht="16" x14ac:dyDescent="0.2">
      <c r="A50" s="26"/>
      <c r="C50" s="4"/>
      <c r="E50" s="25"/>
    </row>
    <row r="51" spans="1:13" ht="16" x14ac:dyDescent="0.2">
      <c r="C51" s="4"/>
    </row>
  </sheetData>
  <mergeCells count="186">
    <mergeCell ref="M42:M49"/>
    <mergeCell ref="I42:I43"/>
    <mergeCell ref="I44:I45"/>
    <mergeCell ref="I46:I47"/>
    <mergeCell ref="I48:I49"/>
    <mergeCell ref="K42:K43"/>
    <mergeCell ref="K44:K45"/>
    <mergeCell ref="K46:K47"/>
    <mergeCell ref="K48:K49"/>
    <mergeCell ref="L42:L49"/>
    <mergeCell ref="B42:B43"/>
    <mergeCell ref="B44:B45"/>
    <mergeCell ref="B46:B47"/>
    <mergeCell ref="B48:B49"/>
    <mergeCell ref="D42:D43"/>
    <mergeCell ref="D44:D45"/>
    <mergeCell ref="D46:D47"/>
    <mergeCell ref="D48:D49"/>
    <mergeCell ref="K38:K39"/>
    <mergeCell ref="F38:F39"/>
    <mergeCell ref="H38:H39"/>
    <mergeCell ref="I38:I39"/>
    <mergeCell ref="E42:E43"/>
    <mergeCell ref="E44:E45"/>
    <mergeCell ref="E46:E47"/>
    <mergeCell ref="E48:E49"/>
    <mergeCell ref="F42:F43"/>
    <mergeCell ref="F44:F45"/>
    <mergeCell ref="F46:F47"/>
    <mergeCell ref="F48:F49"/>
    <mergeCell ref="H42:H43"/>
    <mergeCell ref="H44:H45"/>
    <mergeCell ref="H46:H47"/>
    <mergeCell ref="H48:H49"/>
    <mergeCell ref="B34:B35"/>
    <mergeCell ref="J34:J41"/>
    <mergeCell ref="K34:K35"/>
    <mergeCell ref="L26:L33"/>
    <mergeCell ref="M26:M33"/>
    <mergeCell ref="L34:L41"/>
    <mergeCell ref="M34:M41"/>
    <mergeCell ref="B36:B37"/>
    <mergeCell ref="D36:D37"/>
    <mergeCell ref="E36:E37"/>
    <mergeCell ref="F36:F37"/>
    <mergeCell ref="H36:H37"/>
    <mergeCell ref="I36:I37"/>
    <mergeCell ref="K36:K37"/>
    <mergeCell ref="B38:B39"/>
    <mergeCell ref="K40:K41"/>
    <mergeCell ref="B40:B41"/>
    <mergeCell ref="D40:D41"/>
    <mergeCell ref="E40:E41"/>
    <mergeCell ref="F40:F41"/>
    <mergeCell ref="H40:H41"/>
    <mergeCell ref="I40:I41"/>
    <mergeCell ref="D38:D39"/>
    <mergeCell ref="E38:E39"/>
    <mergeCell ref="D32:D33"/>
    <mergeCell ref="E32:E33"/>
    <mergeCell ref="F32:F33"/>
    <mergeCell ref="H32:H33"/>
    <mergeCell ref="I32:I33"/>
    <mergeCell ref="D34:D35"/>
    <mergeCell ref="E34:E35"/>
    <mergeCell ref="F34:F35"/>
    <mergeCell ref="H34:H35"/>
    <mergeCell ref="I34:I35"/>
    <mergeCell ref="B26:B27"/>
    <mergeCell ref="D26:D27"/>
    <mergeCell ref="E26:E27"/>
    <mergeCell ref="F26:F27"/>
    <mergeCell ref="H26:H27"/>
    <mergeCell ref="I26:I27"/>
    <mergeCell ref="J26:J33"/>
    <mergeCell ref="K26:K27"/>
    <mergeCell ref="D30:D31"/>
    <mergeCell ref="E30:E31"/>
    <mergeCell ref="F30:F31"/>
    <mergeCell ref="H30:H31"/>
    <mergeCell ref="I30:I31"/>
    <mergeCell ref="K30:K31"/>
    <mergeCell ref="B28:B29"/>
    <mergeCell ref="D28:D29"/>
    <mergeCell ref="E28:E29"/>
    <mergeCell ref="F28:F29"/>
    <mergeCell ref="H28:H29"/>
    <mergeCell ref="I28:I29"/>
    <mergeCell ref="K28:K29"/>
    <mergeCell ref="B30:B31"/>
    <mergeCell ref="K32:K33"/>
    <mergeCell ref="B32:B33"/>
    <mergeCell ref="L10:L17"/>
    <mergeCell ref="M10:M17"/>
    <mergeCell ref="L18:L25"/>
    <mergeCell ref="M18:M25"/>
    <mergeCell ref="B20:B21"/>
    <mergeCell ref="D20:D21"/>
    <mergeCell ref="E20:E21"/>
    <mergeCell ref="F20:F21"/>
    <mergeCell ref="H20:H21"/>
    <mergeCell ref="I20:I21"/>
    <mergeCell ref="K20:K21"/>
    <mergeCell ref="B22:B23"/>
    <mergeCell ref="K24:K25"/>
    <mergeCell ref="B24:B25"/>
    <mergeCell ref="D24:D25"/>
    <mergeCell ref="E24:E25"/>
    <mergeCell ref="F24:F25"/>
    <mergeCell ref="H24:H25"/>
    <mergeCell ref="I24:I25"/>
    <mergeCell ref="B18:B19"/>
    <mergeCell ref="D18:D19"/>
    <mergeCell ref="E18:E19"/>
    <mergeCell ref="F18:F19"/>
    <mergeCell ref="H18:H19"/>
    <mergeCell ref="K18:K19"/>
    <mergeCell ref="D22:D23"/>
    <mergeCell ref="E22:E23"/>
    <mergeCell ref="F22:F23"/>
    <mergeCell ref="H22:H23"/>
    <mergeCell ref="I22:I23"/>
    <mergeCell ref="K22:K23"/>
    <mergeCell ref="I18:I19"/>
    <mergeCell ref="J18:J25"/>
    <mergeCell ref="K2:K3"/>
    <mergeCell ref="B12:B13"/>
    <mergeCell ref="D12:D13"/>
    <mergeCell ref="E12:E13"/>
    <mergeCell ref="F12:F13"/>
    <mergeCell ref="H12:H13"/>
    <mergeCell ref="I12:I13"/>
    <mergeCell ref="K12:K13"/>
    <mergeCell ref="B14:B15"/>
    <mergeCell ref="K8:K9"/>
    <mergeCell ref="B10:B11"/>
    <mergeCell ref="D10:D11"/>
    <mergeCell ref="E10:E11"/>
    <mergeCell ref="F10:F11"/>
    <mergeCell ref="H10:H11"/>
    <mergeCell ref="I10:I11"/>
    <mergeCell ref="J10:J17"/>
    <mergeCell ref="K10:K11"/>
    <mergeCell ref="B8:B9"/>
    <mergeCell ref="D8:D9"/>
    <mergeCell ref="E8:E9"/>
    <mergeCell ref="F8:F9"/>
    <mergeCell ref="H8:H9"/>
    <mergeCell ref="I8:I9"/>
    <mergeCell ref="D14:D15"/>
    <mergeCell ref="E14:E15"/>
    <mergeCell ref="F14:F15"/>
    <mergeCell ref="H14:H15"/>
    <mergeCell ref="I14:I15"/>
    <mergeCell ref="K14:K15"/>
    <mergeCell ref="K16:K17"/>
    <mergeCell ref="B16:B17"/>
    <mergeCell ref="D16:D17"/>
    <mergeCell ref="E16:E17"/>
    <mergeCell ref="F16:F17"/>
    <mergeCell ref="H16:H17"/>
    <mergeCell ref="I16:I17"/>
    <mergeCell ref="L2:L9"/>
    <mergeCell ref="M2:M9"/>
    <mergeCell ref="H4:H5"/>
    <mergeCell ref="I4:I5"/>
    <mergeCell ref="K4:K5"/>
    <mergeCell ref="K6:K7"/>
    <mergeCell ref="B2:B3"/>
    <mergeCell ref="D2:D3"/>
    <mergeCell ref="E2:E3"/>
    <mergeCell ref="F2:F3"/>
    <mergeCell ref="G2:G9"/>
    <mergeCell ref="B4:B5"/>
    <mergeCell ref="D4:D5"/>
    <mergeCell ref="E4:E5"/>
    <mergeCell ref="F4:F5"/>
    <mergeCell ref="B6:B7"/>
    <mergeCell ref="D6:D7"/>
    <mergeCell ref="E6:E7"/>
    <mergeCell ref="F6:F7"/>
    <mergeCell ref="H6:H7"/>
    <mergeCell ref="I6:I7"/>
    <mergeCell ref="H2:H3"/>
    <mergeCell ref="I2:I3"/>
    <mergeCell ref="J2:J9"/>
  </mergeCells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29-381B-4884-B735-6195F8A87CFB}">
  <dimension ref="A1:M52"/>
  <sheetViews>
    <sheetView topLeftCell="J8" workbookViewId="0">
      <selection activeCell="A2" sqref="A2:A17"/>
    </sheetView>
  </sheetViews>
  <sheetFormatPr baseColWidth="10" defaultColWidth="8.83203125" defaultRowHeight="15" x14ac:dyDescent="0.2"/>
  <cols>
    <col min="1" max="1" width="16.1640625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3" max="13" width="13.6640625" customWidth="1"/>
  </cols>
  <sheetData>
    <row r="1" spans="1:13" ht="16" x14ac:dyDescent="0.2">
      <c r="A1" s="2" t="s">
        <v>51</v>
      </c>
      <c r="B1" s="6" t="s">
        <v>2</v>
      </c>
      <c r="C1" s="3" t="s">
        <v>40</v>
      </c>
      <c r="D1" s="2" t="s">
        <v>4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 ht="16" x14ac:dyDescent="0.2">
      <c r="A2" s="34" t="s">
        <v>64</v>
      </c>
      <c r="B2" s="39">
        <v>1</v>
      </c>
      <c r="C2" s="4">
        <v>31.93</v>
      </c>
      <c r="D2" s="37">
        <f>AVERAGE(C2:C3)</f>
        <v>31.715</v>
      </c>
      <c r="E2" s="37">
        <v>17.190287859484446</v>
      </c>
      <c r="F2" s="50">
        <f>D2-E2</f>
        <v>14.524712140515554</v>
      </c>
      <c r="G2" s="37">
        <f>AVERAGE(F2:F9)</f>
        <v>14.587315947634366</v>
      </c>
      <c r="H2" s="37">
        <f>F2-$G$2</f>
        <v>-6.2603807118811972E-2</v>
      </c>
      <c r="I2" s="49">
        <f>2^-(H2)</f>
        <v>1.0443489244010267</v>
      </c>
      <c r="J2" s="37">
        <f>AVERAGE(I2:I9)</f>
        <v>1.0239530749462116</v>
      </c>
      <c r="K2" s="35">
        <f>I2/$J$2</f>
        <v>1.0199187345141636</v>
      </c>
      <c r="L2" s="37">
        <f>AVERAGE(K2:K9)</f>
        <v>0.99999999999999978</v>
      </c>
      <c r="M2" s="35">
        <f>STDEV(K2:K9)/4</f>
        <v>6.4936630400201312E-2</v>
      </c>
    </row>
    <row r="3" spans="1:13" ht="16" x14ac:dyDescent="0.2">
      <c r="A3" s="34" t="s">
        <v>64</v>
      </c>
      <c r="B3" s="39"/>
      <c r="C3" s="4">
        <v>31.5</v>
      </c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ht="16" x14ac:dyDescent="0.2">
      <c r="A4" s="34" t="s">
        <v>64</v>
      </c>
      <c r="B4" s="36" t="s">
        <v>9</v>
      </c>
      <c r="C4" s="4">
        <v>31.49</v>
      </c>
      <c r="D4" s="37">
        <f>AVERAGE(C4:C5)</f>
        <v>31.274999999999999</v>
      </c>
      <c r="E4" s="37">
        <v>17.164287644881519</v>
      </c>
      <c r="F4" s="50">
        <f t="shared" ref="F4" si="0">D4-E4</f>
        <v>14.11071235511848</v>
      </c>
      <c r="G4" s="37"/>
      <c r="H4" s="37">
        <f t="shared" ref="H4" si="1">F4-$G$2</f>
        <v>-0.47660359251588602</v>
      </c>
      <c r="I4" s="49">
        <f>2^-(H4)</f>
        <v>1.3914640085016059</v>
      </c>
      <c r="J4" s="37"/>
      <c r="K4" s="35">
        <f>I4/$J$2</f>
        <v>1.3589138433660153</v>
      </c>
      <c r="L4" s="37"/>
      <c r="M4" s="35"/>
    </row>
    <row r="5" spans="1:13" ht="16" x14ac:dyDescent="0.2">
      <c r="A5" s="34" t="s">
        <v>64</v>
      </c>
      <c r="B5" s="36"/>
      <c r="C5" s="4">
        <v>31.06</v>
      </c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ht="16" x14ac:dyDescent="0.2">
      <c r="A6" s="34" t="s">
        <v>64</v>
      </c>
      <c r="B6" s="36" t="s">
        <v>10</v>
      </c>
      <c r="C6" s="4">
        <v>30.38</v>
      </c>
      <c r="D6" s="37">
        <f>AVERAGE(C6:C7)</f>
        <v>30.715</v>
      </c>
      <c r="E6" s="37">
        <v>15.905719176330518</v>
      </c>
      <c r="F6" s="50">
        <f t="shared" ref="F6" si="2">D6-E6</f>
        <v>14.809280823669482</v>
      </c>
      <c r="G6" s="37"/>
      <c r="H6" s="37">
        <f t="shared" ref="H6" si="3">F6-$G$2</f>
        <v>0.22196487603511628</v>
      </c>
      <c r="I6" s="49">
        <f>2^-(H6)</f>
        <v>0.85739691063147305</v>
      </c>
      <c r="J6" s="37"/>
      <c r="K6" s="35">
        <f>I6/$J$2</f>
        <v>0.83734004185349242</v>
      </c>
      <c r="L6" s="37"/>
      <c r="M6" s="35"/>
    </row>
    <row r="7" spans="1:13" ht="16" x14ac:dyDescent="0.2">
      <c r="A7" s="34" t="s">
        <v>64</v>
      </c>
      <c r="B7" s="36"/>
      <c r="C7" s="4">
        <v>31.05</v>
      </c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ht="16" x14ac:dyDescent="0.2">
      <c r="A8" s="34" t="s">
        <v>64</v>
      </c>
      <c r="B8" s="36" t="s">
        <v>11</v>
      </c>
      <c r="C8" s="4">
        <v>30.54</v>
      </c>
      <c r="D8" s="37">
        <f>AVERAGE(C8:C9)</f>
        <v>30.954999999999998</v>
      </c>
      <c r="E8" s="37">
        <v>16.050441528766051</v>
      </c>
      <c r="F8" s="50">
        <f t="shared" ref="F8" si="4">D8-E8</f>
        <v>14.904558471233948</v>
      </c>
      <c r="G8" s="37"/>
      <c r="H8" s="37">
        <f t="shared" ref="H8:H48" si="5">F8-$G$2</f>
        <v>0.31724252359958172</v>
      </c>
      <c r="I8" s="49">
        <f>2^-(H8)</f>
        <v>0.80260245625074011</v>
      </c>
      <c r="J8" s="37"/>
      <c r="K8" s="35">
        <f>I8/$J$2</f>
        <v>0.78382738026632803</v>
      </c>
      <c r="L8" s="37"/>
      <c r="M8" s="35"/>
    </row>
    <row r="9" spans="1:13" ht="15" customHeight="1" x14ac:dyDescent="0.2">
      <c r="A9" s="34" t="s">
        <v>64</v>
      </c>
      <c r="B9" s="36"/>
      <c r="C9" s="4">
        <v>31.37</v>
      </c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4" t="s">
        <v>63</v>
      </c>
      <c r="B10" s="36" t="s">
        <v>13</v>
      </c>
      <c r="C10" s="4">
        <v>31.88</v>
      </c>
      <c r="D10" s="37">
        <f>AVERAGE(C10:C11)</f>
        <v>31.954999999999998</v>
      </c>
      <c r="E10" s="37">
        <v>17.143829345000096</v>
      </c>
      <c r="F10" s="50">
        <f t="shared" ref="F10" si="6">D10-E10</f>
        <v>14.811170654999902</v>
      </c>
      <c r="G10" s="8"/>
      <c r="H10" s="37">
        <f t="shared" si="5"/>
        <v>0.22385470736553614</v>
      </c>
      <c r="I10" s="49">
        <f>2^-(H10)</f>
        <v>0.85627451490848494</v>
      </c>
      <c r="J10" s="37"/>
      <c r="K10" s="35">
        <f>I10/$J$2</f>
        <v>0.83624390204938359</v>
      </c>
      <c r="L10" s="37">
        <f t="shared" ref="L10" si="7">AVERAGE(K10:K17)</f>
        <v>2.1313842496866662</v>
      </c>
      <c r="M10" s="35">
        <f t="shared" ref="M10" si="8">STDEV(K10:K17)/4</f>
        <v>0.25415696874809818</v>
      </c>
    </row>
    <row r="11" spans="1:13" ht="15" customHeight="1" x14ac:dyDescent="0.2">
      <c r="A11" s="34" t="s">
        <v>63</v>
      </c>
      <c r="B11" s="36"/>
      <c r="C11" s="4">
        <v>32.03</v>
      </c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4" t="s">
        <v>63</v>
      </c>
      <c r="B12" s="36" t="s">
        <v>14</v>
      </c>
      <c r="C12" s="4">
        <v>30.83</v>
      </c>
      <c r="D12" s="37">
        <f>AVERAGE(C12:C13)</f>
        <v>30.93</v>
      </c>
      <c r="E12" s="37">
        <v>17.978019717604003</v>
      </c>
      <c r="F12" s="50">
        <f t="shared" ref="F12" si="9">D12-E12</f>
        <v>12.951980282395997</v>
      </c>
      <c r="G12" s="8"/>
      <c r="H12" s="37">
        <f t="shared" si="5"/>
        <v>-1.6353356652383688</v>
      </c>
      <c r="I12" s="49">
        <f>2^-(H12)</f>
        <v>3.1065982138839194</v>
      </c>
      <c r="J12" s="37"/>
      <c r="K12" s="35">
        <f>I12/$J$2</f>
        <v>3.033926348672872</v>
      </c>
      <c r="L12" s="37"/>
      <c r="M12" s="35"/>
    </row>
    <row r="13" spans="1:13" ht="15" customHeight="1" x14ac:dyDescent="0.2">
      <c r="A13" s="34" t="s">
        <v>63</v>
      </c>
      <c r="B13" s="36"/>
      <c r="C13" s="4">
        <v>31.03</v>
      </c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4" t="s">
        <v>63</v>
      </c>
      <c r="B14" s="36" t="s">
        <v>15</v>
      </c>
      <c r="C14" s="4">
        <v>31.76</v>
      </c>
      <c r="D14" s="37">
        <f>AVERAGE(C14:C15)</f>
        <v>31.67</v>
      </c>
      <c r="E14" s="37">
        <v>17.974532197115273</v>
      </c>
      <c r="F14" s="50">
        <f t="shared" ref="F14" si="10">D14-E14</f>
        <v>13.695467802884728</v>
      </c>
      <c r="G14" s="8"/>
      <c r="H14" s="37">
        <f t="shared" si="5"/>
        <v>-0.89184814474963758</v>
      </c>
      <c r="I14" s="49">
        <f>2^-(H14)</f>
        <v>1.8555516309378688</v>
      </c>
      <c r="J14" s="37"/>
      <c r="K14" s="35">
        <f>I14/$J$2</f>
        <v>1.8121451815898313</v>
      </c>
      <c r="L14" s="37"/>
      <c r="M14" s="35"/>
    </row>
    <row r="15" spans="1:13" ht="15" customHeight="1" x14ac:dyDescent="0.2">
      <c r="A15" s="34" t="s">
        <v>63</v>
      </c>
      <c r="B15" s="36"/>
      <c r="C15" s="4">
        <v>31.58</v>
      </c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4" t="s">
        <v>63</v>
      </c>
      <c r="B16" s="36" t="s">
        <v>16</v>
      </c>
      <c r="C16" s="4">
        <v>30.21</v>
      </c>
      <c r="D16" s="37">
        <f>AVERAGE(C16:C17)</f>
        <v>30.365000000000002</v>
      </c>
      <c r="E16" s="37">
        <v>17.319360183997457</v>
      </c>
      <c r="F16" s="50">
        <f t="shared" ref="F16" si="11">D16-E16</f>
        <v>13.045639816002545</v>
      </c>
      <c r="G16" s="8"/>
      <c r="H16" s="37">
        <f t="shared" si="5"/>
        <v>-1.5416761316318208</v>
      </c>
      <c r="I16" s="49">
        <f>2^-(H16)</f>
        <v>2.9113254657040692</v>
      </c>
      <c r="J16" s="37"/>
      <c r="K16" s="35">
        <f>I16/$J$2</f>
        <v>2.8432215664345768</v>
      </c>
      <c r="L16" s="37"/>
      <c r="M16" s="35"/>
    </row>
    <row r="17" spans="1:13" ht="15" customHeight="1" x14ac:dyDescent="0.2">
      <c r="A17" s="34" t="s">
        <v>63</v>
      </c>
      <c r="B17" s="36"/>
      <c r="C17" s="4">
        <v>30.52</v>
      </c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19" t="s">
        <v>53</v>
      </c>
      <c r="B18" s="36" t="s">
        <v>18</v>
      </c>
      <c r="C18" s="4">
        <v>32.729999999999997</v>
      </c>
      <c r="D18" s="37">
        <f>AVERAGE(C18:C19)</f>
        <v>32.43</v>
      </c>
      <c r="E18" s="37">
        <v>19.205252186246113</v>
      </c>
      <c r="F18" s="50">
        <f t="shared" ref="F18" si="12">D18-E18</f>
        <v>13.224747813753886</v>
      </c>
      <c r="G18" s="8"/>
      <c r="H18" s="37">
        <f t="shared" si="5"/>
        <v>-1.3625681338804796</v>
      </c>
      <c r="I18" s="49">
        <f>2^-(H18)</f>
        <v>2.57142510380607</v>
      </c>
      <c r="J18" s="37"/>
      <c r="K18" s="35">
        <f>I18/$J$2</f>
        <v>2.5112724076160888</v>
      </c>
      <c r="L18" s="37">
        <f t="shared" ref="L18" si="13">AVERAGE(K18:K25)</f>
        <v>1.7810478896920423</v>
      </c>
      <c r="M18" s="35">
        <f t="shared" ref="M18" si="14">STDEV(K18:K25)/4</f>
        <v>0.13498838361253962</v>
      </c>
    </row>
    <row r="19" spans="1:13" ht="15" customHeight="1" x14ac:dyDescent="0.2">
      <c r="A19" s="19" t="s">
        <v>53</v>
      </c>
      <c r="B19" s="36"/>
      <c r="C19" s="4">
        <v>32.130000000000003</v>
      </c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19" t="s">
        <v>53</v>
      </c>
      <c r="B20" s="36" t="s">
        <v>19</v>
      </c>
      <c r="C20" s="4">
        <v>31.42</v>
      </c>
      <c r="D20" s="37">
        <f>AVERAGE(C20:C21)</f>
        <v>31.234999999999999</v>
      </c>
      <c r="E20" s="37">
        <v>17.51825332356341</v>
      </c>
      <c r="F20" s="50">
        <f t="shared" ref="F20" si="15">D20-E20</f>
        <v>13.716746676436589</v>
      </c>
      <c r="G20" s="8"/>
      <c r="H20" s="37">
        <f t="shared" si="5"/>
        <v>-0.87056927119777683</v>
      </c>
      <c r="I20" s="49">
        <f>2^-(H20)</f>
        <v>1.8283842179362391</v>
      </c>
      <c r="J20" s="37"/>
      <c r="K20" s="35">
        <f>I20/$J$2</f>
        <v>1.7856132889998737</v>
      </c>
      <c r="L20" s="37"/>
      <c r="M20" s="35"/>
    </row>
    <row r="21" spans="1:13" ht="15" customHeight="1" x14ac:dyDescent="0.2">
      <c r="A21" s="20" t="s">
        <v>53</v>
      </c>
      <c r="B21" s="36"/>
      <c r="C21" s="4">
        <v>31.05</v>
      </c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20" t="s">
        <v>53</v>
      </c>
      <c r="B22" s="36" t="s">
        <v>20</v>
      </c>
      <c r="C22" s="4">
        <v>31.83</v>
      </c>
      <c r="D22" s="37">
        <f>AVERAGE(C22:C23)</f>
        <v>31.71</v>
      </c>
      <c r="E22" s="37">
        <v>17.449205574599276</v>
      </c>
      <c r="F22" s="50">
        <f t="shared" ref="F22" si="16">D22-E22</f>
        <v>14.260794425400725</v>
      </c>
      <c r="G22" s="8"/>
      <c r="H22" s="37">
        <f t="shared" si="5"/>
        <v>-0.32652152223364084</v>
      </c>
      <c r="I22" s="49">
        <f>2^-(H22)</f>
        <v>1.2539862440937957</v>
      </c>
      <c r="J22" s="37"/>
      <c r="K22" s="35">
        <f>I22/$J$2</f>
        <v>1.2246520614820828</v>
      </c>
      <c r="L22" s="37"/>
      <c r="M22" s="35"/>
    </row>
    <row r="23" spans="1:13" ht="15" customHeight="1" x14ac:dyDescent="0.2">
      <c r="A23" s="20" t="s">
        <v>53</v>
      </c>
      <c r="B23" s="36"/>
      <c r="C23" s="4">
        <v>31.59</v>
      </c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20" t="s">
        <v>53</v>
      </c>
      <c r="B24" s="36" t="s">
        <v>21</v>
      </c>
      <c r="C24" s="4">
        <v>30.24</v>
      </c>
      <c r="D24" s="37">
        <f>AVERAGE(C24:C25)</f>
        <v>30.765000000000001</v>
      </c>
      <c r="E24" s="37">
        <v>16.892296467846915</v>
      </c>
      <c r="F24" s="50">
        <f t="shared" ref="F24" si="17">D24-E24</f>
        <v>13.872703532153086</v>
      </c>
      <c r="G24" s="8"/>
      <c r="H24" s="37">
        <f t="shared" si="5"/>
        <v>-0.71461241548128029</v>
      </c>
      <c r="I24" s="49">
        <f>2^-(H24)</f>
        <v>1.6410422872704069</v>
      </c>
      <c r="J24" s="37"/>
      <c r="K24" s="35">
        <f>I24/$J$2</f>
        <v>1.6026538006701245</v>
      </c>
      <c r="L24" s="37"/>
      <c r="M24" s="35"/>
    </row>
    <row r="25" spans="1:13" ht="15" customHeight="1" x14ac:dyDescent="0.2">
      <c r="A25" s="20" t="s">
        <v>53</v>
      </c>
      <c r="B25" s="36"/>
      <c r="C25" s="4">
        <v>31.29</v>
      </c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19" t="s">
        <v>54</v>
      </c>
      <c r="B26" s="36" t="s">
        <v>23</v>
      </c>
      <c r="C26" s="4">
        <v>31.8</v>
      </c>
      <c r="D26" s="37">
        <f>AVERAGE(C26:C27)</f>
        <v>31.515000000000001</v>
      </c>
      <c r="E26" s="37">
        <v>17.460951826505497</v>
      </c>
      <c r="F26" s="50">
        <f t="shared" ref="F26" si="18">D26-E26</f>
        <v>14.054048173494504</v>
      </c>
      <c r="G26" s="8"/>
      <c r="H26" s="37">
        <f t="shared" si="5"/>
        <v>-0.53326777413986193</v>
      </c>
      <c r="I26" s="49">
        <f>2^-(H26)</f>
        <v>1.4472034718797651</v>
      </c>
      <c r="J26" s="37"/>
      <c r="K26" s="35">
        <f>I26/$J$2</f>
        <v>1.413349407594471</v>
      </c>
      <c r="L26" s="37">
        <f t="shared" ref="L26" si="19">AVERAGE(K26:K33)</f>
        <v>1.9853060755646372</v>
      </c>
      <c r="M26" s="35">
        <f t="shared" ref="M26" si="20">STDEV(K26:K33)/4</f>
        <v>9.9257569574639895E-2</v>
      </c>
    </row>
    <row r="27" spans="1:13" ht="15" customHeight="1" x14ac:dyDescent="0.2">
      <c r="A27" s="19" t="s">
        <v>54</v>
      </c>
      <c r="B27" s="36"/>
      <c r="C27" s="4">
        <v>31.23</v>
      </c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19" t="s">
        <v>54</v>
      </c>
      <c r="B28" s="36" t="s">
        <v>24</v>
      </c>
      <c r="C28" s="4">
        <v>31.28</v>
      </c>
      <c r="D28" s="37">
        <f>AVERAGE(C28:C29)</f>
        <v>31.344999999999999</v>
      </c>
      <c r="E28" s="37">
        <v>17.810378746674107</v>
      </c>
      <c r="F28" s="50">
        <f t="shared" ref="F28" si="21">D28-E28</f>
        <v>13.534621253325891</v>
      </c>
      <c r="G28" s="8"/>
      <c r="H28" s="37">
        <f t="shared" si="5"/>
        <v>-1.0526946943084745</v>
      </c>
      <c r="I28" s="49">
        <f>2^-(H28)</f>
        <v>2.0744008382818357</v>
      </c>
      <c r="J28" s="37"/>
      <c r="K28" s="35">
        <f>I28/$J$2</f>
        <v>2.0258749048542137</v>
      </c>
      <c r="L28" s="37"/>
      <c r="M28" s="35"/>
    </row>
    <row r="29" spans="1:13" ht="15" customHeight="1" x14ac:dyDescent="0.2">
      <c r="A29" s="19" t="s">
        <v>54</v>
      </c>
      <c r="B29" s="36"/>
      <c r="C29" s="4">
        <v>31.41</v>
      </c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19" t="s">
        <v>54</v>
      </c>
      <c r="B30" s="36" t="s">
        <v>25</v>
      </c>
      <c r="C30" s="4">
        <v>30.8</v>
      </c>
      <c r="D30" s="37">
        <f>AVERAGE(C30:C31)</f>
        <v>30.995000000000001</v>
      </c>
      <c r="E30" s="37">
        <v>17.636734292930214</v>
      </c>
      <c r="F30" s="50">
        <f>D30-E30</f>
        <v>13.358265707069787</v>
      </c>
      <c r="G30" s="8"/>
      <c r="H30" s="37">
        <f t="shared" si="5"/>
        <v>-1.2290502405645789</v>
      </c>
      <c r="I30" s="49">
        <f>2^-(H30)</f>
        <v>2.3441261980261268</v>
      </c>
      <c r="J30" s="37"/>
      <c r="K30" s="35">
        <f>I30/$J$2</f>
        <v>2.2892906475711929</v>
      </c>
      <c r="L30" s="37"/>
      <c r="M30" s="35"/>
    </row>
    <row r="31" spans="1:13" ht="15" customHeight="1" x14ac:dyDescent="0.2">
      <c r="A31" s="19" t="s">
        <v>54</v>
      </c>
      <c r="B31" s="36"/>
      <c r="C31" s="4">
        <v>31.19</v>
      </c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19" t="s">
        <v>54</v>
      </c>
      <c r="B32" s="36" t="s">
        <v>26</v>
      </c>
      <c r="C32" s="4">
        <v>31.9</v>
      </c>
      <c r="D32" s="37">
        <f>AVERAGE(C32:C33)</f>
        <v>31.805</v>
      </c>
      <c r="E32" s="37">
        <v>18.397647607932122</v>
      </c>
      <c r="F32" s="50">
        <f t="shared" ref="F32" si="22">D32-E32</f>
        <v>13.407352392067878</v>
      </c>
      <c r="G32" s="8"/>
      <c r="H32" s="37">
        <f t="shared" si="5"/>
        <v>-1.1799635555664878</v>
      </c>
      <c r="I32" s="49">
        <f>2^-(H32)</f>
        <v>2.2657105349474973</v>
      </c>
      <c r="J32" s="37"/>
      <c r="K32" s="35">
        <f>I32/$J$2</f>
        <v>2.2127093422386719</v>
      </c>
      <c r="L32" s="37"/>
      <c r="M32" s="35"/>
    </row>
    <row r="33" spans="1:13" ht="15" customHeight="1" x14ac:dyDescent="0.2">
      <c r="A33" s="19" t="s">
        <v>54</v>
      </c>
      <c r="B33" s="36"/>
      <c r="C33" s="4">
        <v>31.71</v>
      </c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19" t="s">
        <v>55</v>
      </c>
      <c r="B34" s="36" t="s">
        <v>28</v>
      </c>
      <c r="C34" s="4">
        <v>31.13</v>
      </c>
      <c r="D34" s="37">
        <f>AVERAGE(C34:C35)</f>
        <v>30.895</v>
      </c>
      <c r="E34" s="37">
        <v>16.509506697394823</v>
      </c>
      <c r="F34" s="50">
        <f>D34-E34</f>
        <v>14.385493302605177</v>
      </c>
      <c r="G34" s="8"/>
      <c r="H34" s="37">
        <f>F34-$G$2</f>
        <v>-0.20182264502918912</v>
      </c>
      <c r="I34" s="49">
        <f>2^-(H34)</f>
        <v>1.1501504930961428</v>
      </c>
      <c r="J34" s="37"/>
      <c r="K34" s="35">
        <f>I34/$J$2</f>
        <v>1.1232453139090972</v>
      </c>
      <c r="L34" s="37">
        <f t="shared" ref="L34" si="23">AVERAGE(K34:K41)</f>
        <v>4.6015091353264523</v>
      </c>
      <c r="M34" s="35">
        <f t="shared" ref="M34" si="24">STDEV(K34:K41)/4</f>
        <v>0.72386771979131503</v>
      </c>
    </row>
    <row r="35" spans="1:13" ht="15" customHeight="1" x14ac:dyDescent="0.2">
      <c r="A35" s="19" t="s">
        <v>55</v>
      </c>
      <c r="B35" s="36"/>
      <c r="C35" s="4">
        <v>30.66</v>
      </c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19" t="s">
        <v>55</v>
      </c>
      <c r="B36" s="36" t="s">
        <v>29</v>
      </c>
      <c r="C36" s="4"/>
      <c r="D36" s="37">
        <f>AVERAGE(C36:C37)</f>
        <v>30.34</v>
      </c>
      <c r="E36" s="37">
        <v>18.343164352268513</v>
      </c>
      <c r="F36" s="50">
        <f t="shared" ref="F36" si="25">D36-E36</f>
        <v>11.996835647731487</v>
      </c>
      <c r="G36" s="8"/>
      <c r="H36" s="37">
        <f t="shared" si="5"/>
        <v>-2.5904802999028789</v>
      </c>
      <c r="I36" s="49">
        <f>2^-(H36)</f>
        <v>6.0229918214472011</v>
      </c>
      <c r="J36" s="37"/>
      <c r="K36" s="35">
        <f>I36/$J$2</f>
        <v>5.8820974992077542</v>
      </c>
      <c r="L36" s="37"/>
      <c r="M36" s="35"/>
    </row>
    <row r="37" spans="1:13" ht="15" customHeight="1" x14ac:dyDescent="0.2">
      <c r="A37" s="19" t="s">
        <v>55</v>
      </c>
      <c r="B37" s="36"/>
      <c r="C37" s="4">
        <v>30.34</v>
      </c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19" t="s">
        <v>55</v>
      </c>
      <c r="B38" s="36" t="s">
        <v>30</v>
      </c>
      <c r="C38" s="4">
        <v>30.2</v>
      </c>
      <c r="D38" s="37">
        <f>AVERAGE(C38:C39)</f>
        <v>30.22</v>
      </c>
      <c r="E38" s="37">
        <v>17.506489233409525</v>
      </c>
      <c r="F38" s="50">
        <f t="shared" ref="F38" si="26">D38-E38</f>
        <v>12.713510766590474</v>
      </c>
      <c r="G38" s="8"/>
      <c r="H38" s="37">
        <f t="shared" si="5"/>
        <v>-1.8738051810438918</v>
      </c>
      <c r="I38" s="49">
        <f>2^-(H38)</f>
        <v>3.664979632994005</v>
      </c>
      <c r="J38" s="37"/>
      <c r="K38" s="35">
        <f>I38/$J$2</f>
        <v>3.5792456926666558</v>
      </c>
      <c r="L38" s="37"/>
      <c r="M38" s="35"/>
    </row>
    <row r="39" spans="1:13" ht="15" customHeight="1" x14ac:dyDescent="0.2">
      <c r="A39" s="19" t="s">
        <v>55</v>
      </c>
      <c r="B39" s="36"/>
      <c r="C39" s="4">
        <v>30.24</v>
      </c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19" t="s">
        <v>55</v>
      </c>
      <c r="B40" s="36" t="s">
        <v>31</v>
      </c>
      <c r="C40" s="4">
        <v>30.28</v>
      </c>
      <c r="D40" s="37">
        <f>AVERAGE(C40:C41)</f>
        <v>30.295000000000002</v>
      </c>
      <c r="E40" s="37">
        <v>18.70926938210307</v>
      </c>
      <c r="F40" s="50">
        <f t="shared" ref="F40" si="27">D40-E40</f>
        <v>11.585730617896932</v>
      </c>
      <c r="G40" s="8"/>
      <c r="H40" s="37">
        <f t="shared" si="5"/>
        <v>-3.0015853297374342</v>
      </c>
      <c r="I40" s="49">
        <f>2^-(H40)</f>
        <v>8.0087957665050649</v>
      </c>
      <c r="J40" s="37"/>
      <c r="K40" s="35">
        <f>I40/$J$2</f>
        <v>7.8214480355222999</v>
      </c>
      <c r="L40" s="37"/>
      <c r="M40" s="35"/>
    </row>
    <row r="41" spans="1:13" ht="15" customHeight="1" x14ac:dyDescent="0.2">
      <c r="A41" s="19" t="s">
        <v>55</v>
      </c>
      <c r="B41" s="36"/>
      <c r="C41" s="4">
        <v>30.31</v>
      </c>
      <c r="D41" s="37"/>
      <c r="E41" s="37"/>
      <c r="F41" s="50"/>
      <c r="G41" s="8"/>
      <c r="H41" s="37"/>
      <c r="I41" s="49"/>
      <c r="J41" s="37"/>
      <c r="K41" s="35"/>
      <c r="L41" s="37"/>
      <c r="M41" s="35"/>
    </row>
    <row r="42" spans="1:13" s="29" customFormat="1" ht="16" x14ac:dyDescent="0.2">
      <c r="A42" s="33" t="s">
        <v>56</v>
      </c>
      <c r="B42" s="36" t="s">
        <v>57</v>
      </c>
      <c r="C42" s="31">
        <v>29.0281212407879</v>
      </c>
      <c r="D42" s="37">
        <f>AVERAGE(C42:C43)</f>
        <v>28.861979003107251</v>
      </c>
      <c r="E42" s="37">
        <v>17.216022097920501</v>
      </c>
      <c r="F42" s="50">
        <f>D42-E42</f>
        <v>11.64595690518675</v>
      </c>
      <c r="H42" s="37">
        <f>F42-$G$2</f>
        <v>-2.9413590424476155</v>
      </c>
      <c r="I42" s="49">
        <f>2^-(H42)</f>
        <v>7.6813455012281766</v>
      </c>
      <c r="K42" s="35">
        <f>I42/$J$2</f>
        <v>7.501657731367894</v>
      </c>
      <c r="L42" s="37">
        <f t="shared" ref="L42" si="28">AVERAGE(K42:K49)</f>
        <v>17.942925334943702</v>
      </c>
      <c r="M42" s="35">
        <f t="shared" ref="M42" si="29">STDEV(K42:K49)/4</f>
        <v>2.0666773483639425</v>
      </c>
    </row>
    <row r="43" spans="1:13" ht="16" x14ac:dyDescent="0.2">
      <c r="A43" s="32" t="s">
        <v>56</v>
      </c>
      <c r="B43" s="36"/>
      <c r="C43" s="4">
        <v>28.695836765426598</v>
      </c>
      <c r="D43" s="37"/>
      <c r="E43" s="37"/>
      <c r="F43" s="50"/>
      <c r="H43" s="37"/>
      <c r="I43" s="49"/>
      <c r="K43" s="35"/>
      <c r="L43" s="37"/>
      <c r="M43" s="35"/>
    </row>
    <row r="44" spans="1:13" ht="16" x14ac:dyDescent="0.2">
      <c r="A44" s="32" t="s">
        <v>56</v>
      </c>
      <c r="B44" s="36" t="s">
        <v>58</v>
      </c>
      <c r="C44" s="4">
        <v>28.9017180838594</v>
      </c>
      <c r="D44" s="37">
        <f>AVERAGE(C44:C45)</f>
        <v>29.1566359312998</v>
      </c>
      <c r="E44" s="37">
        <v>18.742090881478987</v>
      </c>
      <c r="F44" s="50">
        <f t="shared" ref="F44" si="30">D44-E44</f>
        <v>10.414545049820813</v>
      </c>
      <c r="H44" s="37">
        <f t="shared" si="5"/>
        <v>-4.1727708978135531</v>
      </c>
      <c r="I44" s="49">
        <f>2^-(H44)</f>
        <v>18.035542295111476</v>
      </c>
      <c r="K44" s="35">
        <f>I44/$J$2</f>
        <v>17.613641422053337</v>
      </c>
      <c r="L44" s="37"/>
      <c r="M44" s="35"/>
    </row>
    <row r="45" spans="1:13" ht="16" x14ac:dyDescent="0.2">
      <c r="A45" s="32" t="s">
        <v>56</v>
      </c>
      <c r="B45" s="36"/>
      <c r="C45" s="4">
        <v>29.411553778740199</v>
      </c>
      <c r="D45" s="37"/>
      <c r="E45" s="37"/>
      <c r="F45" s="50"/>
      <c r="H45" s="37"/>
      <c r="I45" s="49"/>
      <c r="K45" s="35"/>
      <c r="L45" s="37"/>
      <c r="M45" s="35"/>
    </row>
    <row r="46" spans="1:13" ht="16" x14ac:dyDescent="0.2">
      <c r="A46" s="32" t="s">
        <v>56</v>
      </c>
      <c r="B46" s="36" t="s">
        <v>59</v>
      </c>
      <c r="C46" s="4">
        <v>28.904795489506</v>
      </c>
      <c r="D46" s="37">
        <f>AVERAGE(C46:C47)</f>
        <v>28.771578480222249</v>
      </c>
      <c r="E46" s="37">
        <v>18.464510655682574</v>
      </c>
      <c r="F46" s="50">
        <f>D46-E46</f>
        <v>10.307067824539676</v>
      </c>
      <c r="H46" s="37">
        <f t="shared" si="5"/>
        <v>-4.2802481230946903</v>
      </c>
      <c r="I46" s="49">
        <f>2^-(H46)</f>
        <v>19.430459626569419</v>
      </c>
      <c r="K46" s="35">
        <f>I46/$J$2</f>
        <v>18.975927805666391</v>
      </c>
      <c r="L46" s="37"/>
      <c r="M46" s="35"/>
    </row>
    <row r="47" spans="1:13" ht="16" x14ac:dyDescent="0.2">
      <c r="A47" s="32" t="s">
        <v>56</v>
      </c>
      <c r="B47" s="36"/>
      <c r="C47" s="4">
        <v>28.638361470938499</v>
      </c>
      <c r="D47" s="37"/>
      <c r="E47" s="37"/>
      <c r="F47" s="50"/>
      <c r="H47" s="37"/>
      <c r="I47" s="49"/>
      <c r="K47" s="35"/>
      <c r="L47" s="37"/>
      <c r="M47" s="35"/>
    </row>
    <row r="48" spans="1:13" ht="16" x14ac:dyDescent="0.2">
      <c r="A48" s="32" t="s">
        <v>56</v>
      </c>
      <c r="B48" s="36" t="s">
        <v>60</v>
      </c>
      <c r="C48" s="4">
        <v>28.5496659766882</v>
      </c>
      <c r="D48" s="37">
        <f>AVERAGE(C48:C49)</f>
        <v>28.6363455904755</v>
      </c>
      <c r="E48" s="37">
        <v>18.873976007408299</v>
      </c>
      <c r="F48" s="50">
        <f t="shared" ref="F48" si="31">D48-E48</f>
        <v>9.7623695830672013</v>
      </c>
      <c r="H48" s="37">
        <f t="shared" si="5"/>
        <v>-4.8249463645671646</v>
      </c>
      <c r="I48" s="49">
        <f>2^-(H48)</f>
        <v>28.343506858074484</v>
      </c>
      <c r="K48" s="35">
        <f>I48/$J$2</f>
        <v>27.680474380687194</v>
      </c>
      <c r="L48" s="37"/>
      <c r="M48" s="35"/>
    </row>
    <row r="49" spans="1:13" ht="16" x14ac:dyDescent="0.2">
      <c r="A49" s="32" t="s">
        <v>56</v>
      </c>
      <c r="B49" s="36"/>
      <c r="C49" s="4">
        <v>28.7230252042628</v>
      </c>
      <c r="D49" s="37"/>
      <c r="E49" s="37"/>
      <c r="F49" s="50"/>
      <c r="H49" s="37"/>
      <c r="I49" s="49"/>
      <c r="K49" s="35"/>
      <c r="L49" s="37"/>
      <c r="M49" s="35"/>
    </row>
    <row r="50" spans="1:13" ht="16" x14ac:dyDescent="0.2">
      <c r="C50" s="4"/>
    </row>
    <row r="51" spans="1:13" ht="16" x14ac:dyDescent="0.2">
      <c r="C51" s="4"/>
    </row>
    <row r="52" spans="1:13" ht="16" x14ac:dyDescent="0.2">
      <c r="C52" s="4"/>
    </row>
  </sheetData>
  <mergeCells count="186">
    <mergeCell ref="K42:K43"/>
    <mergeCell ref="K44:K45"/>
    <mergeCell ref="K46:K47"/>
    <mergeCell ref="K48:K49"/>
    <mergeCell ref="L42:L49"/>
    <mergeCell ref="M42:M49"/>
    <mergeCell ref="F42:F43"/>
    <mergeCell ref="F44:F45"/>
    <mergeCell ref="F46:F47"/>
    <mergeCell ref="F48:F49"/>
    <mergeCell ref="H42:H43"/>
    <mergeCell ref="H44:H45"/>
    <mergeCell ref="H46:H47"/>
    <mergeCell ref="H48:H49"/>
    <mergeCell ref="I42:I43"/>
    <mergeCell ref="I44:I45"/>
    <mergeCell ref="I46:I47"/>
    <mergeCell ref="I48:I49"/>
    <mergeCell ref="B42:B43"/>
    <mergeCell ref="B44:B45"/>
    <mergeCell ref="B46:B47"/>
    <mergeCell ref="B48:B49"/>
    <mergeCell ref="D42:D43"/>
    <mergeCell ref="D44:D45"/>
    <mergeCell ref="D46:D47"/>
    <mergeCell ref="D48:D49"/>
    <mergeCell ref="E42:E43"/>
    <mergeCell ref="E44:E45"/>
    <mergeCell ref="E46:E47"/>
    <mergeCell ref="E48:E49"/>
    <mergeCell ref="K38:K39"/>
    <mergeCell ref="B34:B35"/>
    <mergeCell ref="J34:J41"/>
    <mergeCell ref="K34:K35"/>
    <mergeCell ref="L26:L33"/>
    <mergeCell ref="M26:M33"/>
    <mergeCell ref="L34:L41"/>
    <mergeCell ref="M34:M41"/>
    <mergeCell ref="B36:B37"/>
    <mergeCell ref="D36:D37"/>
    <mergeCell ref="E36:E37"/>
    <mergeCell ref="F36:F37"/>
    <mergeCell ref="H36:H37"/>
    <mergeCell ref="I36:I37"/>
    <mergeCell ref="K36:K37"/>
    <mergeCell ref="B38:B39"/>
    <mergeCell ref="K40:K41"/>
    <mergeCell ref="B40:B41"/>
    <mergeCell ref="D40:D41"/>
    <mergeCell ref="E40:E41"/>
    <mergeCell ref="F40:F41"/>
    <mergeCell ref="H40:H41"/>
    <mergeCell ref="I40:I41"/>
    <mergeCell ref="D38:D39"/>
    <mergeCell ref="E38:E39"/>
    <mergeCell ref="F38:F39"/>
    <mergeCell ref="D32:D33"/>
    <mergeCell ref="E32:E33"/>
    <mergeCell ref="F32:F33"/>
    <mergeCell ref="H32:H33"/>
    <mergeCell ref="I32:I33"/>
    <mergeCell ref="D34:D35"/>
    <mergeCell ref="E34:E35"/>
    <mergeCell ref="F34:F35"/>
    <mergeCell ref="H34:H35"/>
    <mergeCell ref="I34:I35"/>
    <mergeCell ref="H38:H39"/>
    <mergeCell ref="I38:I39"/>
    <mergeCell ref="B26:B27"/>
    <mergeCell ref="D26:D27"/>
    <mergeCell ref="E26:E27"/>
    <mergeCell ref="F26:F27"/>
    <mergeCell ref="H26:H27"/>
    <mergeCell ref="I26:I27"/>
    <mergeCell ref="J26:J33"/>
    <mergeCell ref="K26:K27"/>
    <mergeCell ref="D30:D31"/>
    <mergeCell ref="E30:E31"/>
    <mergeCell ref="F30:F31"/>
    <mergeCell ref="H30:H31"/>
    <mergeCell ref="I30:I31"/>
    <mergeCell ref="K30:K31"/>
    <mergeCell ref="B28:B29"/>
    <mergeCell ref="D28:D29"/>
    <mergeCell ref="E28:E29"/>
    <mergeCell ref="F28:F29"/>
    <mergeCell ref="H28:H29"/>
    <mergeCell ref="I28:I29"/>
    <mergeCell ref="K28:K29"/>
    <mergeCell ref="B30:B31"/>
    <mergeCell ref="K32:K33"/>
    <mergeCell ref="B32:B33"/>
    <mergeCell ref="L10:L17"/>
    <mergeCell ref="M10:M17"/>
    <mergeCell ref="L18:L25"/>
    <mergeCell ref="M18:M25"/>
    <mergeCell ref="B20:B21"/>
    <mergeCell ref="D20:D21"/>
    <mergeCell ref="E20:E21"/>
    <mergeCell ref="F20:F21"/>
    <mergeCell ref="H20:H21"/>
    <mergeCell ref="I20:I21"/>
    <mergeCell ref="K20:K21"/>
    <mergeCell ref="B22:B23"/>
    <mergeCell ref="K24:K25"/>
    <mergeCell ref="B24:B25"/>
    <mergeCell ref="D24:D25"/>
    <mergeCell ref="E24:E25"/>
    <mergeCell ref="F24:F25"/>
    <mergeCell ref="H24:H25"/>
    <mergeCell ref="I24:I25"/>
    <mergeCell ref="B18:B19"/>
    <mergeCell ref="D18:D19"/>
    <mergeCell ref="E18:E19"/>
    <mergeCell ref="F18:F19"/>
    <mergeCell ref="H18:H19"/>
    <mergeCell ref="K18:K19"/>
    <mergeCell ref="D22:D23"/>
    <mergeCell ref="E22:E23"/>
    <mergeCell ref="F22:F23"/>
    <mergeCell ref="H22:H23"/>
    <mergeCell ref="I22:I23"/>
    <mergeCell ref="K22:K23"/>
    <mergeCell ref="I18:I19"/>
    <mergeCell ref="J18:J25"/>
    <mergeCell ref="K2:K3"/>
    <mergeCell ref="B12:B13"/>
    <mergeCell ref="D12:D13"/>
    <mergeCell ref="E12:E13"/>
    <mergeCell ref="F12:F13"/>
    <mergeCell ref="H12:H13"/>
    <mergeCell ref="I12:I13"/>
    <mergeCell ref="K12:K13"/>
    <mergeCell ref="B14:B15"/>
    <mergeCell ref="K8:K9"/>
    <mergeCell ref="B10:B11"/>
    <mergeCell ref="D10:D11"/>
    <mergeCell ref="E10:E11"/>
    <mergeCell ref="F10:F11"/>
    <mergeCell ref="H10:H11"/>
    <mergeCell ref="I10:I11"/>
    <mergeCell ref="J10:J17"/>
    <mergeCell ref="K10:K11"/>
    <mergeCell ref="B8:B9"/>
    <mergeCell ref="D8:D9"/>
    <mergeCell ref="E8:E9"/>
    <mergeCell ref="F8:F9"/>
    <mergeCell ref="H8:H9"/>
    <mergeCell ref="I8:I9"/>
    <mergeCell ref="D14:D15"/>
    <mergeCell ref="E14:E15"/>
    <mergeCell ref="F14:F15"/>
    <mergeCell ref="H14:H15"/>
    <mergeCell ref="I14:I15"/>
    <mergeCell ref="K14:K15"/>
    <mergeCell ref="K16:K17"/>
    <mergeCell ref="B16:B17"/>
    <mergeCell ref="D16:D17"/>
    <mergeCell ref="E16:E17"/>
    <mergeCell ref="F16:F17"/>
    <mergeCell ref="H16:H17"/>
    <mergeCell ref="I16:I17"/>
    <mergeCell ref="L2:L9"/>
    <mergeCell ref="M2:M9"/>
    <mergeCell ref="H4:H5"/>
    <mergeCell ref="I4:I5"/>
    <mergeCell ref="K4:K5"/>
    <mergeCell ref="K6:K7"/>
    <mergeCell ref="B2:B3"/>
    <mergeCell ref="D2:D3"/>
    <mergeCell ref="E2:E3"/>
    <mergeCell ref="F2:F3"/>
    <mergeCell ref="G2:G9"/>
    <mergeCell ref="B4:B5"/>
    <mergeCell ref="D4:D5"/>
    <mergeCell ref="E4:E5"/>
    <mergeCell ref="F4:F5"/>
    <mergeCell ref="B6:B7"/>
    <mergeCell ref="D6:D7"/>
    <mergeCell ref="E6:E7"/>
    <mergeCell ref="F6:F7"/>
    <mergeCell ref="H6:H7"/>
    <mergeCell ref="I6:I7"/>
    <mergeCell ref="H2:H3"/>
    <mergeCell ref="I2:I3"/>
    <mergeCell ref="J2:J9"/>
  </mergeCells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A149-9233-4E42-A7DD-7FC40C2D7B7D}">
  <dimension ref="A1:M52"/>
  <sheetViews>
    <sheetView topLeftCell="J10" workbookViewId="0">
      <selection activeCell="A2" sqref="A2:A17"/>
    </sheetView>
  </sheetViews>
  <sheetFormatPr baseColWidth="10" defaultColWidth="8.83203125" defaultRowHeight="15" x14ac:dyDescent="0.2"/>
  <cols>
    <col min="1" max="1" width="16.1640625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3" max="13" width="13.6640625" customWidth="1"/>
  </cols>
  <sheetData>
    <row r="1" spans="1:13" ht="16" x14ac:dyDescent="0.2">
      <c r="A1" s="2" t="s">
        <v>51</v>
      </c>
      <c r="B1" s="6" t="s">
        <v>2</v>
      </c>
      <c r="C1" s="3" t="s">
        <v>40</v>
      </c>
      <c r="D1" s="2" t="s">
        <v>4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 ht="16" x14ac:dyDescent="0.2">
      <c r="A2" s="34" t="s">
        <v>64</v>
      </c>
      <c r="B2" s="39">
        <v>1</v>
      </c>
      <c r="C2" s="4">
        <v>26.63</v>
      </c>
      <c r="D2" s="37">
        <f>AVERAGE(C2:C3)</f>
        <v>26.744999999999997</v>
      </c>
      <c r="E2" s="37">
        <v>17.190287859484446</v>
      </c>
      <c r="F2" s="50">
        <f>D2-E2</f>
        <v>9.5547121405155515</v>
      </c>
      <c r="G2" s="37">
        <f>AVERAGE(F2:F9)</f>
        <v>10.158565947634365</v>
      </c>
      <c r="H2" s="37">
        <f>F2-$G$2</f>
        <v>-0.60385380711881353</v>
      </c>
      <c r="I2" s="49">
        <f>2^-(H2)</f>
        <v>1.5197708453806142</v>
      </c>
      <c r="J2" s="37">
        <f>AVERAGE(I2:I9)</f>
        <v>1.1021093214120286</v>
      </c>
      <c r="K2" s="35">
        <f>I2/$J$2</f>
        <v>1.3789656033699773</v>
      </c>
      <c r="L2" s="37">
        <f>AVERAGE(K2:K9)</f>
        <v>1</v>
      </c>
      <c r="M2" s="35">
        <f>STDEV(K2:K9)/4</f>
        <v>0.11581788949514743</v>
      </c>
    </row>
    <row r="3" spans="1:13" ht="16" x14ac:dyDescent="0.2">
      <c r="A3" s="34" t="s">
        <v>64</v>
      </c>
      <c r="B3" s="39"/>
      <c r="C3" s="4">
        <v>26.86</v>
      </c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ht="16" x14ac:dyDescent="0.2">
      <c r="A4" s="34" t="s">
        <v>64</v>
      </c>
      <c r="B4" s="36" t="s">
        <v>9</v>
      </c>
      <c r="C4" s="4">
        <v>26.42</v>
      </c>
      <c r="D4" s="37">
        <f>AVERAGE(C4:C5)</f>
        <v>26.704999999999998</v>
      </c>
      <c r="E4" s="37">
        <v>17.164287644881519</v>
      </c>
      <c r="F4" s="50">
        <f t="shared" ref="F4" si="0">D4-E4</f>
        <v>9.5407123551184796</v>
      </c>
      <c r="G4" s="37"/>
      <c r="H4" s="37">
        <f t="shared" ref="H4" si="1">F4-$G$2</f>
        <v>-0.61785359251588545</v>
      </c>
      <c r="I4" s="49">
        <f>2^-(H4)</f>
        <v>1.5345903549001843</v>
      </c>
      <c r="J4" s="37"/>
      <c r="K4" s="35">
        <f>I4/$J$2</f>
        <v>1.3924121002207464</v>
      </c>
      <c r="L4" s="37"/>
      <c r="M4" s="35"/>
    </row>
    <row r="5" spans="1:13" ht="16" x14ac:dyDescent="0.2">
      <c r="A5" s="34" t="s">
        <v>64</v>
      </c>
      <c r="B5" s="36"/>
      <c r="C5" s="4">
        <v>26.99</v>
      </c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ht="16" x14ac:dyDescent="0.2">
      <c r="A6" s="34" t="s">
        <v>64</v>
      </c>
      <c r="B6" s="36" t="s">
        <v>10</v>
      </c>
      <c r="C6" s="4">
        <v>27.07</v>
      </c>
      <c r="D6" s="37">
        <f>AVERAGE(C6:C7)</f>
        <v>27.05</v>
      </c>
      <c r="E6" s="37">
        <v>15.905719176330518</v>
      </c>
      <c r="F6" s="50">
        <f t="shared" ref="F6" si="2">D6-E6</f>
        <v>11.144280823669483</v>
      </c>
      <c r="G6" s="37"/>
      <c r="H6" s="37">
        <f t="shared" ref="H6" si="3">F6-$G$2</f>
        <v>0.98571487603511798</v>
      </c>
      <c r="I6" s="49">
        <f>2^-(H6)</f>
        <v>0.50497543868355954</v>
      </c>
      <c r="J6" s="37"/>
      <c r="K6" s="35">
        <f>I6/$J$2</f>
        <v>0.45818997160516001</v>
      </c>
      <c r="L6" s="37"/>
      <c r="M6" s="35"/>
    </row>
    <row r="7" spans="1:13" ht="16" x14ac:dyDescent="0.2">
      <c r="A7" s="34" t="s">
        <v>64</v>
      </c>
      <c r="B7" s="36"/>
      <c r="C7" s="4">
        <v>27.03</v>
      </c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ht="16" x14ac:dyDescent="0.2">
      <c r="A8" s="34" t="s">
        <v>64</v>
      </c>
      <c r="B8" s="36" t="s">
        <v>11</v>
      </c>
      <c r="C8" s="4">
        <v>26.21</v>
      </c>
      <c r="D8" s="37">
        <f>AVERAGE(C8:C9)</f>
        <v>26.445</v>
      </c>
      <c r="E8" s="37">
        <v>16.050441528766051</v>
      </c>
      <c r="F8" s="50">
        <f t="shared" ref="F8" si="4">D8-E8</f>
        <v>10.39455847123395</v>
      </c>
      <c r="G8" s="37"/>
      <c r="H8" s="37">
        <f t="shared" ref="H8:H48" si="5">F8-$G$2</f>
        <v>0.23599252359958456</v>
      </c>
      <c r="I8" s="49">
        <f>2^-(H8)</f>
        <v>0.84910064668375651</v>
      </c>
      <c r="J8" s="37"/>
      <c r="K8" s="35">
        <f>I8/$J$2</f>
        <v>0.77043232480411661</v>
      </c>
      <c r="L8" s="37"/>
      <c r="M8" s="35"/>
    </row>
    <row r="9" spans="1:13" ht="15" customHeight="1" x14ac:dyDescent="0.2">
      <c r="A9" s="34" t="s">
        <v>64</v>
      </c>
      <c r="B9" s="36"/>
      <c r="C9" s="4">
        <v>26.68</v>
      </c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4" t="s">
        <v>63</v>
      </c>
      <c r="B10" s="36" t="s">
        <v>13</v>
      </c>
      <c r="C10" s="4">
        <v>27.4</v>
      </c>
      <c r="D10" s="37">
        <f>AVERAGE(C10:C11)</f>
        <v>27.424999999999997</v>
      </c>
      <c r="E10" s="37">
        <v>17.143829345000096</v>
      </c>
      <c r="F10" s="50">
        <f t="shared" ref="F10" si="6">D10-E10</f>
        <v>10.281170654999901</v>
      </c>
      <c r="G10" s="8"/>
      <c r="H10" s="37">
        <f t="shared" si="5"/>
        <v>0.12260470736553586</v>
      </c>
      <c r="I10" s="49">
        <f>2^-(H10)</f>
        <v>0.91852780074578777</v>
      </c>
      <c r="J10" s="37"/>
      <c r="K10" s="35">
        <f>I10/$J$2</f>
        <v>0.83342712279119902</v>
      </c>
      <c r="L10" s="37">
        <f t="shared" ref="L10" si="7">AVERAGE(K10:K17)</f>
        <v>0.91423652721636028</v>
      </c>
      <c r="M10" s="35">
        <f t="shared" ref="M10" si="8">STDEV(K10:K17)/4</f>
        <v>0.12189300583908404</v>
      </c>
    </row>
    <row r="11" spans="1:13" ht="15" customHeight="1" x14ac:dyDescent="0.2">
      <c r="A11" s="34" t="s">
        <v>63</v>
      </c>
      <c r="B11" s="36"/>
      <c r="C11" s="4">
        <v>27.45</v>
      </c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4" t="s">
        <v>63</v>
      </c>
      <c r="B12" s="36" t="s">
        <v>14</v>
      </c>
      <c r="C12" s="4">
        <v>27.79</v>
      </c>
      <c r="D12" s="37">
        <f>AVERAGE(C12:C13)</f>
        <v>27.765000000000001</v>
      </c>
      <c r="E12" s="37">
        <v>17.978019717604003</v>
      </c>
      <c r="F12" s="50">
        <f t="shared" ref="F12" si="9">D12-E12</f>
        <v>9.7869802823959979</v>
      </c>
      <c r="G12" s="8"/>
      <c r="H12" s="37">
        <f t="shared" si="5"/>
        <v>-0.37158566523836711</v>
      </c>
      <c r="I12" s="49">
        <f>2^-(H12)</f>
        <v>1.2937740357241392</v>
      </c>
      <c r="J12" s="37"/>
      <c r="K12" s="35">
        <f>I12/$J$2</f>
        <v>1.1739071710840343</v>
      </c>
      <c r="L12" s="37"/>
      <c r="M12" s="35"/>
    </row>
    <row r="13" spans="1:13" ht="15" customHeight="1" x14ac:dyDescent="0.2">
      <c r="A13" s="34" t="s">
        <v>63</v>
      </c>
      <c r="B13" s="36"/>
      <c r="C13" s="4">
        <v>27.74</v>
      </c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4" t="s">
        <v>63</v>
      </c>
      <c r="B14" s="36" t="s">
        <v>15</v>
      </c>
      <c r="C14" s="4">
        <v>27.34</v>
      </c>
      <c r="D14" s="37">
        <f>AVERAGE(C14:C15)</f>
        <v>27.524999999999999</v>
      </c>
      <c r="E14" s="37">
        <v>17.974532197115273</v>
      </c>
      <c r="F14" s="50">
        <f t="shared" ref="F14" si="10">D14-E14</f>
        <v>9.5504678028847252</v>
      </c>
      <c r="G14" s="8"/>
      <c r="H14" s="37">
        <f t="shared" si="5"/>
        <v>-0.60809814474963986</v>
      </c>
      <c r="I14" s="49">
        <f>2^-(H14)</f>
        <v>1.5242485195441864</v>
      </c>
      <c r="J14" s="37"/>
      <c r="K14" s="35">
        <f>I14/$J$2</f>
        <v>1.3830284255207195</v>
      </c>
      <c r="L14" s="37"/>
      <c r="M14" s="35"/>
    </row>
    <row r="15" spans="1:13" ht="15" customHeight="1" x14ac:dyDescent="0.2">
      <c r="A15" s="34" t="s">
        <v>63</v>
      </c>
      <c r="B15" s="36"/>
      <c r="C15" s="4">
        <v>27.71</v>
      </c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4" t="s">
        <v>63</v>
      </c>
      <c r="B16" s="36" t="s">
        <v>16</v>
      </c>
      <c r="C16" s="4">
        <v>30.28</v>
      </c>
      <c r="D16" s="37">
        <f>AVERAGE(C16:C17)</f>
        <v>29.245000000000001</v>
      </c>
      <c r="E16" s="37">
        <v>17.319360183997457</v>
      </c>
      <c r="F16" s="50">
        <f t="shared" ref="F16" si="11">D16-E16</f>
        <v>11.925639816002544</v>
      </c>
      <c r="G16" s="8"/>
      <c r="H16" s="37">
        <f t="shared" si="5"/>
        <v>1.767073868368179</v>
      </c>
      <c r="I16" s="49">
        <f>2^-(H16)</f>
        <v>0.29380403846793651</v>
      </c>
      <c r="J16" s="37"/>
      <c r="K16" s="35">
        <f>I16/$J$2</f>
        <v>0.26658338946948851</v>
      </c>
      <c r="L16" s="37"/>
      <c r="M16" s="35"/>
    </row>
    <row r="17" spans="1:13" ht="15" customHeight="1" x14ac:dyDescent="0.2">
      <c r="A17" s="34" t="s">
        <v>63</v>
      </c>
      <c r="B17" s="36"/>
      <c r="C17" s="4">
        <v>28.21</v>
      </c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19" t="s">
        <v>53</v>
      </c>
      <c r="B18" s="36" t="s">
        <v>18</v>
      </c>
      <c r="C18" s="4">
        <v>27.85</v>
      </c>
      <c r="D18" s="37">
        <f>AVERAGE(C18:C19)</f>
        <v>27.484999999999999</v>
      </c>
      <c r="E18" s="37">
        <v>19.205252186246113</v>
      </c>
      <c r="F18" s="50">
        <f t="shared" ref="F18" si="12">D18-E18</f>
        <v>8.279747813753886</v>
      </c>
      <c r="G18" s="8"/>
      <c r="H18" s="37">
        <f t="shared" si="5"/>
        <v>-1.878818133880479</v>
      </c>
      <c r="I18" s="49">
        <f>2^-(H18)</f>
        <v>3.6777365399596866</v>
      </c>
      <c r="J18" s="37"/>
      <c r="K18" s="35">
        <f>I18/$J$2</f>
        <v>3.3369979443125937</v>
      </c>
      <c r="L18" s="37">
        <f t="shared" ref="L18" si="13">AVERAGE(K18:K25)</f>
        <v>1.5189368235948484</v>
      </c>
      <c r="M18" s="35">
        <f t="shared" ref="M18" si="14">STDEV(K18:K25)/4</f>
        <v>0.30625360078392133</v>
      </c>
    </row>
    <row r="19" spans="1:13" ht="15" customHeight="1" x14ac:dyDescent="0.2">
      <c r="A19" s="19" t="s">
        <v>53</v>
      </c>
      <c r="B19" s="36"/>
      <c r="C19" s="4">
        <v>27.12</v>
      </c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19" t="s">
        <v>53</v>
      </c>
      <c r="B20" s="36" t="s">
        <v>19</v>
      </c>
      <c r="C20" s="4">
        <v>27.4</v>
      </c>
      <c r="D20" s="37">
        <f>AVERAGE(C20:C21)</f>
        <v>27.549999999999997</v>
      </c>
      <c r="E20" s="37">
        <v>17.51825332356341</v>
      </c>
      <c r="F20" s="50">
        <f t="shared" ref="F20" si="15">D20-E20</f>
        <v>10.031746676436587</v>
      </c>
      <c r="G20" s="8"/>
      <c r="H20" s="37">
        <f t="shared" si="5"/>
        <v>-0.12681927119777825</v>
      </c>
      <c r="I20" s="49">
        <f>2^-(H20)</f>
        <v>1.0918837550876286</v>
      </c>
      <c r="J20" s="37"/>
      <c r="K20" s="35">
        <f>I20/$J$2</f>
        <v>0.99072182212260129</v>
      </c>
      <c r="L20" s="37"/>
      <c r="M20" s="35"/>
    </row>
    <row r="21" spans="1:13" ht="15" customHeight="1" x14ac:dyDescent="0.2">
      <c r="A21" s="20" t="s">
        <v>53</v>
      </c>
      <c r="B21" s="36"/>
      <c r="C21" s="4">
        <v>27.7</v>
      </c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20" t="s">
        <v>53</v>
      </c>
      <c r="B22" s="36" t="s">
        <v>20</v>
      </c>
      <c r="C22" s="4">
        <v>27.3</v>
      </c>
      <c r="D22" s="37">
        <f>AVERAGE(C22:C23)</f>
        <v>27.355</v>
      </c>
      <c r="E22" s="37">
        <v>17.449205574599276</v>
      </c>
      <c r="F22" s="50">
        <f t="shared" ref="F22" si="16">D22-E22</f>
        <v>9.9057944254007246</v>
      </c>
      <c r="G22" s="8"/>
      <c r="H22" s="37">
        <f t="shared" si="5"/>
        <v>-0.25277152223364041</v>
      </c>
      <c r="I22" s="49">
        <f>2^-(H22)</f>
        <v>1.1914938642738724</v>
      </c>
      <c r="J22" s="37"/>
      <c r="K22" s="35">
        <f>I22/$J$2</f>
        <v>1.0811031547644692</v>
      </c>
      <c r="L22" s="37"/>
      <c r="M22" s="35"/>
    </row>
    <row r="23" spans="1:13" ht="15" customHeight="1" x14ac:dyDescent="0.2">
      <c r="A23" s="20" t="s">
        <v>53</v>
      </c>
      <c r="B23" s="36"/>
      <c r="C23" s="4">
        <v>27.41</v>
      </c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20" t="s">
        <v>53</v>
      </c>
      <c r="B24" s="36" t="s">
        <v>21</v>
      </c>
      <c r="C24" s="4">
        <v>27.24</v>
      </c>
      <c r="D24" s="37">
        <f>AVERAGE(C24:C25)</f>
        <v>27.494999999999997</v>
      </c>
      <c r="E24" s="37">
        <v>16.892296467846915</v>
      </c>
      <c r="F24" s="50">
        <f t="shared" ref="F24" si="17">D24-E24</f>
        <v>10.602703532153082</v>
      </c>
      <c r="G24" s="8"/>
      <c r="H24" s="37">
        <f t="shared" si="5"/>
        <v>0.44413758451871743</v>
      </c>
      <c r="I24" s="49">
        <f>2^-(H24)</f>
        <v>0.73502356835825444</v>
      </c>
      <c r="J24" s="37"/>
      <c r="K24" s="35">
        <f>I24/$J$2</f>
        <v>0.66692437317972975</v>
      </c>
      <c r="L24" s="37"/>
      <c r="M24" s="35"/>
    </row>
    <row r="25" spans="1:13" ht="15" customHeight="1" x14ac:dyDescent="0.2">
      <c r="A25" s="20" t="s">
        <v>53</v>
      </c>
      <c r="B25" s="36"/>
      <c r="C25" s="4">
        <v>27.75</v>
      </c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19" t="s">
        <v>54</v>
      </c>
      <c r="B26" s="36" t="s">
        <v>23</v>
      </c>
      <c r="C26" s="4">
        <v>27.28</v>
      </c>
      <c r="D26" s="37">
        <f>AVERAGE(C26:C27)</f>
        <v>27.215</v>
      </c>
      <c r="E26" s="37">
        <v>17.460951826505497</v>
      </c>
      <c r="F26" s="50">
        <f t="shared" ref="F26" si="18">D26-E26</f>
        <v>9.7540481734945033</v>
      </c>
      <c r="G26" s="8"/>
      <c r="H26" s="37">
        <f t="shared" si="5"/>
        <v>-0.40451777413986179</v>
      </c>
      <c r="I26" s="49">
        <f>2^-(H26)</f>
        <v>1.3236464030078865</v>
      </c>
      <c r="J26" s="37"/>
      <c r="K26" s="35">
        <f>I26/$J$2</f>
        <v>1.2010118935497465</v>
      </c>
      <c r="L26" s="37">
        <f t="shared" ref="L26" si="19">AVERAGE(K26:K33)</f>
        <v>0.89923746166549667</v>
      </c>
      <c r="M26" s="35">
        <f t="shared" ref="M26" si="20">STDEV(K26:K33)/4</f>
        <v>5.9594885541674407E-2</v>
      </c>
    </row>
    <row r="27" spans="1:13" ht="15" customHeight="1" x14ac:dyDescent="0.2">
      <c r="A27" s="19" t="s">
        <v>54</v>
      </c>
      <c r="B27" s="36"/>
      <c r="C27" s="4">
        <v>27.15</v>
      </c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19" t="s">
        <v>54</v>
      </c>
      <c r="B28" s="36" t="s">
        <v>24</v>
      </c>
      <c r="C28" s="4">
        <v>28.42</v>
      </c>
      <c r="D28" s="37">
        <f>AVERAGE(C28:C29)</f>
        <v>28.32</v>
      </c>
      <c r="E28" s="37">
        <v>17.810378746674107</v>
      </c>
      <c r="F28" s="50">
        <f t="shared" ref="F28" si="21">D28-E28</f>
        <v>10.509621253325893</v>
      </c>
      <c r="G28" s="8"/>
      <c r="H28" s="37">
        <f t="shared" si="5"/>
        <v>0.35105530569152776</v>
      </c>
      <c r="I28" s="49">
        <f>2^-(H28)</f>
        <v>0.78401039847345178</v>
      </c>
      <c r="J28" s="37"/>
      <c r="K28" s="35">
        <f>I28/$J$2</f>
        <v>0.71137262269860246</v>
      </c>
      <c r="L28" s="37"/>
      <c r="M28" s="35"/>
    </row>
    <row r="29" spans="1:13" ht="15" customHeight="1" x14ac:dyDescent="0.2">
      <c r="A29" s="19" t="s">
        <v>54</v>
      </c>
      <c r="B29" s="36"/>
      <c r="C29" s="4">
        <v>28.22</v>
      </c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19" t="s">
        <v>54</v>
      </c>
      <c r="B30" s="36" t="s">
        <v>25</v>
      </c>
      <c r="C30" s="4">
        <v>27.68</v>
      </c>
      <c r="D30" s="37">
        <f>AVERAGE(C30:C31)</f>
        <v>27.685000000000002</v>
      </c>
      <c r="E30" s="37">
        <v>17.636734292930214</v>
      </c>
      <c r="F30" s="50">
        <f t="shared" ref="F30" si="22">D30-E30</f>
        <v>10.048265707069788</v>
      </c>
      <c r="G30" s="8"/>
      <c r="H30" s="37">
        <f t="shared" si="5"/>
        <v>-0.11030024056457677</v>
      </c>
      <c r="I30" s="49">
        <f>2^-(H30)</f>
        <v>1.0794528590373111</v>
      </c>
      <c r="J30" s="37"/>
      <c r="K30" s="35">
        <f>I30/$J$2</f>
        <v>0.97944263610284155</v>
      </c>
      <c r="L30" s="37"/>
      <c r="M30" s="35"/>
    </row>
    <row r="31" spans="1:13" ht="15" customHeight="1" x14ac:dyDescent="0.2">
      <c r="A31" s="19" t="s">
        <v>54</v>
      </c>
      <c r="B31" s="36"/>
      <c r="C31" s="4">
        <v>27.69</v>
      </c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19" t="s">
        <v>54</v>
      </c>
      <c r="B32" s="36" t="s">
        <v>26</v>
      </c>
      <c r="C32" s="4">
        <v>28.95</v>
      </c>
      <c r="D32" s="37">
        <f>AVERAGE(C32:C33)</f>
        <v>28.92</v>
      </c>
      <c r="E32" s="37">
        <v>18.397647607932122</v>
      </c>
      <c r="F32" s="50">
        <f t="shared" ref="F32" si="23">D32-E32</f>
        <v>10.52235239206788</v>
      </c>
      <c r="G32" s="8"/>
      <c r="H32" s="37">
        <f t="shared" si="5"/>
        <v>0.36378644443351504</v>
      </c>
      <c r="I32" s="49">
        <f>2^-(H32)</f>
        <v>0.77712229413909284</v>
      </c>
      <c r="J32" s="37"/>
      <c r="K32" s="35">
        <f>I32/$J$2</f>
        <v>0.70512269431079622</v>
      </c>
      <c r="L32" s="37"/>
      <c r="M32" s="35"/>
    </row>
    <row r="33" spans="1:13" ht="15" customHeight="1" x14ac:dyDescent="0.2">
      <c r="A33" s="19" t="s">
        <v>54</v>
      </c>
      <c r="B33" s="36"/>
      <c r="C33" s="4">
        <v>28.89</v>
      </c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19" t="s">
        <v>55</v>
      </c>
      <c r="B34" s="36" t="s">
        <v>28</v>
      </c>
      <c r="C34" s="4">
        <v>27.1</v>
      </c>
      <c r="D34" s="37">
        <f>AVERAGE(C34:C35)</f>
        <v>27.465</v>
      </c>
      <c r="E34" s="37">
        <v>16.509506697394823</v>
      </c>
      <c r="F34" s="50">
        <f t="shared" ref="F34" si="24">D34-E34</f>
        <v>10.955493302605177</v>
      </c>
      <c r="G34" s="8"/>
      <c r="H34" s="37">
        <f t="shared" si="5"/>
        <v>0.79692735497081202</v>
      </c>
      <c r="I34" s="49">
        <f>2^-(H34)</f>
        <v>0.57557372719936606</v>
      </c>
      <c r="J34" s="37"/>
      <c r="K34" s="35">
        <f>I34/$J$2</f>
        <v>0.52224739961543731</v>
      </c>
      <c r="L34" s="37">
        <f t="shared" ref="L34" si="25">AVERAGE(K34:K41)</f>
        <v>1.5524778095629101</v>
      </c>
      <c r="M34" s="35">
        <f t="shared" ref="M34" si="26">STDEV(K34:K41)/4</f>
        <v>0.23216681456164773</v>
      </c>
    </row>
    <row r="35" spans="1:13" ht="15" customHeight="1" x14ac:dyDescent="0.2">
      <c r="A35" s="19" t="s">
        <v>55</v>
      </c>
      <c r="B35" s="36"/>
      <c r="C35" s="4">
        <v>27.83</v>
      </c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19" t="s">
        <v>55</v>
      </c>
      <c r="B36" s="36" t="s">
        <v>29</v>
      </c>
      <c r="C36" s="4">
        <v>27.34</v>
      </c>
      <c r="D36" s="37">
        <f>AVERAGE(C36:C37)</f>
        <v>27.685000000000002</v>
      </c>
      <c r="E36" s="37">
        <v>18.343164352268513</v>
      </c>
      <c r="F36" s="50">
        <f t="shared" ref="F36" si="27">D36-E36</f>
        <v>9.3418356477314894</v>
      </c>
      <c r="G36" s="8"/>
      <c r="H36" s="37">
        <f t="shared" si="5"/>
        <v>-0.8167302999028756</v>
      </c>
      <c r="I36" s="49">
        <f>2^-(H36)</f>
        <v>1.7614094363141983</v>
      </c>
      <c r="J36" s="37"/>
      <c r="K36" s="35">
        <f>I36/$J$2</f>
        <v>1.5982166216119749</v>
      </c>
      <c r="L36" s="37"/>
      <c r="M36" s="35"/>
    </row>
    <row r="37" spans="1:13" ht="15" customHeight="1" x14ac:dyDescent="0.2">
      <c r="A37" s="19" t="s">
        <v>55</v>
      </c>
      <c r="B37" s="36"/>
      <c r="C37" s="4">
        <v>28.03</v>
      </c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19" t="s">
        <v>55</v>
      </c>
      <c r="B38" s="36" t="s">
        <v>30</v>
      </c>
      <c r="C38" s="4">
        <v>26.75</v>
      </c>
      <c r="D38" s="37">
        <f>AVERAGE(C38:C39)</f>
        <v>27.119999999999997</v>
      </c>
      <c r="E38" s="37">
        <v>17.506489233409525</v>
      </c>
      <c r="F38" s="50">
        <f t="shared" ref="F38" si="28">D38-E38</f>
        <v>9.6135107665904727</v>
      </c>
      <c r="G38" s="8"/>
      <c r="H38" s="37">
        <f t="shared" si="5"/>
        <v>-0.54505518104389239</v>
      </c>
      <c r="I38" s="49">
        <f>2^-(H38)</f>
        <v>1.4590761507710741</v>
      </c>
      <c r="J38" s="37"/>
      <c r="K38" s="35">
        <f>I38/$J$2</f>
        <v>1.3238942112400407</v>
      </c>
      <c r="L38" s="37"/>
      <c r="M38" s="35"/>
    </row>
    <row r="39" spans="1:13" ht="15" customHeight="1" x14ac:dyDescent="0.2">
      <c r="A39" s="19" t="s">
        <v>55</v>
      </c>
      <c r="B39" s="36"/>
      <c r="C39" s="4">
        <v>27.49</v>
      </c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19" t="s">
        <v>55</v>
      </c>
      <c r="B40" s="36" t="s">
        <v>31</v>
      </c>
      <c r="C40" s="4">
        <v>27.26</v>
      </c>
      <c r="D40" s="37">
        <f>AVERAGE(C40:C41)</f>
        <v>27.26</v>
      </c>
      <c r="E40" s="37">
        <v>18.70926938210307</v>
      </c>
      <c r="F40" s="50">
        <f t="shared" ref="F40" si="29">D40-E40</f>
        <v>8.5507306178969316</v>
      </c>
      <c r="G40" s="8"/>
      <c r="H40" s="37">
        <f t="shared" si="5"/>
        <v>-1.6078353297374335</v>
      </c>
      <c r="I40" s="49">
        <f>2^-(H40)</f>
        <v>3.0479417465338074</v>
      </c>
      <c r="J40" s="37"/>
      <c r="K40" s="35">
        <f>I40/$J$2</f>
        <v>2.7655530057841879</v>
      </c>
      <c r="L40" s="37"/>
      <c r="M40" s="35"/>
    </row>
    <row r="41" spans="1:13" ht="15" customHeight="1" x14ac:dyDescent="0.2">
      <c r="A41" s="19" t="s">
        <v>55</v>
      </c>
      <c r="B41" s="36"/>
      <c r="C41" s="4"/>
      <c r="D41" s="37"/>
      <c r="E41" s="37"/>
      <c r="F41" s="50"/>
      <c r="G41" s="8"/>
      <c r="H41" s="37"/>
      <c r="I41" s="49"/>
      <c r="J41" s="37"/>
      <c r="K41" s="35"/>
      <c r="L41" s="37"/>
      <c r="M41" s="35"/>
    </row>
    <row r="42" spans="1:13" s="29" customFormat="1" ht="16" x14ac:dyDescent="0.2">
      <c r="A42" s="29" t="s">
        <v>56</v>
      </c>
      <c r="B42" s="36" t="s">
        <v>57</v>
      </c>
      <c r="C42" s="31">
        <v>32.154487766589703</v>
      </c>
      <c r="D42" s="37">
        <f>AVERAGE(C42:C43)</f>
        <v>32.085740773541701</v>
      </c>
      <c r="E42" s="37">
        <v>17.216022097920472</v>
      </c>
      <c r="F42" s="50">
        <f t="shared" ref="F42" si="30">D42-E42</f>
        <v>14.869718675621229</v>
      </c>
      <c r="H42" s="37">
        <f t="shared" si="5"/>
        <v>4.7111527279868639</v>
      </c>
      <c r="I42" s="49">
        <f>2^-(H42)</f>
        <v>3.8176992683400898E-2</v>
      </c>
      <c r="K42" s="35">
        <f>I42/$J$2</f>
        <v>3.4639932665199061E-2</v>
      </c>
      <c r="L42" s="37">
        <f t="shared" ref="L42" si="31">AVERAGE(K42:K49)</f>
        <v>0.17126542192259508</v>
      </c>
      <c r="M42" s="35">
        <f t="shared" ref="M42" si="32">STDEV(K42:K49)/4</f>
        <v>2.7532154655558558E-2</v>
      </c>
    </row>
    <row r="43" spans="1:13" ht="16" x14ac:dyDescent="0.2">
      <c r="A43" s="19" t="s">
        <v>56</v>
      </c>
      <c r="B43" s="36"/>
      <c r="C43" s="4">
        <v>32.016993780493699</v>
      </c>
      <c r="D43" s="37"/>
      <c r="E43" s="37"/>
      <c r="F43" s="50"/>
      <c r="H43" s="37"/>
      <c r="I43" s="49"/>
      <c r="K43" s="35"/>
      <c r="L43" s="37"/>
      <c r="M43" s="35"/>
    </row>
    <row r="44" spans="1:13" ht="16" x14ac:dyDescent="0.2">
      <c r="A44" s="19" t="s">
        <v>56</v>
      </c>
      <c r="B44" s="36" t="s">
        <v>58</v>
      </c>
      <c r="C44" s="4">
        <v>31.040374754177702</v>
      </c>
      <c r="D44" s="37">
        <f>AVERAGE(C44:C45)</f>
        <v>30.973953116677599</v>
      </c>
      <c r="E44" s="37">
        <v>18.742090881478987</v>
      </c>
      <c r="F44" s="50">
        <f t="shared" ref="F44" si="33">D44-E44</f>
        <v>12.231862235198612</v>
      </c>
      <c r="H44" s="37">
        <f t="shared" si="5"/>
        <v>2.0732962875642471</v>
      </c>
      <c r="I44" s="49">
        <f>2^-(H44)</f>
        <v>0.23761597089275185</v>
      </c>
      <c r="K44" s="35">
        <f>I44/$J$2</f>
        <v>0.21560108990668636</v>
      </c>
      <c r="L44" s="37"/>
      <c r="M44" s="35"/>
    </row>
    <row r="45" spans="1:13" ht="16" x14ac:dyDescent="0.2">
      <c r="A45" s="19" t="s">
        <v>56</v>
      </c>
      <c r="B45" s="36"/>
      <c r="C45" s="4">
        <v>30.9075314791775</v>
      </c>
      <c r="D45" s="37"/>
      <c r="E45" s="37"/>
      <c r="F45" s="50"/>
      <c r="H45" s="37"/>
      <c r="I45" s="49"/>
      <c r="K45" s="35"/>
      <c r="L45" s="37"/>
      <c r="M45" s="35"/>
    </row>
    <row r="46" spans="1:13" ht="16" x14ac:dyDescent="0.2">
      <c r="A46" s="19" t="s">
        <v>56</v>
      </c>
      <c r="B46" s="36" t="s">
        <v>59</v>
      </c>
      <c r="C46" s="4">
        <v>31.192122866016501</v>
      </c>
      <c r="D46" s="37">
        <f>AVERAGE(C46:C47)</f>
        <v>31.302904120292553</v>
      </c>
      <c r="E46" s="37">
        <v>18.464510655682574</v>
      </c>
      <c r="F46" s="50">
        <f t="shared" ref="F46" si="34">D46-E46</f>
        <v>12.838393464609979</v>
      </c>
      <c r="H46" s="37">
        <f t="shared" si="5"/>
        <v>2.6798275169756138</v>
      </c>
      <c r="I46" s="49">
        <f>2^-(H46)</f>
        <v>0.15605997542287978</v>
      </c>
      <c r="K46" s="35">
        <f>I46/$J$2</f>
        <v>0.14160117548314977</v>
      </c>
      <c r="L46" s="37"/>
      <c r="M46" s="35"/>
    </row>
    <row r="47" spans="1:13" ht="16" x14ac:dyDescent="0.2">
      <c r="A47" s="19" t="s">
        <v>56</v>
      </c>
      <c r="B47" s="36"/>
      <c r="C47" s="4">
        <v>31.413685374568601</v>
      </c>
      <c r="D47" s="37"/>
      <c r="E47" s="37"/>
      <c r="F47" s="50"/>
      <c r="H47" s="37"/>
      <c r="I47" s="49"/>
      <c r="K47" s="35"/>
      <c r="L47" s="37"/>
      <c r="M47" s="35"/>
    </row>
    <row r="48" spans="1:13" ht="16" x14ac:dyDescent="0.2">
      <c r="A48" s="19" t="s">
        <v>56</v>
      </c>
      <c r="B48" s="36" t="s">
        <v>60</v>
      </c>
      <c r="C48" s="4">
        <v>29.937777437145499</v>
      </c>
      <c r="D48" s="37">
        <f>AVERAGE(C48:C49)</f>
        <v>30.662221714497647</v>
      </c>
      <c r="E48" s="37">
        <v>18.873976007408302</v>
      </c>
      <c r="F48" s="50">
        <f t="shared" ref="F48" si="35">D48-E48</f>
        <v>11.788245707089345</v>
      </c>
      <c r="H48" s="37">
        <f t="shared" si="5"/>
        <v>1.6296797594549801</v>
      </c>
      <c r="I48" s="49">
        <f>2^-(H48)</f>
        <v>0.32315993274679156</v>
      </c>
      <c r="K48" s="35">
        <f>I48/$J$2</f>
        <v>0.29321948963534511</v>
      </c>
      <c r="L48" s="37"/>
      <c r="M48" s="35"/>
    </row>
    <row r="49" spans="1:13" ht="16" x14ac:dyDescent="0.2">
      <c r="A49" s="19" t="s">
        <v>56</v>
      </c>
      <c r="B49" s="36"/>
      <c r="C49" s="4">
        <v>31.386665991849799</v>
      </c>
      <c r="D49" s="37"/>
      <c r="E49" s="37"/>
      <c r="F49" s="50"/>
      <c r="H49" s="37"/>
      <c r="I49" s="49"/>
      <c r="K49" s="35"/>
      <c r="L49" s="37"/>
      <c r="M49" s="35"/>
    </row>
    <row r="50" spans="1:13" ht="16" x14ac:dyDescent="0.2">
      <c r="C50" s="4"/>
    </row>
    <row r="51" spans="1:13" ht="16" x14ac:dyDescent="0.2">
      <c r="C51" s="4"/>
    </row>
    <row r="52" spans="1:13" ht="16" x14ac:dyDescent="0.2">
      <c r="C52" s="4"/>
    </row>
  </sheetData>
  <mergeCells count="186">
    <mergeCell ref="K42:K43"/>
    <mergeCell ref="K44:K45"/>
    <mergeCell ref="K46:K47"/>
    <mergeCell ref="K48:K49"/>
    <mergeCell ref="L42:L49"/>
    <mergeCell ref="M42:M49"/>
    <mergeCell ref="F42:F43"/>
    <mergeCell ref="F44:F45"/>
    <mergeCell ref="F46:F47"/>
    <mergeCell ref="F48:F49"/>
    <mergeCell ref="H42:H43"/>
    <mergeCell ref="H44:H45"/>
    <mergeCell ref="H46:H47"/>
    <mergeCell ref="H48:H49"/>
    <mergeCell ref="I42:I43"/>
    <mergeCell ref="I44:I45"/>
    <mergeCell ref="I46:I47"/>
    <mergeCell ref="I48:I49"/>
    <mergeCell ref="B42:B43"/>
    <mergeCell ref="B44:B45"/>
    <mergeCell ref="B46:B47"/>
    <mergeCell ref="B48:B49"/>
    <mergeCell ref="D42:D43"/>
    <mergeCell ref="D44:D45"/>
    <mergeCell ref="D46:D47"/>
    <mergeCell ref="D48:D49"/>
    <mergeCell ref="E42:E43"/>
    <mergeCell ref="E44:E45"/>
    <mergeCell ref="E46:E47"/>
    <mergeCell ref="E48:E49"/>
    <mergeCell ref="K38:K39"/>
    <mergeCell ref="B34:B35"/>
    <mergeCell ref="J34:J41"/>
    <mergeCell ref="K34:K35"/>
    <mergeCell ref="L26:L33"/>
    <mergeCell ref="M26:M33"/>
    <mergeCell ref="L34:L41"/>
    <mergeCell ref="M34:M41"/>
    <mergeCell ref="B36:B37"/>
    <mergeCell ref="D36:D37"/>
    <mergeCell ref="E36:E37"/>
    <mergeCell ref="F36:F37"/>
    <mergeCell ref="H36:H37"/>
    <mergeCell ref="I36:I37"/>
    <mergeCell ref="K36:K37"/>
    <mergeCell ref="B38:B39"/>
    <mergeCell ref="K40:K41"/>
    <mergeCell ref="B40:B41"/>
    <mergeCell ref="D40:D41"/>
    <mergeCell ref="E40:E41"/>
    <mergeCell ref="F40:F41"/>
    <mergeCell ref="H40:H41"/>
    <mergeCell ref="I40:I41"/>
    <mergeCell ref="D38:D39"/>
    <mergeCell ref="E38:E39"/>
    <mergeCell ref="F38:F39"/>
    <mergeCell ref="D32:D33"/>
    <mergeCell ref="E32:E33"/>
    <mergeCell ref="F32:F33"/>
    <mergeCell ref="H32:H33"/>
    <mergeCell ref="I32:I33"/>
    <mergeCell ref="D34:D35"/>
    <mergeCell ref="E34:E35"/>
    <mergeCell ref="F34:F35"/>
    <mergeCell ref="H34:H35"/>
    <mergeCell ref="I34:I35"/>
    <mergeCell ref="H38:H39"/>
    <mergeCell ref="I38:I39"/>
    <mergeCell ref="B26:B27"/>
    <mergeCell ref="D26:D27"/>
    <mergeCell ref="E26:E27"/>
    <mergeCell ref="F26:F27"/>
    <mergeCell ref="H26:H27"/>
    <mergeCell ref="I26:I27"/>
    <mergeCell ref="J26:J33"/>
    <mergeCell ref="K26:K27"/>
    <mergeCell ref="D30:D31"/>
    <mergeCell ref="E30:E31"/>
    <mergeCell ref="F30:F31"/>
    <mergeCell ref="H30:H31"/>
    <mergeCell ref="I30:I31"/>
    <mergeCell ref="K30:K31"/>
    <mergeCell ref="B28:B29"/>
    <mergeCell ref="D28:D29"/>
    <mergeCell ref="E28:E29"/>
    <mergeCell ref="F28:F29"/>
    <mergeCell ref="H28:H29"/>
    <mergeCell ref="I28:I29"/>
    <mergeCell ref="K28:K29"/>
    <mergeCell ref="B30:B31"/>
    <mergeCell ref="K32:K33"/>
    <mergeCell ref="B32:B33"/>
    <mergeCell ref="L10:L17"/>
    <mergeCell ref="M10:M17"/>
    <mergeCell ref="L18:L25"/>
    <mergeCell ref="M18:M25"/>
    <mergeCell ref="B20:B21"/>
    <mergeCell ref="D20:D21"/>
    <mergeCell ref="E20:E21"/>
    <mergeCell ref="F20:F21"/>
    <mergeCell ref="H20:H21"/>
    <mergeCell ref="I20:I21"/>
    <mergeCell ref="K20:K21"/>
    <mergeCell ref="B22:B23"/>
    <mergeCell ref="K24:K25"/>
    <mergeCell ref="B24:B25"/>
    <mergeCell ref="D24:D25"/>
    <mergeCell ref="E24:E25"/>
    <mergeCell ref="F24:F25"/>
    <mergeCell ref="H24:H25"/>
    <mergeCell ref="I24:I25"/>
    <mergeCell ref="B18:B19"/>
    <mergeCell ref="D18:D19"/>
    <mergeCell ref="E18:E19"/>
    <mergeCell ref="F18:F19"/>
    <mergeCell ref="H18:H19"/>
    <mergeCell ref="K18:K19"/>
    <mergeCell ref="D22:D23"/>
    <mergeCell ref="E22:E23"/>
    <mergeCell ref="F22:F23"/>
    <mergeCell ref="H22:H23"/>
    <mergeCell ref="I22:I23"/>
    <mergeCell ref="K22:K23"/>
    <mergeCell ref="I18:I19"/>
    <mergeCell ref="J18:J25"/>
    <mergeCell ref="K2:K3"/>
    <mergeCell ref="B12:B13"/>
    <mergeCell ref="D12:D13"/>
    <mergeCell ref="E12:E13"/>
    <mergeCell ref="F12:F13"/>
    <mergeCell ref="H12:H13"/>
    <mergeCell ref="I12:I13"/>
    <mergeCell ref="K12:K13"/>
    <mergeCell ref="B14:B15"/>
    <mergeCell ref="K8:K9"/>
    <mergeCell ref="B10:B11"/>
    <mergeCell ref="D10:D11"/>
    <mergeCell ref="E10:E11"/>
    <mergeCell ref="F10:F11"/>
    <mergeCell ref="H10:H11"/>
    <mergeCell ref="I10:I11"/>
    <mergeCell ref="J10:J17"/>
    <mergeCell ref="K10:K11"/>
    <mergeCell ref="B8:B9"/>
    <mergeCell ref="D8:D9"/>
    <mergeCell ref="E8:E9"/>
    <mergeCell ref="F8:F9"/>
    <mergeCell ref="H8:H9"/>
    <mergeCell ref="I8:I9"/>
    <mergeCell ref="D14:D15"/>
    <mergeCell ref="E14:E15"/>
    <mergeCell ref="F14:F15"/>
    <mergeCell ref="H14:H15"/>
    <mergeCell ref="I14:I15"/>
    <mergeCell ref="K14:K15"/>
    <mergeCell ref="K16:K17"/>
    <mergeCell ref="B16:B17"/>
    <mergeCell ref="D16:D17"/>
    <mergeCell ref="E16:E17"/>
    <mergeCell ref="F16:F17"/>
    <mergeCell ref="H16:H17"/>
    <mergeCell ref="I16:I17"/>
    <mergeCell ref="L2:L9"/>
    <mergeCell ref="M2:M9"/>
    <mergeCell ref="H4:H5"/>
    <mergeCell ref="I4:I5"/>
    <mergeCell ref="K4:K5"/>
    <mergeCell ref="K6:K7"/>
    <mergeCell ref="B2:B3"/>
    <mergeCell ref="D2:D3"/>
    <mergeCell ref="E2:E3"/>
    <mergeCell ref="F2:F3"/>
    <mergeCell ref="G2:G9"/>
    <mergeCell ref="B4:B5"/>
    <mergeCell ref="D4:D5"/>
    <mergeCell ref="E4:E5"/>
    <mergeCell ref="F4:F5"/>
    <mergeCell ref="B6:B7"/>
    <mergeCell ref="D6:D7"/>
    <mergeCell ref="E6:E7"/>
    <mergeCell ref="F6:F7"/>
    <mergeCell ref="H6:H7"/>
    <mergeCell ref="I6:I7"/>
    <mergeCell ref="H2:H3"/>
    <mergeCell ref="I2:I3"/>
    <mergeCell ref="J2:J9"/>
  </mergeCells>
  <phoneticPr fontId="1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A3B6A-AF63-417C-A1F5-B67ABFA9FAE0}">
  <dimension ref="A1:M51"/>
  <sheetViews>
    <sheetView topLeftCell="I10" workbookViewId="0">
      <selection activeCell="A42" sqref="A42:A49"/>
    </sheetView>
  </sheetViews>
  <sheetFormatPr baseColWidth="10" defaultColWidth="8.83203125" defaultRowHeight="15" x14ac:dyDescent="0.2"/>
  <cols>
    <col min="1" max="1" width="16.1640625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3" max="13" width="13.6640625" customWidth="1"/>
  </cols>
  <sheetData>
    <row r="1" spans="1:13" ht="16" x14ac:dyDescent="0.2">
      <c r="A1" s="2" t="s">
        <v>51</v>
      </c>
      <c r="B1" s="6" t="s">
        <v>2</v>
      </c>
      <c r="C1" s="3" t="s">
        <v>40</v>
      </c>
      <c r="D1" s="2" t="s">
        <v>4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 ht="16" x14ac:dyDescent="0.2">
      <c r="A2" s="34" t="s">
        <v>64</v>
      </c>
      <c r="B2" s="39">
        <v>1</v>
      </c>
      <c r="C2" s="4">
        <v>34.29</v>
      </c>
      <c r="D2" s="37">
        <f>AVERAGE(C2:C3)</f>
        <v>34.195</v>
      </c>
      <c r="E2" s="37">
        <v>17.190287859484446</v>
      </c>
      <c r="F2" s="50">
        <f>D2-E2</f>
        <v>17.004712140515554</v>
      </c>
      <c r="G2" s="37">
        <f>AVERAGE(F2:F9)</f>
        <v>17.463565947634368</v>
      </c>
      <c r="H2" s="37">
        <f>F2-$G$2</f>
        <v>-0.45885380711881396</v>
      </c>
      <c r="I2" s="49">
        <f>2^-(H2)</f>
        <v>1.374449411180809</v>
      </c>
      <c r="J2" s="37">
        <f>AVERAGE(I2:I9)</f>
        <v>1.1875246187896664</v>
      </c>
      <c r="K2" s="35">
        <f>I2/$J$2</f>
        <v>1.1574070881845444</v>
      </c>
      <c r="L2" s="37">
        <f>AVERAGE(K2:K9)</f>
        <v>1</v>
      </c>
      <c r="M2" s="35">
        <f>STDEV(K2:K9)/4</f>
        <v>0.13382387181129821</v>
      </c>
    </row>
    <row r="3" spans="1:13" ht="16" x14ac:dyDescent="0.2">
      <c r="A3" s="34" t="s">
        <v>64</v>
      </c>
      <c r="B3" s="39"/>
      <c r="C3" s="4">
        <v>34.1</v>
      </c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ht="16" x14ac:dyDescent="0.2">
      <c r="A4" s="34" t="s">
        <v>64</v>
      </c>
      <c r="B4" s="36" t="s">
        <v>9</v>
      </c>
      <c r="C4" s="4">
        <v>34.479999999999997</v>
      </c>
      <c r="D4" s="37">
        <f>AVERAGE(C4:C5)</f>
        <v>33.739999999999995</v>
      </c>
      <c r="E4" s="37">
        <v>17.164287644881519</v>
      </c>
      <c r="F4" s="50">
        <f t="shared" ref="F4" si="0">D4-E4</f>
        <v>16.575712355118476</v>
      </c>
      <c r="G4" s="37"/>
      <c r="H4" s="37">
        <f>F4-$G$2</f>
        <v>-0.88785359251589213</v>
      </c>
      <c r="I4" s="49">
        <f>2^-(H4)</f>
        <v>1.8504210622373929</v>
      </c>
      <c r="J4" s="37"/>
      <c r="K4" s="35">
        <f>I4/$J$2</f>
        <v>1.5582170112172962</v>
      </c>
      <c r="L4" s="37"/>
      <c r="M4" s="35"/>
    </row>
    <row r="5" spans="1:13" ht="16" x14ac:dyDescent="0.2">
      <c r="A5" s="34" t="s">
        <v>64</v>
      </c>
      <c r="B5" s="36"/>
      <c r="C5" s="4">
        <v>33</v>
      </c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ht="16" x14ac:dyDescent="0.2">
      <c r="A6" s="34" t="s">
        <v>64</v>
      </c>
      <c r="B6" s="36" t="s">
        <v>10</v>
      </c>
      <c r="C6" s="4">
        <v>35.770000000000003</v>
      </c>
      <c r="D6" s="37">
        <f>AVERAGE(C6:C7)</f>
        <v>34.975000000000001</v>
      </c>
      <c r="E6" s="37">
        <v>15.905719176330518</v>
      </c>
      <c r="F6" s="50">
        <f t="shared" ref="F6" si="1">D6-E6</f>
        <v>19.069280823669484</v>
      </c>
      <c r="G6" s="37"/>
      <c r="H6" s="37">
        <f t="shared" ref="H6" si="2">F6-$G$2</f>
        <v>1.6057148760351154</v>
      </c>
      <c r="I6" s="49">
        <f>2^-(H6)</f>
        <v>0.32857283716453456</v>
      </c>
      <c r="J6" s="37"/>
      <c r="K6" s="35">
        <f>I6/$J$2</f>
        <v>0.27668717933563208</v>
      </c>
      <c r="L6" s="37"/>
      <c r="M6" s="35"/>
    </row>
    <row r="7" spans="1:13" ht="16" x14ac:dyDescent="0.2">
      <c r="A7" s="34" t="s">
        <v>64</v>
      </c>
      <c r="B7" s="36"/>
      <c r="C7" s="4">
        <v>34.18</v>
      </c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ht="16" x14ac:dyDescent="0.2">
      <c r="A8" s="34" t="s">
        <v>64</v>
      </c>
      <c r="B8" s="36" t="s">
        <v>11</v>
      </c>
      <c r="C8" s="4">
        <v>34.090000000000003</v>
      </c>
      <c r="D8" s="37">
        <f>AVERAGE(C8:C9)</f>
        <v>33.255000000000003</v>
      </c>
      <c r="E8" s="37">
        <v>16.050441528766051</v>
      </c>
      <c r="F8" s="50">
        <f t="shared" ref="F8" si="3">D8-E8</f>
        <v>17.204558471233952</v>
      </c>
      <c r="G8" s="37"/>
      <c r="H8" s="37">
        <f t="shared" ref="H8:H48" si="4">F8-$G$2</f>
        <v>-0.25900747640041644</v>
      </c>
      <c r="I8" s="49">
        <f>2^-(H8)</f>
        <v>1.1966551645759296</v>
      </c>
      <c r="J8" s="37"/>
      <c r="K8" s="35">
        <f>I8/$J$2</f>
        <v>1.0076887212625276</v>
      </c>
      <c r="L8" s="37"/>
      <c r="M8" s="35"/>
    </row>
    <row r="9" spans="1:13" ht="15" customHeight="1" x14ac:dyDescent="0.2">
      <c r="A9" s="34" t="s">
        <v>64</v>
      </c>
      <c r="B9" s="36"/>
      <c r="C9" s="4">
        <v>32.42</v>
      </c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4" t="s">
        <v>63</v>
      </c>
      <c r="B10" s="36" t="s">
        <v>13</v>
      </c>
      <c r="C10" s="4">
        <v>35.1</v>
      </c>
      <c r="D10" s="37">
        <f>AVERAGE(C10:C11)</f>
        <v>35.120000000000005</v>
      </c>
      <c r="E10" s="37">
        <v>17.143829345000096</v>
      </c>
      <c r="F10" s="50">
        <f t="shared" ref="F10" si="5">D10-E10</f>
        <v>17.976170654999908</v>
      </c>
      <c r="G10" s="8"/>
      <c r="H10" s="37">
        <f t="shared" si="4"/>
        <v>0.51260470736553998</v>
      </c>
      <c r="I10" s="49">
        <f>2^-(H10)</f>
        <v>0.700955757287272</v>
      </c>
      <c r="J10" s="37"/>
      <c r="K10" s="35">
        <f>I10/$J$2</f>
        <v>0.59026629528042218</v>
      </c>
      <c r="L10" s="37">
        <f t="shared" ref="L10" si="6">AVERAGE(K10:K17)</f>
        <v>1.287600873233143</v>
      </c>
      <c r="M10" s="35">
        <f t="shared" ref="M10" si="7">STDEV(K10:K17)/4</f>
        <v>0.22292233089280034</v>
      </c>
    </row>
    <row r="11" spans="1:13" ht="15" customHeight="1" x14ac:dyDescent="0.2">
      <c r="A11" s="34" t="s">
        <v>63</v>
      </c>
      <c r="B11" s="36"/>
      <c r="C11" s="4">
        <v>35.14</v>
      </c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4" t="s">
        <v>63</v>
      </c>
      <c r="B12" s="36" t="s">
        <v>14</v>
      </c>
      <c r="C12" s="4">
        <v>36.880000000000003</v>
      </c>
      <c r="D12" s="37">
        <f>AVERAGE(C12:C13)</f>
        <v>35.495000000000005</v>
      </c>
      <c r="E12" s="37">
        <v>17.978019717604003</v>
      </c>
      <c r="F12" s="50">
        <f t="shared" ref="F12" si="8">D12-E12</f>
        <v>17.516980282396002</v>
      </c>
      <c r="G12" s="8"/>
      <c r="H12" s="37">
        <f t="shared" si="4"/>
        <v>5.3414334761633597E-2</v>
      </c>
      <c r="I12" s="49">
        <f>2^-(H12)</f>
        <v>0.96365301169577766</v>
      </c>
      <c r="J12" s="37"/>
      <c r="K12" s="35">
        <f>I12/$J$2</f>
        <v>0.81148044970885713</v>
      </c>
      <c r="L12" s="37"/>
      <c r="M12" s="35"/>
    </row>
    <row r="13" spans="1:13" ht="15" customHeight="1" x14ac:dyDescent="0.2">
      <c r="A13" s="34" t="s">
        <v>63</v>
      </c>
      <c r="B13" s="36"/>
      <c r="C13" s="4">
        <v>34.11</v>
      </c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4" t="s">
        <v>63</v>
      </c>
      <c r="B14" s="36" t="s">
        <v>15</v>
      </c>
      <c r="C14" s="4">
        <v>34.99</v>
      </c>
      <c r="D14" s="37">
        <f>AVERAGE(C14:C15)</f>
        <v>34.96</v>
      </c>
      <c r="E14" s="37">
        <v>17.974532197115273</v>
      </c>
      <c r="F14" s="50">
        <f t="shared" ref="F14" si="9">D14-E14</f>
        <v>16.985467802884727</v>
      </c>
      <c r="G14" s="8"/>
      <c r="H14" s="37">
        <f t="shared" si="4"/>
        <v>-0.47809814474964085</v>
      </c>
      <c r="I14" s="49">
        <f>2^-(H14)</f>
        <v>1.3929062351250816</v>
      </c>
      <c r="J14" s="37"/>
      <c r="K14" s="35">
        <f>I14/$J$2</f>
        <v>1.1729493545529537</v>
      </c>
      <c r="L14" s="37"/>
      <c r="M14" s="35"/>
    </row>
    <row r="15" spans="1:13" ht="15" customHeight="1" x14ac:dyDescent="0.2">
      <c r="A15" s="34" t="s">
        <v>63</v>
      </c>
      <c r="B15" s="36"/>
      <c r="C15" s="4">
        <v>34.93</v>
      </c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4" t="s">
        <v>63</v>
      </c>
      <c r="B16" s="36" t="s">
        <v>16</v>
      </c>
      <c r="C16" s="4">
        <v>33.57</v>
      </c>
      <c r="D16" s="37">
        <f>AVERAGE(C16:C17)</f>
        <v>33.17</v>
      </c>
      <c r="E16" s="37">
        <v>17.319360183997457</v>
      </c>
      <c r="F16" s="50">
        <f t="shared" ref="F16" si="10">D16-E16</f>
        <v>15.850639816002545</v>
      </c>
      <c r="G16" s="8"/>
      <c r="H16" s="37">
        <f t="shared" si="4"/>
        <v>-1.6129261316318235</v>
      </c>
      <c r="I16" s="49">
        <f>2^-(H16)</f>
        <v>3.0587159404495874</v>
      </c>
      <c r="J16" s="37"/>
      <c r="K16" s="35">
        <f>I16/$J$2</f>
        <v>2.5757073933903389</v>
      </c>
      <c r="L16" s="37"/>
      <c r="M16" s="35"/>
    </row>
    <row r="17" spans="1:13" ht="15" customHeight="1" x14ac:dyDescent="0.2">
      <c r="A17" s="34" t="s">
        <v>63</v>
      </c>
      <c r="B17" s="36"/>
      <c r="C17" s="4">
        <v>32.770000000000003</v>
      </c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19" t="s">
        <v>53</v>
      </c>
      <c r="B18" s="36" t="s">
        <v>18</v>
      </c>
      <c r="C18" s="4">
        <v>34.47</v>
      </c>
      <c r="D18" s="37">
        <f>AVERAGE(C18:C19)</f>
        <v>34.15</v>
      </c>
      <c r="E18" s="37">
        <v>19.205252186246113</v>
      </c>
      <c r="F18" s="50">
        <f t="shared" ref="F18" si="11">D18-E18</f>
        <v>14.944747813753885</v>
      </c>
      <c r="G18" s="8"/>
      <c r="H18" s="37">
        <f t="shared" si="4"/>
        <v>-2.5188181338804831</v>
      </c>
      <c r="I18" s="49">
        <f>2^-(H18)</f>
        <v>5.7311240905195158</v>
      </c>
      <c r="J18" s="37"/>
      <c r="K18" s="35">
        <f>I18/$J$2</f>
        <v>4.8261097074018711</v>
      </c>
      <c r="L18" s="37">
        <f t="shared" ref="L18" si="12">AVERAGE(K18:K25)</f>
        <v>2.79220636271942</v>
      </c>
      <c r="M18" s="35">
        <f t="shared" ref="M18" si="13">STDEV(K18:K25)/4</f>
        <v>0.46410505083142928</v>
      </c>
    </row>
    <row r="19" spans="1:13" ht="15" customHeight="1" x14ac:dyDescent="0.2">
      <c r="A19" s="19" t="s">
        <v>53</v>
      </c>
      <c r="B19" s="36"/>
      <c r="C19" s="4">
        <v>33.83</v>
      </c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19" t="s">
        <v>53</v>
      </c>
      <c r="B20" s="36" t="s">
        <v>19</v>
      </c>
      <c r="C20" s="4">
        <v>33.229999999999997</v>
      </c>
      <c r="D20" s="37">
        <f>AVERAGE(C20:C21)</f>
        <v>32.814999999999998</v>
      </c>
      <c r="E20" s="37">
        <v>17.51825332356341</v>
      </c>
      <c r="F20" s="50">
        <f t="shared" ref="F20" si="14">D20-E20</f>
        <v>15.296746676436587</v>
      </c>
      <c r="G20" s="8"/>
      <c r="H20" s="37">
        <f t="shared" si="4"/>
        <v>-2.1668192711977809</v>
      </c>
      <c r="I20" s="49">
        <f>2^-(H20)</f>
        <v>4.4903231428269574</v>
      </c>
      <c r="J20" s="37"/>
      <c r="K20" s="35">
        <f>I20/$J$2</f>
        <v>3.7812463605205311</v>
      </c>
      <c r="L20" s="37"/>
      <c r="M20" s="35"/>
    </row>
    <row r="21" spans="1:13" ht="15" customHeight="1" x14ac:dyDescent="0.2">
      <c r="A21" s="20" t="s">
        <v>53</v>
      </c>
      <c r="B21" s="36"/>
      <c r="C21" s="4">
        <v>32.4</v>
      </c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20" t="s">
        <v>53</v>
      </c>
      <c r="B22" s="36" t="s">
        <v>20</v>
      </c>
      <c r="C22" s="4">
        <v>34.5</v>
      </c>
      <c r="D22" s="37">
        <f>AVERAGE(C22:C23)</f>
        <v>33.774999999999999</v>
      </c>
      <c r="E22" s="37">
        <v>17.449205574599276</v>
      </c>
      <c r="F22" s="50">
        <f t="shared" ref="F22" si="15">D22-E22</f>
        <v>16.325794425400723</v>
      </c>
      <c r="G22" s="8"/>
      <c r="H22" s="37">
        <f t="shared" si="4"/>
        <v>-1.1377715222336455</v>
      </c>
      <c r="I22" s="49">
        <f>2^-(H22)</f>
        <v>2.2004087152262164</v>
      </c>
      <c r="J22" s="37"/>
      <c r="K22" s="35">
        <f>I22/$J$2</f>
        <v>1.8529373458117346</v>
      </c>
      <c r="L22" s="37"/>
      <c r="M22" s="35"/>
    </row>
    <row r="23" spans="1:13" ht="15" customHeight="1" x14ac:dyDescent="0.2">
      <c r="A23" s="20" t="s">
        <v>53</v>
      </c>
      <c r="B23" s="36"/>
      <c r="C23" s="4">
        <v>33.049999999999997</v>
      </c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20" t="s">
        <v>53</v>
      </c>
      <c r="B24" s="36" t="s">
        <v>21</v>
      </c>
      <c r="C24" s="4">
        <v>35.44</v>
      </c>
      <c r="D24" s="37">
        <f>AVERAGE(C24:C25)</f>
        <v>34.605000000000004</v>
      </c>
      <c r="E24" s="37">
        <v>16.892296467846915</v>
      </c>
      <c r="F24" s="50">
        <f t="shared" ref="F24" si="16">D24-E24</f>
        <v>17.712703532153089</v>
      </c>
      <c r="G24" s="8"/>
      <c r="H24" s="37">
        <f t="shared" si="4"/>
        <v>0.2491375845187207</v>
      </c>
      <c r="I24" s="49">
        <f>2^-(H24)</f>
        <v>0.84139923730915089</v>
      </c>
      <c r="J24" s="37"/>
      <c r="K24" s="35">
        <f>I24/$J$2</f>
        <v>0.70853203714354229</v>
      </c>
      <c r="L24" s="37"/>
      <c r="M24" s="35"/>
    </row>
    <row r="25" spans="1:13" ht="15" customHeight="1" x14ac:dyDescent="0.2">
      <c r="A25" s="20" t="s">
        <v>53</v>
      </c>
      <c r="B25" s="36"/>
      <c r="C25" s="4">
        <v>33.770000000000003</v>
      </c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19" t="s">
        <v>54</v>
      </c>
      <c r="B26" s="36" t="s">
        <v>23</v>
      </c>
      <c r="C26" s="4">
        <v>34.619999999999997</v>
      </c>
      <c r="D26" s="37">
        <f>AVERAGE(C26:C27)</f>
        <v>34.459999999999994</v>
      </c>
      <c r="E26" s="37">
        <v>17.460951826505497</v>
      </c>
      <c r="F26" s="50">
        <f t="shared" ref="F26" si="17">D26-E26</f>
        <v>16.999048173494497</v>
      </c>
      <c r="G26" s="8"/>
      <c r="H26" s="37">
        <f t="shared" si="4"/>
        <v>-0.46451777413987116</v>
      </c>
      <c r="I26" s="49">
        <f>2^-(H26)</f>
        <v>1.3798560545962391</v>
      </c>
      <c r="J26" s="37"/>
      <c r="K26" s="35">
        <f>I26/$J$2</f>
        <v>1.1619599566723915</v>
      </c>
      <c r="L26" s="37">
        <f t="shared" ref="L26" si="18">AVERAGE(K26:K33)</f>
        <v>2.3636044025246239</v>
      </c>
      <c r="M26" s="35">
        <f t="shared" ref="M26" si="19">STDEV(K26:K33)/4</f>
        <v>0.24579048260325648</v>
      </c>
    </row>
    <row r="27" spans="1:13" ht="15" customHeight="1" x14ac:dyDescent="0.2">
      <c r="A27" s="19" t="s">
        <v>54</v>
      </c>
      <c r="B27" s="36"/>
      <c r="C27" s="4">
        <v>34.299999999999997</v>
      </c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19" t="s">
        <v>54</v>
      </c>
      <c r="B28" s="36" t="s">
        <v>24</v>
      </c>
      <c r="C28" s="4">
        <v>34.04</v>
      </c>
      <c r="D28" s="37">
        <f>AVERAGE(C28:C29)</f>
        <v>33.659999999999997</v>
      </c>
      <c r="E28" s="37">
        <v>17.810378746674107</v>
      </c>
      <c r="F28" s="50">
        <f t="shared" ref="F28" si="20">D28-E28</f>
        <v>15.849621253325889</v>
      </c>
      <c r="G28" s="8"/>
      <c r="H28" s="37">
        <f t="shared" si="4"/>
        <v>-1.6139446943084792</v>
      </c>
      <c r="I28" s="49">
        <f>2^-(H28)</f>
        <v>3.0608761987556652</v>
      </c>
      <c r="J28" s="37"/>
      <c r="K28" s="35">
        <f>I28/$J$2</f>
        <v>2.5775265205662281</v>
      </c>
      <c r="L28" s="37"/>
      <c r="M28" s="35"/>
    </row>
    <row r="29" spans="1:13" ht="15" customHeight="1" x14ac:dyDescent="0.2">
      <c r="A29" s="19" t="s">
        <v>54</v>
      </c>
      <c r="B29" s="36"/>
      <c r="C29" s="4">
        <v>33.28</v>
      </c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19" t="s">
        <v>54</v>
      </c>
      <c r="B30" s="36" t="s">
        <v>25</v>
      </c>
      <c r="C30" s="4">
        <v>33.64</v>
      </c>
      <c r="D30" s="37">
        <f>AVERAGE(C30:C31)</f>
        <v>33.03</v>
      </c>
      <c r="E30" s="37">
        <v>17.636734292930214</v>
      </c>
      <c r="F30" s="50">
        <f>D30-E30</f>
        <v>15.393265707069787</v>
      </c>
      <c r="G30" s="8"/>
      <c r="H30" s="37">
        <f t="shared" si="4"/>
        <v>-2.0703002405645812</v>
      </c>
      <c r="I30" s="49">
        <f>2^-(H30)</f>
        <v>4.1997406553639216</v>
      </c>
      <c r="J30" s="37"/>
      <c r="K30" s="35">
        <f>I30/$J$2</f>
        <v>3.5365503913883716</v>
      </c>
      <c r="L30" s="37"/>
      <c r="M30" s="35"/>
    </row>
    <row r="31" spans="1:13" ht="15" customHeight="1" x14ac:dyDescent="0.2">
      <c r="A31" s="19" t="s">
        <v>54</v>
      </c>
      <c r="B31" s="36"/>
      <c r="C31" s="4">
        <v>32.42</v>
      </c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19" t="s">
        <v>54</v>
      </c>
      <c r="B32" s="36" t="s">
        <v>26</v>
      </c>
      <c r="C32" s="4">
        <v>34.57</v>
      </c>
      <c r="D32" s="37">
        <f>AVERAGE(C32:C33)</f>
        <v>34.489999999999995</v>
      </c>
      <c r="E32" s="37">
        <v>18.397647607932122</v>
      </c>
      <c r="F32" s="50">
        <f t="shared" ref="F32" si="21">D32-E32</f>
        <v>16.092352392067873</v>
      </c>
      <c r="G32" s="8"/>
      <c r="H32" s="37">
        <f t="shared" si="4"/>
        <v>-1.371213555566495</v>
      </c>
      <c r="I32" s="49">
        <f>2^-(H32)</f>
        <v>2.586880759594699</v>
      </c>
      <c r="J32" s="37"/>
      <c r="K32" s="35">
        <f>I32/$J$2</f>
        <v>2.1783807414715044</v>
      </c>
      <c r="L32" s="37"/>
      <c r="M32" s="35"/>
    </row>
    <row r="33" spans="1:13" ht="15" customHeight="1" x14ac:dyDescent="0.2">
      <c r="A33" s="19" t="s">
        <v>54</v>
      </c>
      <c r="B33" s="36"/>
      <c r="C33" s="4">
        <v>34.409999999999997</v>
      </c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19" t="s">
        <v>55</v>
      </c>
      <c r="B34" s="36" t="s">
        <v>28</v>
      </c>
      <c r="C34" s="4">
        <v>34.14</v>
      </c>
      <c r="D34" s="37">
        <f>AVERAGE(C34:C35)</f>
        <v>33.840000000000003</v>
      </c>
      <c r="E34" s="37">
        <v>16.509506697394823</v>
      </c>
      <c r="F34" s="50">
        <f t="shared" ref="F34" si="22">D34-E34</f>
        <v>17.330493302605181</v>
      </c>
      <c r="G34" s="8"/>
      <c r="H34" s="37">
        <f t="shared" si="4"/>
        <v>-0.1330726450291877</v>
      </c>
      <c r="I34" s="49">
        <f>2^-(H34)</f>
        <v>1.0966268064117826</v>
      </c>
      <c r="J34" s="37"/>
      <c r="K34" s="35">
        <f>I34/$J$2</f>
        <v>0.92345606066632324</v>
      </c>
      <c r="L34" s="37">
        <f t="shared" ref="L34" si="23">AVERAGE(K34:K41)</f>
        <v>4.4450873192737088</v>
      </c>
      <c r="M34" s="35">
        <f t="shared" ref="M34" si="24">STDEV(K34:K41)/4</f>
        <v>0.82166575866911318</v>
      </c>
    </row>
    <row r="35" spans="1:13" ht="15" customHeight="1" x14ac:dyDescent="0.2">
      <c r="A35" s="19" t="s">
        <v>55</v>
      </c>
      <c r="B35" s="36"/>
      <c r="C35" s="4">
        <v>33.54</v>
      </c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19" t="s">
        <v>55</v>
      </c>
      <c r="B36" s="36" t="s">
        <v>29</v>
      </c>
      <c r="C36" s="4">
        <v>33.54</v>
      </c>
      <c r="D36" s="37">
        <f>AVERAGE(C36:C37)</f>
        <v>32.849999999999994</v>
      </c>
      <c r="E36" s="37">
        <v>18.343164352268513</v>
      </c>
      <c r="F36" s="50">
        <f t="shared" ref="F36" si="25">D36-E36</f>
        <v>14.506835647731481</v>
      </c>
      <c r="G36" s="8"/>
      <c r="H36" s="37">
        <f t="shared" si="4"/>
        <v>-2.9567302999028868</v>
      </c>
      <c r="I36" s="49">
        <f>2^-(H36)</f>
        <v>7.7636242761118686</v>
      </c>
      <c r="J36" s="37"/>
      <c r="K36" s="35">
        <f>I36/$J$2</f>
        <v>6.5376533279997258</v>
      </c>
      <c r="L36" s="37"/>
      <c r="M36" s="35"/>
    </row>
    <row r="37" spans="1:13" ht="15" customHeight="1" x14ac:dyDescent="0.2">
      <c r="A37" s="19" t="s">
        <v>55</v>
      </c>
      <c r="B37" s="36"/>
      <c r="C37" s="4">
        <v>32.159999999999997</v>
      </c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19" t="s">
        <v>55</v>
      </c>
      <c r="B38" s="36" t="s">
        <v>30</v>
      </c>
      <c r="C38" s="4">
        <v>33.880000000000003</v>
      </c>
      <c r="D38" s="37">
        <f>AVERAGE(C38:C39)</f>
        <v>33.424999999999997</v>
      </c>
      <c r="E38" s="37">
        <v>17.506489233409525</v>
      </c>
      <c r="F38" s="50">
        <f t="shared" ref="F38" si="26">D38-E38</f>
        <v>15.918510766590472</v>
      </c>
      <c r="G38" s="8"/>
      <c r="H38" s="37">
        <f t="shared" si="4"/>
        <v>-1.5450551810438959</v>
      </c>
      <c r="I38" s="49">
        <f>2^-(H38)</f>
        <v>2.9181523015421553</v>
      </c>
      <c r="J38" s="37"/>
      <c r="K38" s="35">
        <f>I38/$J$2</f>
        <v>2.4573404671949932</v>
      </c>
      <c r="L38" s="37"/>
      <c r="M38" s="35"/>
    </row>
    <row r="39" spans="1:13" ht="15" customHeight="1" x14ac:dyDescent="0.2">
      <c r="A39" s="19" t="s">
        <v>55</v>
      </c>
      <c r="B39" s="36"/>
      <c r="C39" s="4">
        <v>32.97</v>
      </c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19" t="s">
        <v>55</v>
      </c>
      <c r="B40" s="36" t="s">
        <v>31</v>
      </c>
      <c r="C40" s="4">
        <v>33.21</v>
      </c>
      <c r="D40" s="37">
        <f>AVERAGE(C40:C41)</f>
        <v>32.950000000000003</v>
      </c>
      <c r="E40" s="37">
        <v>18.70926938210307</v>
      </c>
      <c r="F40" s="50">
        <f t="shared" ref="F40" si="27">D40-E40</f>
        <v>14.240730617896933</v>
      </c>
      <c r="G40" s="8"/>
      <c r="H40" s="37">
        <f t="shared" si="4"/>
        <v>-3.2228353297374355</v>
      </c>
      <c r="I40" s="49">
        <f>2^-(H40)</f>
        <v>9.3361991131633584</v>
      </c>
      <c r="J40" s="37"/>
      <c r="K40" s="35">
        <f>I40/$J$2</f>
        <v>7.861899421233792</v>
      </c>
      <c r="L40" s="37"/>
      <c r="M40" s="35"/>
    </row>
    <row r="41" spans="1:13" ht="15" customHeight="1" x14ac:dyDescent="0.2">
      <c r="A41" s="19" t="s">
        <v>55</v>
      </c>
      <c r="B41" s="36"/>
      <c r="C41" s="4">
        <v>32.69</v>
      </c>
      <c r="D41" s="37"/>
      <c r="E41" s="37"/>
      <c r="F41" s="50"/>
      <c r="G41" s="8"/>
      <c r="H41" s="37"/>
      <c r="I41" s="49"/>
      <c r="J41" s="37"/>
      <c r="K41" s="35"/>
      <c r="L41" s="37"/>
      <c r="M41" s="35"/>
    </row>
    <row r="42" spans="1:13" s="29" customFormat="1" ht="16" x14ac:dyDescent="0.2">
      <c r="A42" s="33" t="s">
        <v>56</v>
      </c>
      <c r="B42" s="36" t="s">
        <v>57</v>
      </c>
      <c r="C42" s="31">
        <v>35.077403374639303</v>
      </c>
      <c r="D42" s="37">
        <f>AVERAGE(C42:C43)</f>
        <v>34.961039452289157</v>
      </c>
      <c r="E42" s="37">
        <v>17.216022097920472</v>
      </c>
      <c r="F42" s="50">
        <f>D42-E42</f>
        <v>17.745017354368684</v>
      </c>
      <c r="H42" s="37">
        <f t="shared" si="4"/>
        <v>0.28145140673431612</v>
      </c>
      <c r="I42" s="49">
        <f>2^-(H42)</f>
        <v>0.82276286965172973</v>
      </c>
      <c r="K42" s="35">
        <f>I42/$J$2</f>
        <v>0.6928385792037689</v>
      </c>
      <c r="L42" s="37">
        <f t="shared" ref="L42" si="28">AVERAGE(K42:K49)</f>
        <v>4.2108905232682243</v>
      </c>
      <c r="M42" s="35">
        <f t="shared" ref="M42" si="29">STDEV(K42:K49)/4</f>
        <v>0.73200418524799327</v>
      </c>
    </row>
    <row r="43" spans="1:13" ht="16" x14ac:dyDescent="0.2">
      <c r="A43" s="32" t="s">
        <v>56</v>
      </c>
      <c r="B43" s="36"/>
      <c r="C43" s="4">
        <v>34.844675529939003</v>
      </c>
      <c r="D43" s="37"/>
      <c r="E43" s="37"/>
      <c r="F43" s="50"/>
      <c r="H43" s="37"/>
      <c r="I43" s="49"/>
      <c r="K43" s="35"/>
      <c r="L43" s="37"/>
      <c r="M43" s="35"/>
    </row>
    <row r="44" spans="1:13" ht="16" x14ac:dyDescent="0.2">
      <c r="A44" s="32" t="s">
        <v>56</v>
      </c>
      <c r="B44" s="36" t="s">
        <v>58</v>
      </c>
      <c r="C44" s="4">
        <v>33.465689057607499</v>
      </c>
      <c r="D44" s="37">
        <f>AVERAGE(C44:C45)</f>
        <v>33.6488145657476</v>
      </c>
      <c r="E44" s="37">
        <v>18.742090881478987</v>
      </c>
      <c r="F44" s="50">
        <f t="shared" ref="F44" si="30">D44-E44</f>
        <v>14.906723684268613</v>
      </c>
      <c r="H44" s="37">
        <f t="shared" si="4"/>
        <v>-2.5568422633657555</v>
      </c>
      <c r="I44" s="49">
        <f>2^-(H44)</f>
        <v>5.8841836027833176</v>
      </c>
      <c r="K44" s="35">
        <f>I44/$J$2</f>
        <v>4.9549992561674383</v>
      </c>
      <c r="L44" s="37"/>
      <c r="M44" s="35"/>
    </row>
    <row r="45" spans="1:13" ht="16" x14ac:dyDescent="0.2">
      <c r="A45" s="32" t="s">
        <v>56</v>
      </c>
      <c r="B45" s="36"/>
      <c r="C45" s="4">
        <v>33.831940073887701</v>
      </c>
      <c r="D45" s="37"/>
      <c r="E45" s="37"/>
      <c r="F45" s="50"/>
      <c r="H45" s="37"/>
      <c r="I45" s="49"/>
      <c r="K45" s="35"/>
      <c r="L45" s="37"/>
      <c r="M45" s="35"/>
    </row>
    <row r="46" spans="1:13" ht="16" x14ac:dyDescent="0.2">
      <c r="A46" s="32" t="s">
        <v>56</v>
      </c>
      <c r="B46" s="36" t="s">
        <v>59</v>
      </c>
      <c r="C46" s="4">
        <v>33.007376485883803</v>
      </c>
      <c r="D46" s="37">
        <f>AVERAGE(C46:C47)</f>
        <v>32.732949530746851</v>
      </c>
      <c r="E46" s="37">
        <v>18.464510655682574</v>
      </c>
      <c r="F46" s="50">
        <f t="shared" ref="F46" si="31">D46-E46</f>
        <v>14.268438875064277</v>
      </c>
      <c r="H46" s="37">
        <f t="shared" si="4"/>
        <v>-3.1951270725700915</v>
      </c>
      <c r="I46" s="49">
        <f>2^-(H46)</f>
        <v>9.1585999386886883</v>
      </c>
      <c r="K46" s="35">
        <f>I46/$J$2</f>
        <v>7.7123453221737828</v>
      </c>
      <c r="L46" s="37"/>
      <c r="M46" s="35"/>
    </row>
    <row r="47" spans="1:13" ht="16" x14ac:dyDescent="0.2">
      <c r="A47" s="32" t="s">
        <v>56</v>
      </c>
      <c r="B47" s="36"/>
      <c r="C47" s="4">
        <v>32.458522575609898</v>
      </c>
      <c r="D47" s="37"/>
      <c r="E47" s="37"/>
      <c r="F47" s="50"/>
      <c r="H47" s="37"/>
      <c r="I47" s="49"/>
      <c r="K47" s="35"/>
      <c r="L47" s="37"/>
      <c r="M47" s="35"/>
    </row>
    <row r="48" spans="1:13" ht="16" x14ac:dyDescent="0.2">
      <c r="A48" s="32" t="s">
        <v>56</v>
      </c>
      <c r="B48" s="36" t="s">
        <v>60</v>
      </c>
      <c r="C48" s="4">
        <v>34.558607879819199</v>
      </c>
      <c r="D48" s="37">
        <f>AVERAGE(C48:C49)</f>
        <v>34.289097109067498</v>
      </c>
      <c r="E48" s="37">
        <v>18.873976007408302</v>
      </c>
      <c r="F48" s="50">
        <f t="shared" ref="F48" si="32">D48-E48</f>
        <v>15.415121101659196</v>
      </c>
      <c r="H48" s="37">
        <f t="shared" si="4"/>
        <v>-2.0484448459751725</v>
      </c>
      <c r="I48" s="49">
        <f>2^-(H48)</f>
        <v>4.1365982425127328</v>
      </c>
      <c r="K48" s="35">
        <f>I48/$J$2</f>
        <v>3.4833789355279077</v>
      </c>
      <c r="L48" s="37"/>
      <c r="M48" s="35"/>
    </row>
    <row r="49" spans="1:13" ht="16" x14ac:dyDescent="0.2">
      <c r="A49" s="32" t="s">
        <v>56</v>
      </c>
      <c r="B49" s="36"/>
      <c r="C49" s="4">
        <v>34.019586338315797</v>
      </c>
      <c r="D49" s="37"/>
      <c r="E49" s="37"/>
      <c r="F49" s="50"/>
      <c r="H49" s="37"/>
      <c r="I49" s="49"/>
      <c r="K49" s="35"/>
      <c r="L49" s="37"/>
      <c r="M49" s="35"/>
    </row>
    <row r="50" spans="1:13" ht="16" x14ac:dyDescent="0.2">
      <c r="C50" s="4"/>
    </row>
    <row r="51" spans="1:13" ht="16" x14ac:dyDescent="0.2">
      <c r="C51" s="4"/>
    </row>
  </sheetData>
  <mergeCells count="186">
    <mergeCell ref="K42:K43"/>
    <mergeCell ref="K44:K45"/>
    <mergeCell ref="K46:K47"/>
    <mergeCell ref="K48:K49"/>
    <mergeCell ref="L42:L49"/>
    <mergeCell ref="M42:M49"/>
    <mergeCell ref="F42:F43"/>
    <mergeCell ref="F44:F45"/>
    <mergeCell ref="F46:F47"/>
    <mergeCell ref="F48:F49"/>
    <mergeCell ref="H42:H43"/>
    <mergeCell ref="H44:H45"/>
    <mergeCell ref="H46:H47"/>
    <mergeCell ref="H48:H49"/>
    <mergeCell ref="I42:I43"/>
    <mergeCell ref="I44:I45"/>
    <mergeCell ref="I46:I47"/>
    <mergeCell ref="I48:I49"/>
    <mergeCell ref="B42:B43"/>
    <mergeCell ref="B44:B45"/>
    <mergeCell ref="B46:B47"/>
    <mergeCell ref="B48:B49"/>
    <mergeCell ref="D42:D43"/>
    <mergeCell ref="D44:D45"/>
    <mergeCell ref="D46:D47"/>
    <mergeCell ref="D48:D49"/>
    <mergeCell ref="E42:E43"/>
    <mergeCell ref="E44:E45"/>
    <mergeCell ref="E46:E47"/>
    <mergeCell ref="E48:E49"/>
    <mergeCell ref="K38:K39"/>
    <mergeCell ref="B34:B35"/>
    <mergeCell ref="J34:J41"/>
    <mergeCell ref="K34:K35"/>
    <mergeCell ref="L26:L33"/>
    <mergeCell ref="M26:M33"/>
    <mergeCell ref="L34:L41"/>
    <mergeCell ref="M34:M41"/>
    <mergeCell ref="B36:B37"/>
    <mergeCell ref="D36:D37"/>
    <mergeCell ref="E36:E37"/>
    <mergeCell ref="F36:F37"/>
    <mergeCell ref="H36:H37"/>
    <mergeCell ref="I36:I37"/>
    <mergeCell ref="K36:K37"/>
    <mergeCell ref="B38:B39"/>
    <mergeCell ref="K40:K41"/>
    <mergeCell ref="B40:B41"/>
    <mergeCell ref="D40:D41"/>
    <mergeCell ref="E40:E41"/>
    <mergeCell ref="F40:F41"/>
    <mergeCell ref="H40:H41"/>
    <mergeCell ref="I40:I41"/>
    <mergeCell ref="D38:D39"/>
    <mergeCell ref="E38:E39"/>
    <mergeCell ref="F38:F39"/>
    <mergeCell ref="D32:D33"/>
    <mergeCell ref="E32:E33"/>
    <mergeCell ref="F32:F33"/>
    <mergeCell ref="H32:H33"/>
    <mergeCell ref="I32:I33"/>
    <mergeCell ref="D34:D35"/>
    <mergeCell ref="E34:E35"/>
    <mergeCell ref="F34:F35"/>
    <mergeCell ref="H34:H35"/>
    <mergeCell ref="I34:I35"/>
    <mergeCell ref="H38:H39"/>
    <mergeCell ref="I38:I39"/>
    <mergeCell ref="B26:B27"/>
    <mergeCell ref="D26:D27"/>
    <mergeCell ref="E26:E27"/>
    <mergeCell ref="F26:F27"/>
    <mergeCell ref="H26:H27"/>
    <mergeCell ref="I26:I27"/>
    <mergeCell ref="J26:J33"/>
    <mergeCell ref="K26:K27"/>
    <mergeCell ref="D30:D31"/>
    <mergeCell ref="E30:E31"/>
    <mergeCell ref="F30:F31"/>
    <mergeCell ref="H30:H31"/>
    <mergeCell ref="I30:I31"/>
    <mergeCell ref="K30:K31"/>
    <mergeCell ref="B28:B29"/>
    <mergeCell ref="D28:D29"/>
    <mergeCell ref="E28:E29"/>
    <mergeCell ref="F28:F29"/>
    <mergeCell ref="H28:H29"/>
    <mergeCell ref="I28:I29"/>
    <mergeCell ref="K28:K29"/>
    <mergeCell ref="B30:B31"/>
    <mergeCell ref="K32:K33"/>
    <mergeCell ref="B32:B33"/>
    <mergeCell ref="L10:L17"/>
    <mergeCell ref="M10:M17"/>
    <mergeCell ref="L18:L25"/>
    <mergeCell ref="M18:M25"/>
    <mergeCell ref="B20:B21"/>
    <mergeCell ref="D20:D21"/>
    <mergeCell ref="E20:E21"/>
    <mergeCell ref="F20:F21"/>
    <mergeCell ref="H20:H21"/>
    <mergeCell ref="I20:I21"/>
    <mergeCell ref="K20:K21"/>
    <mergeCell ref="B22:B23"/>
    <mergeCell ref="K24:K25"/>
    <mergeCell ref="B24:B25"/>
    <mergeCell ref="D24:D25"/>
    <mergeCell ref="E24:E25"/>
    <mergeCell ref="F24:F25"/>
    <mergeCell ref="H24:H25"/>
    <mergeCell ref="I24:I25"/>
    <mergeCell ref="B18:B19"/>
    <mergeCell ref="D18:D19"/>
    <mergeCell ref="E18:E19"/>
    <mergeCell ref="F18:F19"/>
    <mergeCell ref="H18:H19"/>
    <mergeCell ref="K18:K19"/>
    <mergeCell ref="D22:D23"/>
    <mergeCell ref="E22:E23"/>
    <mergeCell ref="F22:F23"/>
    <mergeCell ref="H22:H23"/>
    <mergeCell ref="I22:I23"/>
    <mergeCell ref="K22:K23"/>
    <mergeCell ref="I18:I19"/>
    <mergeCell ref="J18:J25"/>
    <mergeCell ref="K2:K3"/>
    <mergeCell ref="B12:B13"/>
    <mergeCell ref="D12:D13"/>
    <mergeCell ref="E12:E13"/>
    <mergeCell ref="F12:F13"/>
    <mergeCell ref="H12:H13"/>
    <mergeCell ref="I12:I13"/>
    <mergeCell ref="K12:K13"/>
    <mergeCell ref="B14:B15"/>
    <mergeCell ref="K8:K9"/>
    <mergeCell ref="B10:B11"/>
    <mergeCell ref="D10:D11"/>
    <mergeCell ref="E10:E11"/>
    <mergeCell ref="F10:F11"/>
    <mergeCell ref="H10:H11"/>
    <mergeCell ref="I10:I11"/>
    <mergeCell ref="J10:J17"/>
    <mergeCell ref="K10:K11"/>
    <mergeCell ref="B8:B9"/>
    <mergeCell ref="D8:D9"/>
    <mergeCell ref="E8:E9"/>
    <mergeCell ref="F8:F9"/>
    <mergeCell ref="H8:H9"/>
    <mergeCell ref="I8:I9"/>
    <mergeCell ref="D14:D15"/>
    <mergeCell ref="E14:E15"/>
    <mergeCell ref="F14:F15"/>
    <mergeCell ref="H14:H15"/>
    <mergeCell ref="I14:I15"/>
    <mergeCell ref="K14:K15"/>
    <mergeCell ref="K16:K17"/>
    <mergeCell ref="B16:B17"/>
    <mergeCell ref="D16:D17"/>
    <mergeCell ref="E16:E17"/>
    <mergeCell ref="F16:F17"/>
    <mergeCell ref="H16:H17"/>
    <mergeCell ref="I16:I17"/>
    <mergeCell ref="L2:L9"/>
    <mergeCell ref="M2:M9"/>
    <mergeCell ref="H4:H5"/>
    <mergeCell ref="I4:I5"/>
    <mergeCell ref="K4:K5"/>
    <mergeCell ref="K6:K7"/>
    <mergeCell ref="B2:B3"/>
    <mergeCell ref="D2:D3"/>
    <mergeCell ref="E2:E3"/>
    <mergeCell ref="F2:F3"/>
    <mergeCell ref="G2:G9"/>
    <mergeCell ref="B4:B5"/>
    <mergeCell ref="D4:D5"/>
    <mergeCell ref="E4:E5"/>
    <mergeCell ref="F4:F5"/>
    <mergeCell ref="B6:B7"/>
    <mergeCell ref="D6:D7"/>
    <mergeCell ref="E6:E7"/>
    <mergeCell ref="F6:F7"/>
    <mergeCell ref="H6:H7"/>
    <mergeCell ref="I6:I7"/>
    <mergeCell ref="H2:H3"/>
    <mergeCell ref="I2:I3"/>
    <mergeCell ref="J2:J9"/>
  </mergeCells>
  <phoneticPr fontId="1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2043E-A1B4-44BA-87A5-A56C0907001A}">
  <dimension ref="A1:M49"/>
  <sheetViews>
    <sheetView topLeftCell="J9" workbookViewId="0">
      <selection activeCell="A42" sqref="A42:A49"/>
    </sheetView>
  </sheetViews>
  <sheetFormatPr baseColWidth="10" defaultColWidth="8.83203125" defaultRowHeight="15" x14ac:dyDescent="0.2"/>
  <cols>
    <col min="1" max="1" width="16.1640625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3" max="13" width="13.6640625" customWidth="1"/>
  </cols>
  <sheetData>
    <row r="1" spans="1:13" ht="16" x14ac:dyDescent="0.2">
      <c r="A1" s="2" t="s">
        <v>51</v>
      </c>
      <c r="B1" s="6" t="s">
        <v>2</v>
      </c>
      <c r="C1" s="3" t="s">
        <v>40</v>
      </c>
      <c r="D1" s="2" t="s">
        <v>4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 ht="16" x14ac:dyDescent="0.2">
      <c r="A2" s="34" t="s">
        <v>64</v>
      </c>
      <c r="B2" s="39">
        <v>1</v>
      </c>
      <c r="C2" s="4">
        <v>26.17</v>
      </c>
      <c r="D2" s="37">
        <f>AVERAGE(C2:C3)</f>
        <v>26.234999999999999</v>
      </c>
      <c r="E2" s="37">
        <v>17.1902878594844</v>
      </c>
      <c r="F2" s="50">
        <f>D2-E2</f>
        <v>9.0447121405155997</v>
      </c>
      <c r="G2" s="37">
        <f>AVERAGE(F2:F9)</f>
        <v>10.191065947634378</v>
      </c>
      <c r="H2" s="37">
        <f>F2-$G$2</f>
        <v>-1.1463538071187784</v>
      </c>
      <c r="I2" s="49">
        <f>2^-(H2)</f>
        <v>2.2135374884599837</v>
      </c>
      <c r="J2" s="37">
        <f>AVERAGE(I2:I9)</f>
        <v>1.2620631455035998</v>
      </c>
      <c r="K2" s="35">
        <f>I2/$J$2</f>
        <v>1.7539039122933251</v>
      </c>
      <c r="L2" s="37">
        <f>AVERAGE(K2:K9)</f>
        <v>1</v>
      </c>
      <c r="M2" s="35">
        <f>STDEV(K2:K9)/4</f>
        <v>0.16736430125264037</v>
      </c>
    </row>
    <row r="3" spans="1:13" ht="16" x14ac:dyDescent="0.2">
      <c r="A3" s="34" t="s">
        <v>64</v>
      </c>
      <c r="B3" s="39"/>
      <c r="C3" s="4">
        <v>26.3</v>
      </c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ht="16" x14ac:dyDescent="0.2">
      <c r="A4" s="34" t="s">
        <v>64</v>
      </c>
      <c r="B4" s="36" t="s">
        <v>9</v>
      </c>
      <c r="C4" s="4">
        <v>26.57</v>
      </c>
      <c r="D4" s="37">
        <f>AVERAGE(C4:C5)</f>
        <v>26.61</v>
      </c>
      <c r="E4" s="37">
        <v>17.164287644881519</v>
      </c>
      <c r="F4" s="50">
        <f t="shared" ref="F4" si="0">D4-E4</f>
        <v>9.4457123551184807</v>
      </c>
      <c r="G4" s="37"/>
      <c r="H4" s="37">
        <f t="shared" ref="H4" si="1">F4-$G$2</f>
        <v>-0.74535359251589739</v>
      </c>
      <c r="I4" s="49">
        <f>2^-(H4)</f>
        <v>1.6763850869860117</v>
      </c>
      <c r="J4" s="37"/>
      <c r="K4" s="35">
        <f>I4/$J$2</f>
        <v>1.3282893910328755</v>
      </c>
      <c r="L4" s="37"/>
      <c r="M4" s="35"/>
    </row>
    <row r="5" spans="1:13" ht="16" x14ac:dyDescent="0.2">
      <c r="A5" s="34" t="s">
        <v>64</v>
      </c>
      <c r="B5" s="36"/>
      <c r="C5" s="4">
        <v>26.65</v>
      </c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ht="16" x14ac:dyDescent="0.2">
      <c r="A6" s="34" t="s">
        <v>64</v>
      </c>
      <c r="B6" s="36" t="s">
        <v>10</v>
      </c>
      <c r="C6" s="4">
        <v>29.21</v>
      </c>
      <c r="D6" s="37">
        <f>AVERAGE(C6:C7)</f>
        <v>27.73</v>
      </c>
      <c r="E6" s="37">
        <v>15.905719176330518</v>
      </c>
      <c r="F6" s="50">
        <f t="shared" ref="F6" si="2">D6-E6</f>
        <v>11.824280823669483</v>
      </c>
      <c r="G6" s="37"/>
      <c r="H6" s="37">
        <f t="shared" ref="H6" si="3">F6-$G$2</f>
        <v>1.6332148760351046</v>
      </c>
      <c r="I6" s="49">
        <f>2^-(H6)</f>
        <v>0.32236904521115994</v>
      </c>
      <c r="J6" s="37"/>
      <c r="K6" s="35">
        <f>I6/$J$2</f>
        <v>0.25543020280694856</v>
      </c>
      <c r="L6" s="37"/>
      <c r="M6" s="35"/>
    </row>
    <row r="7" spans="1:13" ht="16" x14ac:dyDescent="0.2">
      <c r="A7" s="34" t="s">
        <v>64</v>
      </c>
      <c r="B7" s="36"/>
      <c r="C7" s="4">
        <v>26.25</v>
      </c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ht="16" x14ac:dyDescent="0.2">
      <c r="A8" s="34" t="s">
        <v>64</v>
      </c>
      <c r="B8" s="36" t="s">
        <v>11</v>
      </c>
      <c r="C8" s="4">
        <v>25.82</v>
      </c>
      <c r="D8" s="37">
        <f>AVERAGE(C8:C9)</f>
        <v>26.5</v>
      </c>
      <c r="E8" s="37">
        <v>16.050441528766051</v>
      </c>
      <c r="F8" s="50">
        <f t="shared" ref="F8" si="4">D8-E8</f>
        <v>10.449558471233949</v>
      </c>
      <c r="G8" s="37"/>
      <c r="H8" s="37">
        <f t="shared" ref="H8:H40" si="5">F8-$G$2</f>
        <v>0.2584925235995712</v>
      </c>
      <c r="I8" s="49">
        <f>2^-(H8)</f>
        <v>0.8359609613572434</v>
      </c>
      <c r="J8" s="37"/>
      <c r="K8" s="35">
        <f>I8/$J$2</f>
        <v>0.66237649386685071</v>
      </c>
      <c r="L8" s="37"/>
      <c r="M8" s="35"/>
    </row>
    <row r="9" spans="1:13" ht="15" customHeight="1" x14ac:dyDescent="0.2">
      <c r="A9" s="34" t="s">
        <v>64</v>
      </c>
      <c r="B9" s="36"/>
      <c r="C9" s="4">
        <v>27.18</v>
      </c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4" t="s">
        <v>63</v>
      </c>
      <c r="B10" s="36" t="s">
        <v>13</v>
      </c>
      <c r="C10" s="4">
        <v>26.96</v>
      </c>
      <c r="D10" s="37">
        <f>AVERAGE(C10:C11)</f>
        <v>27.105</v>
      </c>
      <c r="E10" s="37">
        <v>17.143829345000096</v>
      </c>
      <c r="F10" s="50">
        <f t="shared" ref="F10" si="6">D10-E10</f>
        <v>9.9611706549999042</v>
      </c>
      <c r="G10" s="8"/>
      <c r="H10" s="37">
        <f t="shared" si="5"/>
        <v>-0.22989529263447395</v>
      </c>
      <c r="I10" s="49">
        <f>2^-(H10)</f>
        <v>1.1727498307571278</v>
      </c>
      <c r="J10" s="37"/>
      <c r="K10" s="35">
        <f>I10/$J$2</f>
        <v>0.9292322931188729</v>
      </c>
      <c r="L10" s="37">
        <f t="shared" ref="L10" si="7">AVERAGE(K10:K17)</f>
        <v>1.7019016749148566</v>
      </c>
      <c r="M10" s="35">
        <f t="shared" ref="M10" si="8">STDEV(K10:K17)/4</f>
        <v>0.19583277759335446</v>
      </c>
    </row>
    <row r="11" spans="1:13" ht="15" customHeight="1" x14ac:dyDescent="0.2">
      <c r="A11" s="34" t="s">
        <v>63</v>
      </c>
      <c r="B11" s="36"/>
      <c r="C11" s="4">
        <v>27.25</v>
      </c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4" t="s">
        <v>63</v>
      </c>
      <c r="B12" s="36" t="s">
        <v>14</v>
      </c>
      <c r="C12" s="4">
        <v>26.34</v>
      </c>
      <c r="D12" s="37">
        <f>AVERAGE(C12:C13)</f>
        <v>26.58</v>
      </c>
      <c r="E12" s="37">
        <v>17.978019717604003</v>
      </c>
      <c r="F12" s="50">
        <f t="shared" ref="F12" si="9">D12-E12</f>
        <v>8.6019802823959957</v>
      </c>
      <c r="G12" s="8"/>
      <c r="H12" s="37">
        <f t="shared" si="5"/>
        <v>-1.5890856652383825</v>
      </c>
      <c r="I12" s="49">
        <f>2^-(H12)</f>
        <v>3.0085861431623027</v>
      </c>
      <c r="J12" s="37"/>
      <c r="K12" s="35">
        <f>I12/$J$2</f>
        <v>2.383863401669803</v>
      </c>
      <c r="L12" s="37"/>
      <c r="M12" s="35"/>
    </row>
    <row r="13" spans="1:13" ht="15" customHeight="1" x14ac:dyDescent="0.2">
      <c r="A13" s="34" t="s">
        <v>63</v>
      </c>
      <c r="B13" s="36"/>
      <c r="C13" s="4">
        <v>26.82</v>
      </c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4" t="s">
        <v>63</v>
      </c>
      <c r="B14" s="36" t="s">
        <v>15</v>
      </c>
      <c r="C14" s="4">
        <v>27.8</v>
      </c>
      <c r="D14" s="37">
        <f>AVERAGE(C14:C15)</f>
        <v>27.66</v>
      </c>
      <c r="E14" s="37">
        <v>17.974532197115273</v>
      </c>
      <c r="F14" s="50">
        <f t="shared" ref="F14" si="10">D14-E14</f>
        <v>9.6854678028847268</v>
      </c>
      <c r="G14" s="8"/>
      <c r="H14" s="37">
        <f t="shared" si="5"/>
        <v>-0.50559814474965137</v>
      </c>
      <c r="I14" s="49">
        <f>2^-(H14)</f>
        <v>1.4197118500612822</v>
      </c>
      <c r="J14" s="37"/>
      <c r="K14" s="35">
        <f>I14/$J$2</f>
        <v>1.1249134840196733</v>
      </c>
      <c r="L14" s="37"/>
      <c r="M14" s="35"/>
    </row>
    <row r="15" spans="1:13" ht="15" customHeight="1" x14ac:dyDescent="0.2">
      <c r="A15" s="34" t="s">
        <v>63</v>
      </c>
      <c r="B15" s="36"/>
      <c r="C15" s="4">
        <v>27.52</v>
      </c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4" t="s">
        <v>63</v>
      </c>
      <c r="B16" s="36" t="s">
        <v>16</v>
      </c>
      <c r="C16" s="4">
        <v>25.83</v>
      </c>
      <c r="D16" s="37">
        <f>AVERAGE(C16:C17)</f>
        <v>25.93</v>
      </c>
      <c r="E16" s="37">
        <v>17.319360183997457</v>
      </c>
      <c r="F16" s="50">
        <f t="shared" ref="F16" si="11">D16-E16</f>
        <v>8.6106398160025428</v>
      </c>
      <c r="G16" s="8"/>
      <c r="H16" s="37">
        <f t="shared" si="5"/>
        <v>-1.5804261316318353</v>
      </c>
      <c r="I16" s="49">
        <f>2^-(H16)</f>
        <v>2.9905817007428417</v>
      </c>
      <c r="J16" s="37"/>
      <c r="K16" s="35">
        <f>I16/$J$2</f>
        <v>2.3695975208510767</v>
      </c>
      <c r="L16" s="37"/>
      <c r="M16" s="35"/>
    </row>
    <row r="17" spans="1:13" ht="15" customHeight="1" x14ac:dyDescent="0.2">
      <c r="A17" s="34" t="s">
        <v>63</v>
      </c>
      <c r="B17" s="36"/>
      <c r="C17" s="4">
        <v>26.03</v>
      </c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19" t="s">
        <v>53</v>
      </c>
      <c r="B18" s="36" t="s">
        <v>18</v>
      </c>
      <c r="C18" s="4">
        <v>27.14</v>
      </c>
      <c r="D18" s="37">
        <f>AVERAGE(C18:C19)</f>
        <v>27.060000000000002</v>
      </c>
      <c r="E18" s="37">
        <v>19.205252186246113</v>
      </c>
      <c r="F18" s="50">
        <f t="shared" ref="F18" si="12">D18-E18</f>
        <v>7.8547478137538889</v>
      </c>
      <c r="G18" s="8"/>
      <c r="H18" s="37">
        <f t="shared" si="5"/>
        <v>-2.3363181338804893</v>
      </c>
      <c r="I18" s="49">
        <f>2^-(H18)</f>
        <v>5.0501216261851027</v>
      </c>
      <c r="J18" s="37"/>
      <c r="K18" s="35">
        <f>I18/$J$2</f>
        <v>4.0014809434673397</v>
      </c>
      <c r="L18" s="37">
        <f t="shared" ref="L18" si="13">AVERAGE(K18:K25)</f>
        <v>1.9345424060992435</v>
      </c>
      <c r="M18" s="35">
        <f t="shared" ref="M18" si="14">STDEV(K18:K25)/4</f>
        <v>0.3655671058939779</v>
      </c>
    </row>
    <row r="19" spans="1:13" ht="15" customHeight="1" x14ac:dyDescent="0.2">
      <c r="A19" s="19" t="s">
        <v>53</v>
      </c>
      <c r="B19" s="36"/>
      <c r="C19" s="4">
        <v>26.98</v>
      </c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19" t="s">
        <v>53</v>
      </c>
      <c r="B20" s="36" t="s">
        <v>19</v>
      </c>
      <c r="C20" s="4">
        <v>26.38</v>
      </c>
      <c r="D20" s="37">
        <f>AVERAGE(C20:C21)</f>
        <v>27.97</v>
      </c>
      <c r="E20" s="37">
        <v>17.51825332356341</v>
      </c>
      <c r="F20" s="50">
        <f t="shared" ref="F20" si="15">D20-E20</f>
        <v>10.451746676436589</v>
      </c>
      <c r="G20" s="8"/>
      <c r="H20" s="37">
        <f t="shared" si="5"/>
        <v>0.26068072880221038</v>
      </c>
      <c r="I20" s="49">
        <f>2^-(H20)</f>
        <v>0.83469398010678064</v>
      </c>
      <c r="J20" s="37"/>
      <c r="K20" s="35">
        <f>I20/$J$2</f>
        <v>0.66137259698975959</v>
      </c>
      <c r="L20" s="37"/>
      <c r="M20" s="35"/>
    </row>
    <row r="21" spans="1:13" ht="15" customHeight="1" x14ac:dyDescent="0.2">
      <c r="A21" s="20" t="s">
        <v>53</v>
      </c>
      <c r="B21" s="36"/>
      <c r="C21" s="4">
        <v>29.56</v>
      </c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20" t="s">
        <v>53</v>
      </c>
      <c r="B22" s="36" t="s">
        <v>20</v>
      </c>
      <c r="C22" s="4">
        <v>26.41</v>
      </c>
      <c r="D22" s="37">
        <f>AVERAGE(C22:C23)</f>
        <v>26.41</v>
      </c>
      <c r="E22" s="37">
        <v>17.449205574599276</v>
      </c>
      <c r="F22" s="50">
        <f t="shared" ref="F22" si="16">D22-E22</f>
        <v>8.9607944254007244</v>
      </c>
      <c r="G22" s="8"/>
      <c r="H22" s="37">
        <f t="shared" si="5"/>
        <v>-1.2302715222336538</v>
      </c>
      <c r="I22" s="49">
        <f>2^-(H22)</f>
        <v>2.3461114065094204</v>
      </c>
      <c r="J22" s="37"/>
      <c r="K22" s="35">
        <f>I22/$J$2</f>
        <v>1.8589493044527927</v>
      </c>
      <c r="L22" s="37"/>
      <c r="M22" s="35"/>
    </row>
    <row r="23" spans="1:13" ht="15" customHeight="1" x14ac:dyDescent="0.2">
      <c r="A23" s="20" t="s">
        <v>53</v>
      </c>
      <c r="B23" s="36"/>
      <c r="C23" s="4">
        <v>26.41</v>
      </c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20" t="s">
        <v>53</v>
      </c>
      <c r="B24" s="36" t="s">
        <v>21</v>
      </c>
      <c r="C24" s="4">
        <v>26.41</v>
      </c>
      <c r="D24" s="37">
        <f>AVERAGE(C24:C25)</f>
        <v>26.465</v>
      </c>
      <c r="E24" s="37">
        <v>16.892296467846915</v>
      </c>
      <c r="F24" s="50">
        <f t="shared" ref="F24" si="17">D24-E24</f>
        <v>9.5727035321530849</v>
      </c>
      <c r="G24" s="8"/>
      <c r="H24" s="37">
        <f t="shared" si="5"/>
        <v>-0.61836241548129323</v>
      </c>
      <c r="I24" s="49">
        <f>2^-(H24)</f>
        <v>1.5351316838055498</v>
      </c>
      <c r="J24" s="37"/>
      <c r="K24" s="35">
        <f>I24/$J$2</f>
        <v>1.2163667794870816</v>
      </c>
      <c r="L24" s="37"/>
      <c r="M24" s="35"/>
    </row>
    <row r="25" spans="1:13" ht="15" customHeight="1" x14ac:dyDescent="0.2">
      <c r="A25" s="20" t="s">
        <v>53</v>
      </c>
      <c r="B25" s="36"/>
      <c r="C25" s="4">
        <v>26.52</v>
      </c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19" t="s">
        <v>54</v>
      </c>
      <c r="B26" s="36" t="s">
        <v>23</v>
      </c>
      <c r="C26" s="4">
        <v>27.04</v>
      </c>
      <c r="D26" s="37">
        <f>AVERAGE(C26:C27)</f>
        <v>26.504999999999999</v>
      </c>
      <c r="E26" s="37">
        <v>17.460951826505497</v>
      </c>
      <c r="F26" s="50">
        <f t="shared" ref="F26" si="18">D26-E26</f>
        <v>9.0440481734945024</v>
      </c>
      <c r="G26" s="8"/>
      <c r="H26" s="37">
        <f t="shared" si="5"/>
        <v>-1.1470177741398757</v>
      </c>
      <c r="I26" s="49">
        <f>2^-(H26)</f>
        <v>2.2145564523462493</v>
      </c>
      <c r="J26" s="37"/>
      <c r="K26" s="35">
        <f>I26/$J$2</f>
        <v>1.7547112917734216</v>
      </c>
      <c r="L26" s="37">
        <f t="shared" ref="L26" si="19">AVERAGE(K26:K33)</f>
        <v>1.8657672201425723</v>
      </c>
      <c r="M26" s="35">
        <f t="shared" ref="M26" si="20">STDEV(K26:K33)/4</f>
        <v>0.2712348477186115</v>
      </c>
    </row>
    <row r="27" spans="1:13" ht="15" customHeight="1" x14ac:dyDescent="0.2">
      <c r="A27" s="19" t="s">
        <v>54</v>
      </c>
      <c r="B27" s="36"/>
      <c r="C27" s="4">
        <v>25.97</v>
      </c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19" t="s">
        <v>54</v>
      </c>
      <c r="B28" s="36" t="s">
        <v>24</v>
      </c>
      <c r="C28" s="4">
        <v>26.08</v>
      </c>
      <c r="D28" s="37">
        <f>AVERAGE(C28:C29)</f>
        <v>26.1</v>
      </c>
      <c r="E28" s="37">
        <v>17.810378746674107</v>
      </c>
      <c r="F28" s="50">
        <f t="shared" ref="F28" si="21">D28-E28</f>
        <v>8.2896212533258939</v>
      </c>
      <c r="G28" s="8"/>
      <c r="H28" s="37">
        <f t="shared" si="5"/>
        <v>-1.9014446943084842</v>
      </c>
      <c r="I28" s="49">
        <f>2^-(H28)</f>
        <v>3.7358711419184796</v>
      </c>
      <c r="J28" s="37"/>
      <c r="K28" s="35">
        <f>I28/$J$2</f>
        <v>2.9601301291685833</v>
      </c>
      <c r="L28" s="37"/>
      <c r="M28" s="35"/>
    </row>
    <row r="29" spans="1:13" ht="15" customHeight="1" x14ac:dyDescent="0.2">
      <c r="A29" s="19" t="s">
        <v>54</v>
      </c>
      <c r="B29" s="36"/>
      <c r="C29" s="4">
        <v>26.12</v>
      </c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19" t="s">
        <v>54</v>
      </c>
      <c r="B30" s="36" t="s">
        <v>25</v>
      </c>
      <c r="C30" s="4">
        <v>26.13</v>
      </c>
      <c r="D30" s="37">
        <f>AVERAGE(C30:C31)</f>
        <v>26.27</v>
      </c>
      <c r="E30" s="37">
        <v>17.636734292930214</v>
      </c>
      <c r="F30" s="50">
        <f t="shared" ref="F30" si="22">D30-E30</f>
        <v>8.6332657070697856</v>
      </c>
      <c r="G30" s="8"/>
      <c r="H30" s="37">
        <f t="shared" si="5"/>
        <v>-1.5578002405645925</v>
      </c>
      <c r="I30" s="49">
        <f>2^-(H30)</f>
        <v>2.9440460555788524</v>
      </c>
      <c r="J30" s="37"/>
      <c r="K30" s="35">
        <f>I30/$J$2</f>
        <v>2.3327248450822107</v>
      </c>
      <c r="L30" s="37"/>
      <c r="M30" s="35"/>
    </row>
    <row r="31" spans="1:13" ht="15" customHeight="1" x14ac:dyDescent="0.2">
      <c r="A31" s="19" t="s">
        <v>54</v>
      </c>
      <c r="B31" s="36"/>
      <c r="C31" s="4">
        <v>26.41</v>
      </c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19" t="s">
        <v>54</v>
      </c>
      <c r="B32" s="36" t="s">
        <v>26</v>
      </c>
      <c r="C32" s="4">
        <v>29.52</v>
      </c>
      <c r="D32" s="37">
        <f>AVERAGE(C32:C33)</f>
        <v>29.52</v>
      </c>
      <c r="E32" s="37">
        <v>18.397647607932122</v>
      </c>
      <c r="F32" s="50">
        <f t="shared" ref="F32" si="23">D32-E32</f>
        <v>11.122352392067878</v>
      </c>
      <c r="G32" s="8"/>
      <c r="H32" s="37">
        <f t="shared" si="5"/>
        <v>0.93128644443349984</v>
      </c>
      <c r="I32" s="49">
        <f>2^-(H32)</f>
        <v>0.52439053667898783</v>
      </c>
      <c r="J32" s="37"/>
      <c r="K32" s="35">
        <f>I32/$J$2</f>
        <v>0.4155026145460739</v>
      </c>
      <c r="L32" s="37"/>
      <c r="M32" s="35"/>
    </row>
    <row r="33" spans="1:13" ht="15" customHeight="1" x14ac:dyDescent="0.2">
      <c r="A33" s="19" t="s">
        <v>54</v>
      </c>
      <c r="B33" s="36"/>
      <c r="C33" s="4"/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19" t="s">
        <v>55</v>
      </c>
      <c r="B34" s="36" t="s">
        <v>28</v>
      </c>
      <c r="C34" s="4">
        <v>26.35</v>
      </c>
      <c r="D34" s="37">
        <f>AVERAGE(C34:C35)</f>
        <v>26.35</v>
      </c>
      <c r="E34" s="37">
        <v>16.509506697394823</v>
      </c>
      <c r="F34" s="50">
        <f t="shared" ref="F34" si="24">D34-E34</f>
        <v>9.8404933026051786</v>
      </c>
      <c r="G34" s="8"/>
      <c r="H34" s="37">
        <f t="shared" si="5"/>
        <v>-0.35057264502919949</v>
      </c>
      <c r="I34" s="49">
        <f>2^-(H34)</f>
        <v>1.2750666356293656</v>
      </c>
      <c r="J34" s="37"/>
      <c r="K34" s="35">
        <f>I34/$J$2</f>
        <v>1.010303359362084</v>
      </c>
      <c r="L34" s="37">
        <f t="shared" ref="L34" si="25">AVERAGE(K34:K41)</f>
        <v>3.7791595763828987</v>
      </c>
      <c r="M34" s="35">
        <f t="shared" ref="M34" si="26">STDEV(K34:K41)/4</f>
        <v>0.61573347858995342</v>
      </c>
    </row>
    <row r="35" spans="1:13" ht="15" customHeight="1" x14ac:dyDescent="0.2">
      <c r="A35" s="19" t="s">
        <v>55</v>
      </c>
      <c r="B35" s="36"/>
      <c r="C35" s="4"/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19" t="s">
        <v>55</v>
      </c>
      <c r="B36" s="36" t="s">
        <v>29</v>
      </c>
      <c r="C36" s="4">
        <v>26.26</v>
      </c>
      <c r="D36" s="37">
        <f>AVERAGE(C36:C37)</f>
        <v>26.26</v>
      </c>
      <c r="E36" s="37">
        <v>18.343164352268513</v>
      </c>
      <c r="F36" s="50">
        <f t="shared" ref="F36" si="27">D36-E36</f>
        <v>7.9168356477314887</v>
      </c>
      <c r="G36" s="8"/>
      <c r="H36" s="37">
        <f t="shared" si="5"/>
        <v>-2.2742302999028894</v>
      </c>
      <c r="I36" s="49">
        <f>2^-(H36)</f>
        <v>4.8373948434024445</v>
      </c>
      <c r="J36" s="37"/>
      <c r="K36" s="35">
        <f>I36/$J$2</f>
        <v>3.8329261579635019</v>
      </c>
      <c r="L36" s="37"/>
      <c r="M36" s="35"/>
    </row>
    <row r="37" spans="1:13" ht="15" customHeight="1" x14ac:dyDescent="0.2">
      <c r="A37" s="19" t="s">
        <v>55</v>
      </c>
      <c r="B37" s="36"/>
      <c r="C37" s="4"/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19" t="s">
        <v>55</v>
      </c>
      <c r="B38" s="36" t="s">
        <v>30</v>
      </c>
      <c r="C38" s="4">
        <v>25.47</v>
      </c>
      <c r="D38" s="37">
        <f>AVERAGE(C38:C39)</f>
        <v>25.645</v>
      </c>
      <c r="E38" s="37">
        <v>17.506489233409525</v>
      </c>
      <c r="F38" s="50">
        <f t="shared" ref="F38" si="28">D38-E38</f>
        <v>8.1385107665904748</v>
      </c>
      <c r="G38" s="8"/>
      <c r="H38" s="37">
        <f t="shared" si="5"/>
        <v>-2.0525551810439033</v>
      </c>
      <c r="I38" s="49">
        <f>2^-(H38)</f>
        <v>4.1484004934557257</v>
      </c>
      <c r="J38" s="37"/>
      <c r="K38" s="35">
        <f>I38/$J$2</f>
        <v>3.2869991554981932</v>
      </c>
      <c r="L38" s="37"/>
      <c r="M38" s="35"/>
    </row>
    <row r="39" spans="1:13" ht="15" customHeight="1" x14ac:dyDescent="0.2">
      <c r="A39" s="19" t="s">
        <v>55</v>
      </c>
      <c r="B39" s="36"/>
      <c r="C39" s="4">
        <v>25.82</v>
      </c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19" t="s">
        <v>55</v>
      </c>
      <c r="B40" s="36" t="s">
        <v>31</v>
      </c>
      <c r="C40" s="4">
        <v>25.97</v>
      </c>
      <c r="D40" s="37">
        <f>AVERAGE(C40:C41)</f>
        <v>25.759999999999998</v>
      </c>
      <c r="E40" s="37">
        <v>18.709269382103098</v>
      </c>
      <c r="F40" s="50">
        <f t="shared" ref="F40" si="29">D40-E40</f>
        <v>7.0507306178968996</v>
      </c>
      <c r="G40" s="8"/>
      <c r="H40" s="37">
        <f t="shared" si="5"/>
        <v>-3.1403353297374785</v>
      </c>
      <c r="I40" s="49">
        <f>2^-(H40)</f>
        <v>8.8172901168318756</v>
      </c>
      <c r="J40" s="37"/>
      <c r="K40" s="35">
        <f>I40/$J$2</f>
        <v>6.986409632707816</v>
      </c>
      <c r="L40" s="37"/>
      <c r="M40" s="35"/>
    </row>
    <row r="41" spans="1:13" ht="15" customHeight="1" x14ac:dyDescent="0.2">
      <c r="A41" s="19" t="s">
        <v>55</v>
      </c>
      <c r="B41" s="36"/>
      <c r="C41" s="4">
        <v>25.55</v>
      </c>
      <c r="D41" s="37"/>
      <c r="E41" s="37"/>
      <c r="F41" s="50"/>
      <c r="G41" s="8"/>
      <c r="H41" s="37"/>
      <c r="I41" s="49"/>
      <c r="J41" s="37"/>
      <c r="K41" s="35"/>
      <c r="L41" s="37"/>
      <c r="M41" s="35"/>
    </row>
    <row r="42" spans="1:13" x14ac:dyDescent="0.2">
      <c r="A42" s="33" t="s">
        <v>56</v>
      </c>
    </row>
    <row r="43" spans="1:13" x14ac:dyDescent="0.2">
      <c r="A43" s="32" t="s">
        <v>56</v>
      </c>
    </row>
    <row r="44" spans="1:13" x14ac:dyDescent="0.2">
      <c r="A44" s="32" t="s">
        <v>56</v>
      </c>
    </row>
    <row r="45" spans="1:13" x14ac:dyDescent="0.2">
      <c r="A45" s="32" t="s">
        <v>56</v>
      </c>
    </row>
    <row r="46" spans="1:13" x14ac:dyDescent="0.2">
      <c r="A46" s="32" t="s">
        <v>56</v>
      </c>
    </row>
    <row r="47" spans="1:13" x14ac:dyDescent="0.2">
      <c r="A47" s="32" t="s">
        <v>56</v>
      </c>
    </row>
    <row r="48" spans="1:13" x14ac:dyDescent="0.2">
      <c r="A48" s="32" t="s">
        <v>56</v>
      </c>
    </row>
    <row r="49" spans="1:1" x14ac:dyDescent="0.2">
      <c r="A49" s="32" t="s">
        <v>56</v>
      </c>
    </row>
  </sheetData>
  <mergeCells count="156">
    <mergeCell ref="K38:K39"/>
    <mergeCell ref="B34:B35"/>
    <mergeCell ref="J34:J41"/>
    <mergeCell ref="K34:K35"/>
    <mergeCell ref="L26:L33"/>
    <mergeCell ref="M26:M33"/>
    <mergeCell ref="L34:L41"/>
    <mergeCell ref="M34:M41"/>
    <mergeCell ref="B36:B37"/>
    <mergeCell ref="D36:D37"/>
    <mergeCell ref="E36:E37"/>
    <mergeCell ref="F36:F37"/>
    <mergeCell ref="H36:H37"/>
    <mergeCell ref="I36:I37"/>
    <mergeCell ref="K36:K37"/>
    <mergeCell ref="B38:B39"/>
    <mergeCell ref="K40:K41"/>
    <mergeCell ref="B40:B41"/>
    <mergeCell ref="D40:D41"/>
    <mergeCell ref="E40:E41"/>
    <mergeCell ref="F40:F41"/>
    <mergeCell ref="H40:H41"/>
    <mergeCell ref="I40:I41"/>
    <mergeCell ref="D38:D39"/>
    <mergeCell ref="E38:E39"/>
    <mergeCell ref="F38:F39"/>
    <mergeCell ref="D32:D33"/>
    <mergeCell ref="E32:E33"/>
    <mergeCell ref="F32:F33"/>
    <mergeCell ref="H32:H33"/>
    <mergeCell ref="I32:I33"/>
    <mergeCell ref="D34:D35"/>
    <mergeCell ref="E34:E35"/>
    <mergeCell ref="F34:F35"/>
    <mergeCell ref="H34:H35"/>
    <mergeCell ref="I34:I35"/>
    <mergeCell ref="H38:H39"/>
    <mergeCell ref="I38:I39"/>
    <mergeCell ref="B26:B27"/>
    <mergeCell ref="D26:D27"/>
    <mergeCell ref="E26:E27"/>
    <mergeCell ref="F26:F27"/>
    <mergeCell ref="H26:H27"/>
    <mergeCell ref="I26:I27"/>
    <mergeCell ref="J26:J33"/>
    <mergeCell ref="K26:K27"/>
    <mergeCell ref="D30:D31"/>
    <mergeCell ref="E30:E31"/>
    <mergeCell ref="F30:F31"/>
    <mergeCell ref="H30:H31"/>
    <mergeCell ref="I30:I31"/>
    <mergeCell ref="K30:K31"/>
    <mergeCell ref="B28:B29"/>
    <mergeCell ref="D28:D29"/>
    <mergeCell ref="E28:E29"/>
    <mergeCell ref="F28:F29"/>
    <mergeCell ref="H28:H29"/>
    <mergeCell ref="I28:I29"/>
    <mergeCell ref="K28:K29"/>
    <mergeCell ref="B30:B31"/>
    <mergeCell ref="K32:K33"/>
    <mergeCell ref="B32:B33"/>
    <mergeCell ref="L10:L17"/>
    <mergeCell ref="M10:M17"/>
    <mergeCell ref="L18:L25"/>
    <mergeCell ref="M18:M25"/>
    <mergeCell ref="B20:B21"/>
    <mergeCell ref="D20:D21"/>
    <mergeCell ref="E20:E21"/>
    <mergeCell ref="F20:F21"/>
    <mergeCell ref="H20:H21"/>
    <mergeCell ref="I20:I21"/>
    <mergeCell ref="K20:K21"/>
    <mergeCell ref="B22:B23"/>
    <mergeCell ref="K24:K25"/>
    <mergeCell ref="B24:B25"/>
    <mergeCell ref="D24:D25"/>
    <mergeCell ref="E24:E25"/>
    <mergeCell ref="F24:F25"/>
    <mergeCell ref="H24:H25"/>
    <mergeCell ref="I24:I25"/>
    <mergeCell ref="B18:B19"/>
    <mergeCell ref="D18:D19"/>
    <mergeCell ref="E18:E19"/>
    <mergeCell ref="F18:F19"/>
    <mergeCell ref="H18:H19"/>
    <mergeCell ref="K18:K19"/>
    <mergeCell ref="D22:D23"/>
    <mergeCell ref="E22:E23"/>
    <mergeCell ref="F22:F23"/>
    <mergeCell ref="H22:H23"/>
    <mergeCell ref="I22:I23"/>
    <mergeCell ref="K22:K23"/>
    <mergeCell ref="I18:I19"/>
    <mergeCell ref="J18:J25"/>
    <mergeCell ref="K2:K3"/>
    <mergeCell ref="B12:B13"/>
    <mergeCell ref="D12:D13"/>
    <mergeCell ref="E12:E13"/>
    <mergeCell ref="F12:F13"/>
    <mergeCell ref="H12:H13"/>
    <mergeCell ref="I12:I13"/>
    <mergeCell ref="K12:K13"/>
    <mergeCell ref="B14:B15"/>
    <mergeCell ref="K8:K9"/>
    <mergeCell ref="B10:B11"/>
    <mergeCell ref="D10:D11"/>
    <mergeCell ref="E10:E11"/>
    <mergeCell ref="F10:F11"/>
    <mergeCell ref="H10:H11"/>
    <mergeCell ref="I10:I11"/>
    <mergeCell ref="J10:J17"/>
    <mergeCell ref="K10:K11"/>
    <mergeCell ref="B8:B9"/>
    <mergeCell ref="D8:D9"/>
    <mergeCell ref="E8:E9"/>
    <mergeCell ref="F8:F9"/>
    <mergeCell ref="H8:H9"/>
    <mergeCell ref="I8:I9"/>
    <mergeCell ref="D14:D15"/>
    <mergeCell ref="E14:E15"/>
    <mergeCell ref="F14:F15"/>
    <mergeCell ref="H14:H15"/>
    <mergeCell ref="I14:I15"/>
    <mergeCell ref="K14:K15"/>
    <mergeCell ref="K16:K17"/>
    <mergeCell ref="B16:B17"/>
    <mergeCell ref="D16:D17"/>
    <mergeCell ref="E16:E17"/>
    <mergeCell ref="F16:F17"/>
    <mergeCell ref="H16:H17"/>
    <mergeCell ref="I16:I17"/>
    <mergeCell ref="L2:L9"/>
    <mergeCell ref="M2:M9"/>
    <mergeCell ref="H4:H5"/>
    <mergeCell ref="I4:I5"/>
    <mergeCell ref="K4:K5"/>
    <mergeCell ref="K6:K7"/>
    <mergeCell ref="B2:B3"/>
    <mergeCell ref="D2:D3"/>
    <mergeCell ref="E2:E3"/>
    <mergeCell ref="F2:F3"/>
    <mergeCell ref="G2:G9"/>
    <mergeCell ref="B4:B5"/>
    <mergeCell ref="D4:D5"/>
    <mergeCell ref="E4:E5"/>
    <mergeCell ref="F4:F5"/>
    <mergeCell ref="B6:B7"/>
    <mergeCell ref="D6:D7"/>
    <mergeCell ref="E6:E7"/>
    <mergeCell ref="F6:F7"/>
    <mergeCell ref="H6:H7"/>
    <mergeCell ref="I6:I7"/>
    <mergeCell ref="H2:H3"/>
    <mergeCell ref="I2:I3"/>
    <mergeCell ref="J2:J9"/>
  </mergeCells>
  <phoneticPr fontId="1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3CD7-7218-4CB1-ADB4-4A20E52E2944}">
  <dimension ref="A1:M49"/>
  <sheetViews>
    <sheetView topLeftCell="J9" workbookViewId="0">
      <selection activeCell="A42" sqref="A42:A49"/>
    </sheetView>
  </sheetViews>
  <sheetFormatPr baseColWidth="10" defaultColWidth="8.83203125" defaultRowHeight="15" x14ac:dyDescent="0.2"/>
  <cols>
    <col min="1" max="1" width="16.1640625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3" max="13" width="13.6640625" customWidth="1"/>
  </cols>
  <sheetData>
    <row r="1" spans="1:13" ht="16" x14ac:dyDescent="0.2">
      <c r="A1" s="2" t="s">
        <v>51</v>
      </c>
      <c r="B1" s="6" t="s">
        <v>2</v>
      </c>
      <c r="C1" s="3" t="s">
        <v>40</v>
      </c>
      <c r="D1" s="2" t="s">
        <v>4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 ht="16" x14ac:dyDescent="0.2">
      <c r="A2" s="34" t="s">
        <v>64</v>
      </c>
      <c r="B2" s="39">
        <v>1</v>
      </c>
      <c r="C2" s="4">
        <v>30.25</v>
      </c>
      <c r="D2" s="37">
        <f>AVERAGE(C2:C3)</f>
        <v>30.125</v>
      </c>
      <c r="E2" s="37">
        <v>17.190287859484446</v>
      </c>
      <c r="F2" s="50">
        <f>D2-E2</f>
        <v>12.934712140515554</v>
      </c>
      <c r="G2" s="37">
        <f>AVERAGE(F2:F9)</f>
        <v>14.103565947634367</v>
      </c>
      <c r="H2" s="37">
        <f>F2-$G$2</f>
        <v>-1.168853807118813</v>
      </c>
      <c r="I2" s="49">
        <f>2^-(H2)</f>
        <v>2.248330005576626</v>
      </c>
      <c r="J2" s="37">
        <f>AVERAGE(I2:I9)</f>
        <v>1.2464360537341181</v>
      </c>
      <c r="K2" s="35">
        <f>I2/$J$2</f>
        <v>1.8038069412714739</v>
      </c>
      <c r="L2" s="37">
        <f>AVERAGE(K2:K9)</f>
        <v>0.99999999999999989</v>
      </c>
      <c r="M2" s="35">
        <f>STDEV(K2:K9)/4</f>
        <v>0.17629928729530472</v>
      </c>
    </row>
    <row r="3" spans="1:13" ht="16" x14ac:dyDescent="0.2">
      <c r="A3" s="34" t="s">
        <v>64</v>
      </c>
      <c r="B3" s="39"/>
      <c r="C3" s="4">
        <v>30</v>
      </c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ht="16" x14ac:dyDescent="0.2">
      <c r="A4" s="34" t="s">
        <v>64</v>
      </c>
      <c r="B4" s="36" t="s">
        <v>9</v>
      </c>
      <c r="C4" s="4">
        <v>30.53</v>
      </c>
      <c r="D4" s="37">
        <f>AVERAGE(C4:C5)</f>
        <v>30.484999999999999</v>
      </c>
      <c r="E4" s="37">
        <v>17.164287644881519</v>
      </c>
      <c r="F4" s="50">
        <f t="shared" ref="F4" si="0">D4-E4</f>
        <v>13.320712355118481</v>
      </c>
      <c r="G4" s="37"/>
      <c r="H4" s="37">
        <f t="shared" ref="H4" si="1">F4-$G$2</f>
        <v>-0.78285359251588638</v>
      </c>
      <c r="I4" s="49">
        <f>2^-(H4)</f>
        <v>1.7205306495838184</v>
      </c>
      <c r="J4" s="37"/>
      <c r="K4" s="35">
        <f>I4/$J$2</f>
        <v>1.3803601431693111</v>
      </c>
      <c r="L4" s="37"/>
      <c r="M4" s="35"/>
    </row>
    <row r="5" spans="1:13" ht="16" x14ac:dyDescent="0.2">
      <c r="A5" s="34" t="s">
        <v>64</v>
      </c>
      <c r="B5" s="36"/>
      <c r="C5" s="4">
        <v>30.44</v>
      </c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ht="16" x14ac:dyDescent="0.2">
      <c r="A6" s="34" t="s">
        <v>64</v>
      </c>
      <c r="B6" s="36" t="s">
        <v>10</v>
      </c>
      <c r="C6" s="4">
        <v>30.96</v>
      </c>
      <c r="D6" s="37">
        <f>AVERAGE(C6:C7)</f>
        <v>30.990000000000002</v>
      </c>
      <c r="E6" s="37">
        <v>15.905719176330518</v>
      </c>
      <c r="F6" s="50">
        <f t="shared" ref="F6" si="2">D6-E6</f>
        <v>15.084280823669484</v>
      </c>
      <c r="G6" s="37"/>
      <c r="H6" s="37">
        <f t="shared" ref="H6" si="3">F6-$G$2</f>
        <v>0.9807148760351172</v>
      </c>
      <c r="I6" s="49">
        <f>2^-(H6)</f>
        <v>0.50672858641014495</v>
      </c>
      <c r="J6" s="37"/>
      <c r="K6" s="35">
        <f>I6/$J$2</f>
        <v>0.40654198415720499</v>
      </c>
      <c r="L6" s="37"/>
      <c r="M6" s="35"/>
    </row>
    <row r="7" spans="1:13" ht="16" x14ac:dyDescent="0.2">
      <c r="A7" s="34" t="s">
        <v>64</v>
      </c>
      <c r="B7" s="36"/>
      <c r="C7" s="4">
        <v>31.02</v>
      </c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ht="16" x14ac:dyDescent="0.2">
      <c r="A8" s="34" t="s">
        <v>64</v>
      </c>
      <c r="B8" s="36" t="s">
        <v>11</v>
      </c>
      <c r="C8" s="4">
        <v>30.93</v>
      </c>
      <c r="D8" s="37">
        <f>AVERAGE(C8:C9)</f>
        <v>31.125</v>
      </c>
      <c r="E8" s="37">
        <v>16.050441528766051</v>
      </c>
      <c r="F8" s="50">
        <f t="shared" ref="F8" si="4">D8-E8</f>
        <v>15.074558471233949</v>
      </c>
      <c r="G8" s="37"/>
      <c r="H8" s="37">
        <f t="shared" ref="H8:H40" si="5">F8-$G$2</f>
        <v>0.97099252359958221</v>
      </c>
      <c r="I8" s="49">
        <f>2^-(H8)</f>
        <v>0.51015497336588256</v>
      </c>
      <c r="J8" s="37"/>
      <c r="K8" s="35">
        <f>I8/$J$2</f>
        <v>0.40929093140200967</v>
      </c>
      <c r="L8" s="37"/>
      <c r="M8" s="35"/>
    </row>
    <row r="9" spans="1:13" ht="15" customHeight="1" x14ac:dyDescent="0.2">
      <c r="A9" s="34" t="s">
        <v>64</v>
      </c>
      <c r="B9" s="36"/>
      <c r="C9" s="4">
        <v>31.32</v>
      </c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4" t="s">
        <v>63</v>
      </c>
      <c r="B10" s="36" t="s">
        <v>13</v>
      </c>
      <c r="C10" s="4">
        <v>31.38</v>
      </c>
      <c r="D10" s="37">
        <f>AVERAGE(C10:C11)</f>
        <v>31.31</v>
      </c>
      <c r="E10" s="37">
        <v>17.143829345000096</v>
      </c>
      <c r="F10" s="50">
        <f t="shared" ref="F10" si="6">D10-E10</f>
        <v>14.166170654999902</v>
      </c>
      <c r="G10" s="8"/>
      <c r="H10" s="37">
        <f t="shared" si="5"/>
        <v>6.2604707365535361E-2</v>
      </c>
      <c r="I10" s="49">
        <f>2^-(H10)</f>
        <v>0.95753378265817979</v>
      </c>
      <c r="J10" s="37"/>
      <c r="K10" s="35">
        <f>I10/$J$2</f>
        <v>0.76821733436670536</v>
      </c>
      <c r="L10" s="37">
        <f t="shared" ref="L10" si="7">AVERAGE(K10:K17)</f>
        <v>1.3043322108368212</v>
      </c>
      <c r="M10" s="35">
        <f t="shared" ref="M10" si="8">STDEV(K10:K17)/4</f>
        <v>0.15945561317566501</v>
      </c>
    </row>
    <row r="11" spans="1:13" ht="15" customHeight="1" x14ac:dyDescent="0.2">
      <c r="A11" s="34" t="s">
        <v>63</v>
      </c>
      <c r="B11" s="36"/>
      <c r="C11" s="4">
        <v>31.24</v>
      </c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4" t="s">
        <v>63</v>
      </c>
      <c r="B12" s="36" t="s">
        <v>14</v>
      </c>
      <c r="C12" s="4">
        <v>30.26</v>
      </c>
      <c r="D12" s="37">
        <f>AVERAGE(C12:C13)</f>
        <v>30.71</v>
      </c>
      <c r="E12" s="37">
        <v>17.978019717604003</v>
      </c>
      <c r="F12" s="50">
        <f t="shared" ref="F12" si="9">D12-E12</f>
        <v>12.731980282395998</v>
      </c>
      <c r="G12" s="8"/>
      <c r="H12" s="37">
        <f t="shared" si="5"/>
        <v>-1.3715856652383689</v>
      </c>
      <c r="I12" s="49">
        <f>2^-(H12)</f>
        <v>2.5875480714482815</v>
      </c>
      <c r="J12" s="37"/>
      <c r="K12" s="35">
        <f>I12/$J$2</f>
        <v>2.0759573374794571</v>
      </c>
      <c r="L12" s="37"/>
      <c r="M12" s="35"/>
    </row>
    <row r="13" spans="1:13" ht="15" customHeight="1" x14ac:dyDescent="0.2">
      <c r="A13" s="34" t="s">
        <v>63</v>
      </c>
      <c r="B13" s="36"/>
      <c r="C13" s="4">
        <v>31.16</v>
      </c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4" t="s">
        <v>63</v>
      </c>
      <c r="B14" s="36" t="s">
        <v>15</v>
      </c>
      <c r="C14" s="4">
        <v>32.590000000000003</v>
      </c>
      <c r="D14" s="37">
        <f>AVERAGE(C14:C15)</f>
        <v>32.094999999999999</v>
      </c>
      <c r="E14" s="37">
        <v>17.974532197115273</v>
      </c>
      <c r="F14" s="50">
        <f t="shared" ref="F14" si="10">D14-E14</f>
        <v>14.120467802884725</v>
      </c>
      <c r="G14" s="8"/>
      <c r="H14" s="37">
        <f t="shared" si="5"/>
        <v>1.6901855250358366E-2</v>
      </c>
      <c r="I14" s="49">
        <f>2^-(H14)</f>
        <v>0.98835288563157286</v>
      </c>
      <c r="J14" s="37"/>
      <c r="K14" s="35">
        <f>I14/$J$2</f>
        <v>0.79294311382491678</v>
      </c>
      <c r="L14" s="37"/>
      <c r="M14" s="35"/>
    </row>
    <row r="15" spans="1:13" ht="15" customHeight="1" x14ac:dyDescent="0.2">
      <c r="A15" s="34" t="s">
        <v>63</v>
      </c>
      <c r="B15" s="36"/>
      <c r="C15" s="4">
        <v>31.6</v>
      </c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4" t="s">
        <v>63</v>
      </c>
      <c r="B16" s="36" t="s">
        <v>16</v>
      </c>
      <c r="C16" s="4">
        <v>30.44</v>
      </c>
      <c r="D16" s="37">
        <f>AVERAGE(C16:C17)</f>
        <v>30.445</v>
      </c>
      <c r="E16" s="37">
        <v>17.319360183997457</v>
      </c>
      <c r="F16" s="50">
        <f t="shared" ref="F16" si="11">D16-E16</f>
        <v>13.125639816002543</v>
      </c>
      <c r="G16" s="8"/>
      <c r="H16" s="37">
        <f t="shared" si="5"/>
        <v>-0.97792613163182374</v>
      </c>
      <c r="I16" s="49">
        <f>2^-(H16)</f>
        <v>1.9696320347969465</v>
      </c>
      <c r="J16" s="37"/>
      <c r="K16" s="35">
        <f>I16/$J$2</f>
        <v>1.5802110576762054</v>
      </c>
      <c r="L16" s="37"/>
      <c r="M16" s="35"/>
    </row>
    <row r="17" spans="1:13" ht="15" customHeight="1" x14ac:dyDescent="0.2">
      <c r="A17" s="34" t="s">
        <v>63</v>
      </c>
      <c r="B17" s="36"/>
      <c r="C17" s="4">
        <v>30.45</v>
      </c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19" t="s">
        <v>53</v>
      </c>
      <c r="B18" s="36" t="s">
        <v>18</v>
      </c>
      <c r="C18" s="4">
        <v>30.04</v>
      </c>
      <c r="D18" s="37">
        <f>AVERAGE(C18:C19)</f>
        <v>29.9</v>
      </c>
      <c r="E18" s="37">
        <v>19.205252186246113</v>
      </c>
      <c r="F18" s="50">
        <f t="shared" ref="F18" si="12">D18-E18</f>
        <v>10.694747813753885</v>
      </c>
      <c r="G18" s="8"/>
      <c r="H18" s="37">
        <f t="shared" si="5"/>
        <v>-3.4088181338804819</v>
      </c>
      <c r="I18" s="49">
        <f>2^-(H18)</f>
        <v>10.620782326975377</v>
      </c>
      <c r="J18" s="37"/>
      <c r="K18" s="35">
        <f>I18/$J$2</f>
        <v>8.520920343372012</v>
      </c>
      <c r="L18" s="37">
        <f t="shared" ref="L18" si="13">AVERAGE(K18:K25)</f>
        <v>3.0737877434822356</v>
      </c>
      <c r="M18" s="35">
        <f t="shared" ref="M18" si="14">STDEV(K18:K25)/4</f>
        <v>0.91823295136710059</v>
      </c>
    </row>
    <row r="19" spans="1:13" ht="15" customHeight="1" x14ac:dyDescent="0.2">
      <c r="A19" s="19" t="s">
        <v>53</v>
      </c>
      <c r="B19" s="36"/>
      <c r="C19" s="4">
        <v>29.76</v>
      </c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19" t="s">
        <v>53</v>
      </c>
      <c r="B20" s="36" t="s">
        <v>19</v>
      </c>
      <c r="C20" s="4">
        <v>29.93</v>
      </c>
      <c r="D20" s="37">
        <f>AVERAGE(C20:C21)</f>
        <v>31.1</v>
      </c>
      <c r="E20" s="37">
        <v>17.51825332356341</v>
      </c>
      <c r="F20" s="50">
        <f t="shared" ref="F20" si="15">D20-E20</f>
        <v>13.581746676436591</v>
      </c>
      <c r="G20" s="8"/>
      <c r="H20" s="37">
        <f t="shared" si="5"/>
        <v>-0.52181927119777605</v>
      </c>
      <c r="I20" s="49">
        <f>2^-(H20)</f>
        <v>1.4357646387380019</v>
      </c>
      <c r="J20" s="37"/>
      <c r="K20" s="35">
        <f>I20/$J$2</f>
        <v>1.1518959471981625</v>
      </c>
      <c r="L20" s="37"/>
      <c r="M20" s="35"/>
    </row>
    <row r="21" spans="1:13" ht="15" customHeight="1" x14ac:dyDescent="0.2">
      <c r="A21" s="20" t="s">
        <v>53</v>
      </c>
      <c r="B21" s="36"/>
      <c r="C21" s="4">
        <v>32.270000000000003</v>
      </c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20" t="s">
        <v>53</v>
      </c>
      <c r="B22" s="36" t="s">
        <v>20</v>
      </c>
      <c r="C22" s="4">
        <v>30.6</v>
      </c>
      <c r="D22" s="37">
        <f>AVERAGE(C22:C23)</f>
        <v>30.25</v>
      </c>
      <c r="E22" s="37">
        <v>17.449205574599276</v>
      </c>
      <c r="F22" s="50">
        <f t="shared" ref="F22" si="16">D22-E22</f>
        <v>12.800794425400724</v>
      </c>
      <c r="G22" s="8"/>
      <c r="H22" s="37">
        <f t="shared" si="5"/>
        <v>-1.3027715222336429</v>
      </c>
      <c r="I22" s="49">
        <f>2^-(H22)</f>
        <v>2.4670236093099223</v>
      </c>
      <c r="J22" s="37"/>
      <c r="K22" s="35">
        <f>I22/$J$2</f>
        <v>1.9792620743913207</v>
      </c>
      <c r="L22" s="37"/>
      <c r="M22" s="35"/>
    </row>
    <row r="23" spans="1:13" ht="15" customHeight="1" x14ac:dyDescent="0.2">
      <c r="A23" s="20" t="s">
        <v>53</v>
      </c>
      <c r="B23" s="36"/>
      <c r="C23" s="4">
        <v>29.9</v>
      </c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20" t="s">
        <v>53</v>
      </c>
      <c r="B24" s="36" t="s">
        <v>21</v>
      </c>
      <c r="C24" s="4">
        <v>31.45</v>
      </c>
      <c r="D24" s="37">
        <f>AVERAGE(C24:C25)</f>
        <v>31.314999999999998</v>
      </c>
      <c r="E24" s="37">
        <v>16.892296467846915</v>
      </c>
      <c r="F24" s="50">
        <f t="shared" ref="F24" si="17">D24-E24</f>
        <v>14.422703532153083</v>
      </c>
      <c r="G24" s="8"/>
      <c r="H24" s="37">
        <f t="shared" si="5"/>
        <v>0.31913758451871566</v>
      </c>
      <c r="I24" s="49">
        <f>2^-(H24)</f>
        <v>0.80154888498588817</v>
      </c>
      <c r="J24" s="37"/>
      <c r="K24" s="35">
        <f>I24/$J$2</f>
        <v>0.64307260896744689</v>
      </c>
      <c r="L24" s="37"/>
      <c r="M24" s="35"/>
    </row>
    <row r="25" spans="1:13" ht="15" customHeight="1" x14ac:dyDescent="0.2">
      <c r="A25" s="20" t="s">
        <v>53</v>
      </c>
      <c r="B25" s="36"/>
      <c r="C25" s="4">
        <v>31.18</v>
      </c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19" t="s">
        <v>54</v>
      </c>
      <c r="B26" s="36" t="s">
        <v>23</v>
      </c>
      <c r="C26" s="4">
        <v>30.59</v>
      </c>
      <c r="D26" s="37">
        <f>AVERAGE(C26:C27)</f>
        <v>30.45</v>
      </c>
      <c r="E26" s="37">
        <v>17.460951826505497</v>
      </c>
      <c r="F26" s="50">
        <f t="shared" ref="F26" si="18">D26-E26</f>
        <v>12.989048173494503</v>
      </c>
      <c r="G26" s="8"/>
      <c r="H26" s="37">
        <f t="shared" si="5"/>
        <v>-1.1145177741398644</v>
      </c>
      <c r="I26" s="49">
        <f>2^-(H26)</f>
        <v>2.1652262356455094</v>
      </c>
      <c r="J26" s="37"/>
      <c r="K26" s="35">
        <f>I26/$J$2</f>
        <v>1.7371338298172991</v>
      </c>
      <c r="L26" s="37">
        <f t="shared" ref="L26" si="19">AVERAGE(K26:K33)</f>
        <v>1.394472073656394</v>
      </c>
      <c r="M26" s="35">
        <f t="shared" ref="M26" si="20">STDEV(K26:K33)/4</f>
        <v>0.19275858960938358</v>
      </c>
    </row>
    <row r="27" spans="1:13" ht="15" customHeight="1" x14ac:dyDescent="0.2">
      <c r="A27" s="19" t="s">
        <v>54</v>
      </c>
      <c r="B27" s="36"/>
      <c r="C27" s="4">
        <v>30.31</v>
      </c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19" t="s">
        <v>54</v>
      </c>
      <c r="B28" s="36" t="s">
        <v>24</v>
      </c>
      <c r="C28" s="4">
        <v>31.34</v>
      </c>
      <c r="D28" s="37">
        <f>AVERAGE(C28:C29)</f>
        <v>31.365000000000002</v>
      </c>
      <c r="E28" s="37">
        <v>17.810378746674107</v>
      </c>
      <c r="F28" s="50">
        <f t="shared" ref="F28" si="21">D28-E28</f>
        <v>13.554621253325895</v>
      </c>
      <c r="G28" s="8"/>
      <c r="H28" s="37">
        <f t="shared" si="5"/>
        <v>-0.54894469430847259</v>
      </c>
      <c r="I28" s="49">
        <f>2^-(H28)</f>
        <v>1.4630151349672986</v>
      </c>
      <c r="J28" s="37"/>
      <c r="K28" s="35">
        <f>I28/$J$2</f>
        <v>1.1737586782605856</v>
      </c>
      <c r="L28" s="37"/>
      <c r="M28" s="35"/>
    </row>
    <row r="29" spans="1:13" ht="15" customHeight="1" x14ac:dyDescent="0.2">
      <c r="A29" s="19" t="s">
        <v>54</v>
      </c>
      <c r="B29" s="36"/>
      <c r="C29" s="4">
        <v>31.39</v>
      </c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19" t="s">
        <v>54</v>
      </c>
      <c r="B30" s="36" t="s">
        <v>25</v>
      </c>
      <c r="C30" s="4">
        <v>30.11</v>
      </c>
      <c r="D30" s="37">
        <f>AVERAGE(C30:C31)</f>
        <v>30.265000000000001</v>
      </c>
      <c r="E30" s="37">
        <v>17.636734292930214</v>
      </c>
      <c r="F30" s="50">
        <f t="shared" ref="F30" si="22">D30-E30</f>
        <v>12.628265707069787</v>
      </c>
      <c r="G30" s="8"/>
      <c r="H30" s="37">
        <f t="shared" si="5"/>
        <v>-1.4753002405645805</v>
      </c>
      <c r="I30" s="49">
        <f>2^-(H30)</f>
        <v>2.7804150141520316</v>
      </c>
      <c r="J30" s="37"/>
      <c r="K30" s="35">
        <f>I30/$J$2</f>
        <v>2.230692064644924</v>
      </c>
      <c r="L30" s="37"/>
      <c r="M30" s="35"/>
    </row>
    <row r="31" spans="1:13" ht="15" customHeight="1" x14ac:dyDescent="0.2">
      <c r="A31" s="19" t="s">
        <v>54</v>
      </c>
      <c r="B31" s="36"/>
      <c r="C31" s="4">
        <v>30.42</v>
      </c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19" t="s">
        <v>54</v>
      </c>
      <c r="B32" s="36" t="s">
        <v>26</v>
      </c>
      <c r="C32" s="4"/>
      <c r="D32" s="37">
        <f>AVERAGE(C32:C33)</f>
        <v>33.380000000000003</v>
      </c>
      <c r="E32" s="37">
        <v>18.397647607932122</v>
      </c>
      <c r="F32" s="50">
        <f t="shared" ref="F32" si="23">D32-E32</f>
        <v>14.982352392067881</v>
      </c>
      <c r="G32" s="8"/>
      <c r="H32" s="37">
        <f t="shared" si="5"/>
        <v>0.87878644443351384</v>
      </c>
      <c r="I32" s="49">
        <f>2^-(H32)</f>
        <v>0.54382468935799377</v>
      </c>
      <c r="J32" s="37"/>
      <c r="K32" s="35">
        <f>I32/$J$2</f>
        <v>0.43630372190276762</v>
      </c>
      <c r="L32" s="37"/>
      <c r="M32" s="35"/>
    </row>
    <row r="33" spans="1:13" ht="15" customHeight="1" x14ac:dyDescent="0.2">
      <c r="A33" s="19" t="s">
        <v>54</v>
      </c>
      <c r="B33" s="36"/>
      <c r="C33" s="4">
        <v>33.380000000000003</v>
      </c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19" t="s">
        <v>55</v>
      </c>
      <c r="B34" s="36" t="s">
        <v>28</v>
      </c>
      <c r="C34" s="4">
        <v>30.08</v>
      </c>
      <c r="D34" s="37">
        <f>AVERAGE(C34:C35)</f>
        <v>30.24</v>
      </c>
      <c r="E34" s="37">
        <v>16.509506697394823</v>
      </c>
      <c r="F34" s="50">
        <f t="shared" ref="F34" si="24">D34-E34</f>
        <v>13.730493302605176</v>
      </c>
      <c r="G34" s="8"/>
      <c r="H34" s="37">
        <f t="shared" si="5"/>
        <v>-0.37307264502919146</v>
      </c>
      <c r="I34" s="49">
        <f>2^-(H34)</f>
        <v>1.2951082106992211</v>
      </c>
      <c r="J34" s="37"/>
      <c r="K34" s="35">
        <f>I34/$J$2</f>
        <v>1.0390490605749803</v>
      </c>
      <c r="L34" s="37">
        <f t="shared" ref="L34" si="25">AVERAGE(K34:K41)</f>
        <v>2.5433345410539587</v>
      </c>
      <c r="M34" s="35">
        <f t="shared" ref="M34" si="26">STDEV(K34:K41)/4</f>
        <v>0.26436052607462029</v>
      </c>
    </row>
    <row r="35" spans="1:13" ht="15" customHeight="1" x14ac:dyDescent="0.2">
      <c r="A35" s="19" t="s">
        <v>55</v>
      </c>
      <c r="B35" s="36"/>
      <c r="C35" s="4">
        <v>30.4</v>
      </c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19" t="s">
        <v>55</v>
      </c>
      <c r="B36" s="36" t="s">
        <v>29</v>
      </c>
      <c r="C36" s="4">
        <v>30.49</v>
      </c>
      <c r="D36" s="37">
        <f>AVERAGE(C36:C37)</f>
        <v>30.765000000000001</v>
      </c>
      <c r="E36" s="37">
        <v>18.343164352268513</v>
      </c>
      <c r="F36" s="50">
        <f t="shared" ref="F36" si="27">D36-E36</f>
        <v>12.421835647731488</v>
      </c>
      <c r="G36" s="8"/>
      <c r="H36" s="37">
        <f t="shared" si="5"/>
        <v>-1.6817302999028794</v>
      </c>
      <c r="I36" s="49">
        <f>2^-(H36)</f>
        <v>3.2081248765111909</v>
      </c>
      <c r="J36" s="37"/>
      <c r="K36" s="35">
        <f>I36/$J$2</f>
        <v>2.573838318379972</v>
      </c>
      <c r="L36" s="37"/>
      <c r="M36" s="35"/>
    </row>
    <row r="37" spans="1:13" ht="15" customHeight="1" x14ac:dyDescent="0.2">
      <c r="A37" s="19" t="s">
        <v>55</v>
      </c>
      <c r="B37" s="36"/>
      <c r="C37" s="4">
        <v>31.04</v>
      </c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19" t="s">
        <v>55</v>
      </c>
      <c r="B38" s="36" t="s">
        <v>30</v>
      </c>
      <c r="C38" s="4">
        <v>29.64</v>
      </c>
      <c r="D38" s="37">
        <f>AVERAGE(C38:C39)</f>
        <v>29.6</v>
      </c>
      <c r="E38" s="37">
        <v>17.506489233409525</v>
      </c>
      <c r="F38" s="50">
        <f t="shared" ref="F38" si="28">D38-E38</f>
        <v>12.093510766590477</v>
      </c>
      <c r="G38" s="8"/>
      <c r="H38" s="37">
        <f t="shared" si="5"/>
        <v>-2.0100551810438905</v>
      </c>
      <c r="I38" s="49">
        <f>2^-(H38)</f>
        <v>4.0279762616729347</v>
      </c>
      <c r="J38" s="37"/>
      <c r="K38" s="35">
        <f>I38/$J$2</f>
        <v>3.2315947934960465</v>
      </c>
      <c r="L38" s="37"/>
      <c r="M38" s="35"/>
    </row>
    <row r="39" spans="1:13" ht="15" customHeight="1" x14ac:dyDescent="0.2">
      <c r="A39" s="19" t="s">
        <v>55</v>
      </c>
      <c r="B39" s="36"/>
      <c r="C39" s="4">
        <v>29.56</v>
      </c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19" t="s">
        <v>55</v>
      </c>
      <c r="B40" s="36" t="s">
        <v>31</v>
      </c>
      <c r="C40" s="4">
        <v>30.76</v>
      </c>
      <c r="D40" s="37">
        <f>AVERAGE(C40:C41)</f>
        <v>30.76</v>
      </c>
      <c r="E40" s="37">
        <v>18.70926938210307</v>
      </c>
      <c r="F40" s="50">
        <f t="shared" ref="F40" si="29">D40-E40</f>
        <v>12.050730617896932</v>
      </c>
      <c r="G40" s="8"/>
      <c r="H40" s="37">
        <f t="shared" si="5"/>
        <v>-2.0528353297374355</v>
      </c>
      <c r="I40" s="49">
        <f>2^-(H40)</f>
        <v>4.1492061258245378</v>
      </c>
      <c r="J40" s="37"/>
      <c r="K40" s="35">
        <f>I40/$J$2</f>
        <v>3.3288559917648373</v>
      </c>
      <c r="L40" s="37"/>
      <c r="M40" s="35"/>
    </row>
    <row r="41" spans="1:13" ht="15" customHeight="1" x14ac:dyDescent="0.2">
      <c r="A41" s="19" t="s">
        <v>55</v>
      </c>
      <c r="B41" s="36"/>
      <c r="C41" s="4"/>
      <c r="D41" s="37"/>
      <c r="E41" s="37"/>
      <c r="F41" s="50"/>
      <c r="G41" s="8"/>
      <c r="H41" s="37"/>
      <c r="I41" s="49"/>
      <c r="J41" s="37"/>
      <c r="K41" s="35"/>
      <c r="L41" s="37"/>
      <c r="M41" s="35"/>
    </row>
    <row r="42" spans="1:13" x14ac:dyDescent="0.2">
      <c r="A42" s="33" t="s">
        <v>56</v>
      </c>
    </row>
    <row r="43" spans="1:13" x14ac:dyDescent="0.2">
      <c r="A43" s="32" t="s">
        <v>56</v>
      </c>
    </row>
    <row r="44" spans="1:13" x14ac:dyDescent="0.2">
      <c r="A44" s="32" t="s">
        <v>56</v>
      </c>
    </row>
    <row r="45" spans="1:13" x14ac:dyDescent="0.2">
      <c r="A45" s="32" t="s">
        <v>56</v>
      </c>
    </row>
    <row r="46" spans="1:13" x14ac:dyDescent="0.2">
      <c r="A46" s="32" t="s">
        <v>56</v>
      </c>
    </row>
    <row r="47" spans="1:13" x14ac:dyDescent="0.2">
      <c r="A47" s="32" t="s">
        <v>56</v>
      </c>
    </row>
    <row r="48" spans="1:13" x14ac:dyDescent="0.2">
      <c r="A48" s="32" t="s">
        <v>56</v>
      </c>
    </row>
    <row r="49" spans="1:1" x14ac:dyDescent="0.2">
      <c r="A49" s="32" t="s">
        <v>56</v>
      </c>
    </row>
  </sheetData>
  <mergeCells count="156">
    <mergeCell ref="K38:K39"/>
    <mergeCell ref="B34:B35"/>
    <mergeCell ref="J34:J41"/>
    <mergeCell ref="K34:K35"/>
    <mergeCell ref="L26:L33"/>
    <mergeCell ref="M26:M33"/>
    <mergeCell ref="L34:L41"/>
    <mergeCell ref="M34:M41"/>
    <mergeCell ref="B36:B37"/>
    <mergeCell ref="D36:D37"/>
    <mergeCell ref="E36:E37"/>
    <mergeCell ref="F36:F37"/>
    <mergeCell ref="H36:H37"/>
    <mergeCell ref="I36:I37"/>
    <mergeCell ref="K36:K37"/>
    <mergeCell ref="B38:B39"/>
    <mergeCell ref="K40:K41"/>
    <mergeCell ref="B40:B41"/>
    <mergeCell ref="D40:D41"/>
    <mergeCell ref="E40:E41"/>
    <mergeCell ref="F40:F41"/>
    <mergeCell ref="H40:H41"/>
    <mergeCell ref="I40:I41"/>
    <mergeCell ref="D38:D39"/>
    <mergeCell ref="E38:E39"/>
    <mergeCell ref="F38:F39"/>
    <mergeCell ref="D32:D33"/>
    <mergeCell ref="E32:E33"/>
    <mergeCell ref="F32:F33"/>
    <mergeCell ref="H32:H33"/>
    <mergeCell ref="I32:I33"/>
    <mergeCell ref="D34:D35"/>
    <mergeCell ref="E34:E35"/>
    <mergeCell ref="F34:F35"/>
    <mergeCell ref="H34:H35"/>
    <mergeCell ref="I34:I35"/>
    <mergeCell ref="H38:H39"/>
    <mergeCell ref="I38:I39"/>
    <mergeCell ref="B26:B27"/>
    <mergeCell ref="D26:D27"/>
    <mergeCell ref="E26:E27"/>
    <mergeCell ref="F26:F27"/>
    <mergeCell ref="H26:H27"/>
    <mergeCell ref="I26:I27"/>
    <mergeCell ref="J26:J33"/>
    <mergeCell ref="K26:K27"/>
    <mergeCell ref="D30:D31"/>
    <mergeCell ref="E30:E31"/>
    <mergeCell ref="F30:F31"/>
    <mergeCell ref="H30:H31"/>
    <mergeCell ref="I30:I31"/>
    <mergeCell ref="K30:K31"/>
    <mergeCell ref="B28:B29"/>
    <mergeCell ref="D28:D29"/>
    <mergeCell ref="E28:E29"/>
    <mergeCell ref="F28:F29"/>
    <mergeCell ref="H28:H29"/>
    <mergeCell ref="I28:I29"/>
    <mergeCell ref="K28:K29"/>
    <mergeCell ref="B30:B31"/>
    <mergeCell ref="K32:K33"/>
    <mergeCell ref="B32:B33"/>
    <mergeCell ref="L10:L17"/>
    <mergeCell ref="M10:M17"/>
    <mergeCell ref="L18:L25"/>
    <mergeCell ref="M18:M25"/>
    <mergeCell ref="B20:B21"/>
    <mergeCell ref="D20:D21"/>
    <mergeCell ref="E20:E21"/>
    <mergeCell ref="F20:F21"/>
    <mergeCell ref="H20:H21"/>
    <mergeCell ref="I20:I21"/>
    <mergeCell ref="K20:K21"/>
    <mergeCell ref="B22:B23"/>
    <mergeCell ref="K24:K25"/>
    <mergeCell ref="B24:B25"/>
    <mergeCell ref="D24:D25"/>
    <mergeCell ref="E24:E25"/>
    <mergeCell ref="F24:F25"/>
    <mergeCell ref="H24:H25"/>
    <mergeCell ref="I24:I25"/>
    <mergeCell ref="B18:B19"/>
    <mergeCell ref="D18:D19"/>
    <mergeCell ref="E18:E19"/>
    <mergeCell ref="F18:F19"/>
    <mergeCell ref="H18:H19"/>
    <mergeCell ref="K18:K19"/>
    <mergeCell ref="D22:D23"/>
    <mergeCell ref="E22:E23"/>
    <mergeCell ref="F22:F23"/>
    <mergeCell ref="H22:H23"/>
    <mergeCell ref="I22:I23"/>
    <mergeCell ref="K22:K23"/>
    <mergeCell ref="I18:I19"/>
    <mergeCell ref="J18:J25"/>
    <mergeCell ref="K2:K3"/>
    <mergeCell ref="B12:B13"/>
    <mergeCell ref="D12:D13"/>
    <mergeCell ref="E12:E13"/>
    <mergeCell ref="F12:F13"/>
    <mergeCell ref="H12:H13"/>
    <mergeCell ref="I12:I13"/>
    <mergeCell ref="K12:K13"/>
    <mergeCell ref="B14:B15"/>
    <mergeCell ref="K8:K9"/>
    <mergeCell ref="B10:B11"/>
    <mergeCell ref="D10:D11"/>
    <mergeCell ref="E10:E11"/>
    <mergeCell ref="F10:F11"/>
    <mergeCell ref="H10:H11"/>
    <mergeCell ref="I10:I11"/>
    <mergeCell ref="J10:J17"/>
    <mergeCell ref="K10:K11"/>
    <mergeCell ref="B8:B9"/>
    <mergeCell ref="D8:D9"/>
    <mergeCell ref="E8:E9"/>
    <mergeCell ref="F8:F9"/>
    <mergeCell ref="H8:H9"/>
    <mergeCell ref="I8:I9"/>
    <mergeCell ref="D14:D15"/>
    <mergeCell ref="E14:E15"/>
    <mergeCell ref="F14:F15"/>
    <mergeCell ref="H14:H15"/>
    <mergeCell ref="I14:I15"/>
    <mergeCell ref="K14:K15"/>
    <mergeCell ref="K16:K17"/>
    <mergeCell ref="B16:B17"/>
    <mergeCell ref="D16:D17"/>
    <mergeCell ref="E16:E17"/>
    <mergeCell ref="F16:F17"/>
    <mergeCell ref="H16:H17"/>
    <mergeCell ref="I16:I17"/>
    <mergeCell ref="L2:L9"/>
    <mergeCell ref="M2:M9"/>
    <mergeCell ref="H4:H5"/>
    <mergeCell ref="I4:I5"/>
    <mergeCell ref="K4:K5"/>
    <mergeCell ref="K6:K7"/>
    <mergeCell ref="B2:B3"/>
    <mergeCell ref="D2:D3"/>
    <mergeCell ref="E2:E3"/>
    <mergeCell ref="F2:F3"/>
    <mergeCell ref="G2:G9"/>
    <mergeCell ref="B4:B5"/>
    <mergeCell ref="D4:D5"/>
    <mergeCell ref="E4:E5"/>
    <mergeCell ref="F4:F5"/>
    <mergeCell ref="B6:B7"/>
    <mergeCell ref="D6:D7"/>
    <mergeCell ref="E6:E7"/>
    <mergeCell ref="F6:F7"/>
    <mergeCell ref="H6:H7"/>
    <mergeCell ref="I6:I7"/>
    <mergeCell ref="H2:H3"/>
    <mergeCell ref="I2:I3"/>
    <mergeCell ref="J2:J9"/>
  </mergeCells>
  <phoneticPr fontId="1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5641-0675-494F-89EE-AA11FDC707F1}">
  <dimension ref="A1:M49"/>
  <sheetViews>
    <sheetView topLeftCell="K8" workbookViewId="0">
      <selection activeCell="A42" sqref="A42:A49"/>
    </sheetView>
  </sheetViews>
  <sheetFormatPr baseColWidth="10" defaultColWidth="8.83203125" defaultRowHeight="15" x14ac:dyDescent="0.2"/>
  <cols>
    <col min="1" max="1" width="16.1640625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3" max="13" width="13.6640625" customWidth="1"/>
  </cols>
  <sheetData>
    <row r="1" spans="1:13" ht="16" x14ac:dyDescent="0.2">
      <c r="A1" s="2" t="s">
        <v>51</v>
      </c>
      <c r="B1" s="6" t="s">
        <v>2</v>
      </c>
      <c r="C1" s="3" t="s">
        <v>40</v>
      </c>
      <c r="D1" s="2" t="s">
        <v>4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 ht="16" x14ac:dyDescent="0.2">
      <c r="A2" s="34" t="s">
        <v>64</v>
      </c>
      <c r="B2" s="39">
        <v>1</v>
      </c>
      <c r="C2" s="4">
        <v>30.14</v>
      </c>
      <c r="D2" s="37">
        <f>AVERAGE(C2:C3)</f>
        <v>30.325000000000003</v>
      </c>
      <c r="E2" s="37">
        <v>17.190287859484446</v>
      </c>
      <c r="F2" s="50">
        <f>D2-E2</f>
        <v>13.134712140515557</v>
      </c>
      <c r="G2" s="37">
        <f>AVERAGE(F2:F9)</f>
        <v>12.264815947634368</v>
      </c>
      <c r="H2" s="37">
        <f>F2-$G$2</f>
        <v>0.86989619288118902</v>
      </c>
      <c r="I2" s="49">
        <f>2^-(H2)</f>
        <v>0.54718622123882887</v>
      </c>
      <c r="J2" s="37">
        <f>AVERAGE(I2:I9)</f>
        <v>1.2178618772158658</v>
      </c>
      <c r="K2" s="35">
        <f>I2/$J$2</f>
        <v>0.44930072241832741</v>
      </c>
      <c r="L2" s="37">
        <f>AVERAGE(K2:K9)</f>
        <v>0.99999999999999989</v>
      </c>
      <c r="M2" s="35">
        <f>STDEV(K2:K9)/4</f>
        <v>0.17233260952092591</v>
      </c>
    </row>
    <row r="3" spans="1:13" ht="16" x14ac:dyDescent="0.2">
      <c r="A3" s="34" t="s">
        <v>64</v>
      </c>
      <c r="B3" s="39"/>
      <c r="C3" s="4">
        <v>30.51</v>
      </c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ht="16" x14ac:dyDescent="0.2">
      <c r="A4" s="34" t="s">
        <v>64</v>
      </c>
      <c r="B4" s="36" t="s">
        <v>9</v>
      </c>
      <c r="C4" s="4">
        <v>29.38</v>
      </c>
      <c r="D4" s="37">
        <f>AVERAGE(C4:C5)</f>
        <v>28.254999999999999</v>
      </c>
      <c r="E4" s="37">
        <v>17.164287644881519</v>
      </c>
      <c r="F4" s="50">
        <f t="shared" ref="F4" si="0">D4-E4</f>
        <v>11.09071235511848</v>
      </c>
      <c r="G4" s="37"/>
      <c r="H4" s="37">
        <f t="shared" ref="H4" si="1">F4-$G$2</f>
        <v>-1.1741035925158876</v>
      </c>
      <c r="I4" s="49">
        <f>2^-(H4)</f>
        <v>2.2565262986515782</v>
      </c>
      <c r="J4" s="37"/>
      <c r="K4" s="35">
        <f>I4/$J$2</f>
        <v>1.8528589660842214</v>
      </c>
      <c r="L4" s="37"/>
      <c r="M4" s="35"/>
    </row>
    <row r="5" spans="1:13" ht="16" x14ac:dyDescent="0.2">
      <c r="A5" s="34" t="s">
        <v>64</v>
      </c>
      <c r="B5" s="36"/>
      <c r="C5" s="4">
        <v>27.13</v>
      </c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ht="16" x14ac:dyDescent="0.2">
      <c r="A6" s="34" t="s">
        <v>64</v>
      </c>
      <c r="B6" s="36" t="s">
        <v>10</v>
      </c>
      <c r="C6" s="4">
        <v>28.48</v>
      </c>
      <c r="D6" s="37">
        <f>AVERAGE(C6:C7)</f>
        <v>27.545000000000002</v>
      </c>
      <c r="E6" s="37">
        <v>15.905719176330518</v>
      </c>
      <c r="F6" s="50">
        <f t="shared" ref="F6" si="2">D6-E6</f>
        <v>11.639280823669484</v>
      </c>
      <c r="G6" s="37"/>
      <c r="H6" s="37">
        <f t="shared" ref="H6" si="3">F6-$G$2</f>
        <v>-0.62553512396488387</v>
      </c>
      <c r="I6" s="49">
        <f>2^-(H6)</f>
        <v>1.5427829678374105</v>
      </c>
      <c r="J6" s="37"/>
      <c r="K6" s="35">
        <f>I6/$J$2</f>
        <v>1.2667963393060151</v>
      </c>
      <c r="L6" s="37"/>
      <c r="M6" s="35"/>
    </row>
    <row r="7" spans="1:13" ht="16" x14ac:dyDescent="0.2">
      <c r="A7" s="34" t="s">
        <v>64</v>
      </c>
      <c r="B7" s="36"/>
      <c r="C7" s="4">
        <v>26.61</v>
      </c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ht="16" x14ac:dyDescent="0.2">
      <c r="A8" s="34" t="s">
        <v>64</v>
      </c>
      <c r="B8" s="36" t="s">
        <v>11</v>
      </c>
      <c r="C8" s="4">
        <v>30.61</v>
      </c>
      <c r="D8" s="37">
        <f>AVERAGE(C8:C9)</f>
        <v>29.244999999999997</v>
      </c>
      <c r="E8" s="37">
        <v>16.050441528766051</v>
      </c>
      <c r="F8" s="50">
        <f t="shared" ref="F8" si="4">D8-E8</f>
        <v>13.194558471233947</v>
      </c>
      <c r="G8" s="37"/>
      <c r="H8" s="37">
        <f t="shared" ref="H8:H40" si="5">F8-$G$2</f>
        <v>0.92974252359957887</v>
      </c>
      <c r="I8" s="49">
        <f>2^-(H8)</f>
        <v>0.5249520211356451</v>
      </c>
      <c r="J8" s="37"/>
      <c r="K8" s="35">
        <f>I8/$J$2</f>
        <v>0.43104397219143548</v>
      </c>
      <c r="L8" s="37"/>
      <c r="M8" s="35"/>
    </row>
    <row r="9" spans="1:13" ht="15" customHeight="1" x14ac:dyDescent="0.2">
      <c r="A9" s="34" t="s">
        <v>64</v>
      </c>
      <c r="B9" s="36"/>
      <c r="C9" s="4">
        <v>27.88</v>
      </c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4" t="s">
        <v>63</v>
      </c>
      <c r="B10" s="36" t="s">
        <v>13</v>
      </c>
      <c r="C10" s="4">
        <v>31.64</v>
      </c>
      <c r="D10" s="37">
        <f>AVERAGE(C10:C11)</f>
        <v>31.634999999999998</v>
      </c>
      <c r="E10" s="37">
        <v>17.143829345000096</v>
      </c>
      <c r="F10" s="50">
        <f t="shared" ref="F10" si="6">D10-E10</f>
        <v>14.491170654999902</v>
      </c>
      <c r="G10" s="8"/>
      <c r="H10" s="37">
        <f t="shared" si="5"/>
        <v>2.2263547073655339</v>
      </c>
      <c r="I10" s="49">
        <f>2^-(H10)</f>
        <v>0.21369799728142255</v>
      </c>
      <c r="J10" s="37"/>
      <c r="K10" s="35">
        <f>I10/$J$2</f>
        <v>0.17546981417133614</v>
      </c>
      <c r="L10" s="37">
        <f t="shared" ref="L10" si="7">AVERAGE(K10:K17)</f>
        <v>0.68391891835405549</v>
      </c>
      <c r="M10" s="35">
        <f t="shared" ref="M10" si="8">STDEV(K10:K17)/4</f>
        <v>9.4859642213124484E-2</v>
      </c>
    </row>
    <row r="11" spans="1:13" ht="15" customHeight="1" x14ac:dyDescent="0.2">
      <c r="A11" s="34" t="s">
        <v>63</v>
      </c>
      <c r="B11" s="36"/>
      <c r="C11" s="4">
        <v>31.63</v>
      </c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4" t="s">
        <v>63</v>
      </c>
      <c r="B12" s="36" t="s">
        <v>14</v>
      </c>
      <c r="C12" s="4">
        <v>30.17</v>
      </c>
      <c r="D12" s="37">
        <f>AVERAGE(C12:C13)</f>
        <v>30.43</v>
      </c>
      <c r="E12" s="37">
        <v>17.978019717604003</v>
      </c>
      <c r="F12" s="50">
        <f t="shared" ref="F12" si="9">D12-E12</f>
        <v>12.451980282395997</v>
      </c>
      <c r="G12" s="8"/>
      <c r="H12" s="37">
        <f t="shared" si="5"/>
        <v>0.18716433476162919</v>
      </c>
      <c r="I12" s="49">
        <f>2^-(H12)</f>
        <v>0.87833041352400787</v>
      </c>
      <c r="J12" s="37"/>
      <c r="K12" s="35">
        <f>I12/$J$2</f>
        <v>0.72120692005890252</v>
      </c>
      <c r="L12" s="37"/>
      <c r="M12" s="35"/>
    </row>
    <row r="13" spans="1:13" ht="15" customHeight="1" x14ac:dyDescent="0.2">
      <c r="A13" s="34" t="s">
        <v>63</v>
      </c>
      <c r="B13" s="36"/>
      <c r="C13" s="4">
        <v>30.69</v>
      </c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4" t="s">
        <v>63</v>
      </c>
      <c r="B14" s="36" t="s">
        <v>15</v>
      </c>
      <c r="C14" s="4">
        <v>30.54</v>
      </c>
      <c r="D14" s="37">
        <f>AVERAGE(C14:C15)</f>
        <v>30.38</v>
      </c>
      <c r="E14" s="37">
        <v>17.974532197115273</v>
      </c>
      <c r="F14" s="50">
        <f t="shared" ref="F14" si="10">D14-E14</f>
        <v>12.405467802884726</v>
      </c>
      <c r="G14" s="8"/>
      <c r="H14" s="37">
        <f t="shared" si="5"/>
        <v>0.14065185525035773</v>
      </c>
      <c r="I14" s="49">
        <f>2^-(H14)</f>
        <v>0.90710920208083257</v>
      </c>
      <c r="J14" s="37"/>
      <c r="K14" s="35">
        <f>I14/$J$2</f>
        <v>0.7448375050170386</v>
      </c>
      <c r="L14" s="37"/>
      <c r="M14" s="35"/>
    </row>
    <row r="15" spans="1:13" ht="15" customHeight="1" x14ac:dyDescent="0.2">
      <c r="A15" s="34" t="s">
        <v>63</v>
      </c>
      <c r="B15" s="36"/>
      <c r="C15" s="4">
        <v>30.22</v>
      </c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4" t="s">
        <v>63</v>
      </c>
      <c r="B16" s="36" t="s">
        <v>16</v>
      </c>
      <c r="C16" s="4">
        <v>28.26</v>
      </c>
      <c r="D16" s="37">
        <f>AVERAGE(C16:C17)</f>
        <v>29.17</v>
      </c>
      <c r="E16" s="37">
        <v>17.319360183997457</v>
      </c>
      <c r="F16" s="50">
        <f t="shared" ref="F16" si="11">D16-E16</f>
        <v>11.850639816002545</v>
      </c>
      <c r="G16" s="8"/>
      <c r="H16" s="37">
        <f t="shared" si="5"/>
        <v>-0.4141761316318231</v>
      </c>
      <c r="I16" s="49">
        <f>2^-(H16)</f>
        <v>1.3325374981941951</v>
      </c>
      <c r="J16" s="37"/>
      <c r="K16" s="35">
        <f>I16/$J$2</f>
        <v>1.0941614341689447</v>
      </c>
      <c r="L16" s="37"/>
      <c r="M16" s="35"/>
    </row>
    <row r="17" spans="1:13" ht="15" customHeight="1" x14ac:dyDescent="0.2">
      <c r="A17" s="34" t="s">
        <v>63</v>
      </c>
      <c r="B17" s="36"/>
      <c r="C17" s="4">
        <v>30.08</v>
      </c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19" t="s">
        <v>53</v>
      </c>
      <c r="B18" s="36" t="s">
        <v>18</v>
      </c>
      <c r="C18" s="4">
        <v>28.15</v>
      </c>
      <c r="D18" s="37">
        <f>AVERAGE(C18:C19)</f>
        <v>28.2</v>
      </c>
      <c r="E18" s="37">
        <v>19.205252186246113</v>
      </c>
      <c r="F18" s="50">
        <f t="shared" ref="F18" si="12">D18-E18</f>
        <v>8.9947478137538859</v>
      </c>
      <c r="G18" s="8"/>
      <c r="H18" s="37">
        <f t="shared" si="5"/>
        <v>-3.270068133880482</v>
      </c>
      <c r="I18" s="49">
        <f>2^-(H18)</f>
        <v>9.6469182039138186</v>
      </c>
      <c r="J18" s="37"/>
      <c r="K18" s="35">
        <f>I18/$J$2</f>
        <v>7.9211923653998273</v>
      </c>
      <c r="L18" s="37">
        <f t="shared" ref="L18" si="13">AVERAGE(K18:K25)</f>
        <v>2.8823516701173157</v>
      </c>
      <c r="M18" s="35">
        <f t="shared" ref="M18" si="14">STDEV(K18:K25)/4</f>
        <v>0.84061543986259291</v>
      </c>
    </row>
    <row r="19" spans="1:13" ht="15" customHeight="1" x14ac:dyDescent="0.2">
      <c r="A19" s="19" t="s">
        <v>53</v>
      </c>
      <c r="B19" s="36"/>
      <c r="C19" s="4">
        <v>28.25</v>
      </c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19" t="s">
        <v>53</v>
      </c>
      <c r="B20" s="36" t="s">
        <v>19</v>
      </c>
      <c r="C20" s="4">
        <v>30.13</v>
      </c>
      <c r="D20" s="37">
        <f>AVERAGE(C20:C21)</f>
        <v>29.465</v>
      </c>
      <c r="E20" s="37">
        <v>17.51825332356341</v>
      </c>
      <c r="F20" s="50">
        <f t="shared" ref="F20" si="15">D20-E20</f>
        <v>11.946746676436589</v>
      </c>
      <c r="G20" s="8"/>
      <c r="H20" s="37">
        <f t="shared" si="5"/>
        <v>-0.31806927119777839</v>
      </c>
      <c r="I20" s="49">
        <f>2^-(H20)</f>
        <v>1.2466610514372862</v>
      </c>
      <c r="J20" s="37"/>
      <c r="K20" s="35">
        <f>I20/$J$2</f>
        <v>1.023647323855196</v>
      </c>
      <c r="L20" s="37"/>
      <c r="M20" s="35"/>
    </row>
    <row r="21" spans="1:13" ht="15" customHeight="1" x14ac:dyDescent="0.2">
      <c r="A21" s="20" t="s">
        <v>53</v>
      </c>
      <c r="B21" s="36"/>
      <c r="C21" s="4">
        <v>28.8</v>
      </c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20" t="s">
        <v>53</v>
      </c>
      <c r="B22" s="36" t="s">
        <v>20</v>
      </c>
      <c r="C22" s="4">
        <v>27.03</v>
      </c>
      <c r="D22" s="37">
        <f>AVERAGE(C22:C23)</f>
        <v>28.96</v>
      </c>
      <c r="E22" s="37">
        <v>17.449205574599276</v>
      </c>
      <c r="F22" s="50">
        <f t="shared" ref="F22" si="16">D22-E22</f>
        <v>11.510794425400725</v>
      </c>
      <c r="G22" s="8"/>
      <c r="H22" s="37">
        <f t="shared" si="5"/>
        <v>-0.75402152223364283</v>
      </c>
      <c r="I22" s="49">
        <f>2^-(H22)</f>
        <v>1.6864873794587356</v>
      </c>
      <c r="J22" s="37"/>
      <c r="K22" s="35">
        <f>I22/$J$2</f>
        <v>1.3847936379404429</v>
      </c>
      <c r="L22" s="37"/>
      <c r="M22" s="35"/>
    </row>
    <row r="23" spans="1:13" ht="15" customHeight="1" x14ac:dyDescent="0.2">
      <c r="A23" s="20" t="s">
        <v>53</v>
      </c>
      <c r="B23" s="36"/>
      <c r="C23" s="4">
        <v>30.89</v>
      </c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20" t="s">
        <v>53</v>
      </c>
      <c r="B24" s="36" t="s">
        <v>21</v>
      </c>
      <c r="C24" s="4">
        <v>27.55</v>
      </c>
      <c r="D24" s="37">
        <f>AVERAGE(C24:C25)</f>
        <v>28.61</v>
      </c>
      <c r="E24" s="37">
        <v>16.892296467846915</v>
      </c>
      <c r="F24" s="50">
        <f t="shared" ref="F24" si="17">D24-E24</f>
        <v>11.717703532153084</v>
      </c>
      <c r="G24" s="8"/>
      <c r="H24" s="37">
        <f t="shared" si="5"/>
        <v>-0.54711241548128342</v>
      </c>
      <c r="I24" s="49">
        <f>2^-(H24)</f>
        <v>1.4611582282515991</v>
      </c>
      <c r="J24" s="37"/>
      <c r="K24" s="35">
        <f>I24/$J$2</f>
        <v>1.1997733532737958</v>
      </c>
      <c r="L24" s="37"/>
      <c r="M24" s="35"/>
    </row>
    <row r="25" spans="1:13" ht="15" customHeight="1" x14ac:dyDescent="0.2">
      <c r="A25" s="20" t="s">
        <v>53</v>
      </c>
      <c r="B25" s="36"/>
      <c r="C25" s="4">
        <v>29.67</v>
      </c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19" t="s">
        <v>54</v>
      </c>
      <c r="B26" s="36" t="s">
        <v>23</v>
      </c>
      <c r="C26" s="4">
        <v>29.44</v>
      </c>
      <c r="D26" s="37">
        <f>AVERAGE(C26:C27)</f>
        <v>29.405000000000001</v>
      </c>
      <c r="E26" s="37">
        <v>17.460951826505497</v>
      </c>
      <c r="F26" s="50">
        <f t="shared" ref="F26" si="18">D26-E26</f>
        <v>11.944048173494505</v>
      </c>
      <c r="G26" s="8"/>
      <c r="H26" s="37">
        <f t="shared" si="5"/>
        <v>-0.32076777413986335</v>
      </c>
      <c r="I26" s="49">
        <f>2^-(H26)</f>
        <v>1.2489950628577606</v>
      </c>
      <c r="J26" s="37"/>
      <c r="K26" s="35">
        <f>I26/$J$2</f>
        <v>1.0255638067208968</v>
      </c>
      <c r="L26" s="37">
        <f t="shared" ref="L26" si="19">AVERAGE(K26:K33)</f>
        <v>0.68046535769150229</v>
      </c>
      <c r="M26" s="35">
        <f t="shared" ref="M26" si="20">STDEV(K26:K33)/4</f>
        <v>0.16827585163223582</v>
      </c>
    </row>
    <row r="27" spans="1:13" ht="15" customHeight="1" x14ac:dyDescent="0.2">
      <c r="A27" s="19" t="s">
        <v>54</v>
      </c>
      <c r="B27" s="36"/>
      <c r="C27" s="4">
        <v>29.37</v>
      </c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19" t="s">
        <v>54</v>
      </c>
      <c r="B28" s="36" t="s">
        <v>24</v>
      </c>
      <c r="C28" s="4"/>
      <c r="D28" s="37">
        <f>AVERAGE(C28:C29)</f>
        <v>35.97</v>
      </c>
      <c r="E28" s="37">
        <v>17.810378746674107</v>
      </c>
      <c r="F28" s="50">
        <f t="shared" ref="F28" si="21">D28-E28</f>
        <v>18.159621253325891</v>
      </c>
      <c r="G28" s="8"/>
      <c r="H28" s="37">
        <f t="shared" si="5"/>
        <v>5.8948053056915235</v>
      </c>
      <c r="I28" s="49">
        <f>2^-(H28)</f>
        <v>1.6806867815108904E-2</v>
      </c>
      <c r="J28" s="37"/>
      <c r="K28" s="35">
        <f>I28/$J$2</f>
        <v>1.380030702129441E-2</v>
      </c>
      <c r="L28" s="37"/>
      <c r="M28" s="35"/>
    </row>
    <row r="29" spans="1:13" ht="15" customHeight="1" x14ac:dyDescent="0.2">
      <c r="A29" s="19" t="s">
        <v>54</v>
      </c>
      <c r="B29" s="36"/>
      <c r="C29" s="4">
        <v>35.97</v>
      </c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19" t="s">
        <v>54</v>
      </c>
      <c r="B30" s="36" t="s">
        <v>25</v>
      </c>
      <c r="C30" s="4">
        <v>30.35</v>
      </c>
      <c r="D30" s="37">
        <f>AVERAGE(C30:C31)</f>
        <v>29.08</v>
      </c>
      <c r="E30" s="37">
        <v>17.636734292930214</v>
      </c>
      <c r="F30" s="50">
        <f t="shared" ref="F30" si="22">D30-E30</f>
        <v>11.443265707069784</v>
      </c>
      <c r="G30" s="8"/>
      <c r="H30" s="37">
        <f t="shared" si="5"/>
        <v>-0.82155024056458359</v>
      </c>
      <c r="I30" s="49">
        <f>2^-(H30)</f>
        <v>1.7673040201208894</v>
      </c>
      <c r="J30" s="37"/>
      <c r="K30" s="35">
        <f>I30/$J$2</f>
        <v>1.4511530849139431</v>
      </c>
      <c r="L30" s="37"/>
      <c r="M30" s="35"/>
    </row>
    <row r="31" spans="1:13" ht="15" customHeight="1" x14ac:dyDescent="0.2">
      <c r="A31" s="19" t="s">
        <v>54</v>
      </c>
      <c r="B31" s="36"/>
      <c r="C31" s="4">
        <v>27.81</v>
      </c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19" t="s">
        <v>54</v>
      </c>
      <c r="B32" s="36" t="s">
        <v>26</v>
      </c>
      <c r="C32" s="4">
        <v>32.49</v>
      </c>
      <c r="D32" s="37">
        <f>AVERAGE(C32:C33)</f>
        <v>32.49</v>
      </c>
      <c r="E32" s="37">
        <v>18.397647607932122</v>
      </c>
      <c r="F32" s="50">
        <f t="shared" ref="F32" si="23">D32-E32</f>
        <v>14.09235239206788</v>
      </c>
      <c r="G32" s="8"/>
      <c r="H32" s="37">
        <f t="shared" si="5"/>
        <v>1.8275364444335125</v>
      </c>
      <c r="I32" s="49">
        <f>2^-(H32)</f>
        <v>0.28174532080039494</v>
      </c>
      <c r="J32" s="37"/>
      <c r="K32" s="35">
        <f>I32/$J$2</f>
        <v>0.23134423210987468</v>
      </c>
      <c r="L32" s="37"/>
      <c r="M32" s="35"/>
    </row>
    <row r="33" spans="1:13" ht="15" customHeight="1" x14ac:dyDescent="0.2">
      <c r="A33" s="19" t="s">
        <v>54</v>
      </c>
      <c r="B33" s="36"/>
      <c r="C33" s="4"/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19" t="s">
        <v>55</v>
      </c>
      <c r="B34" s="36" t="s">
        <v>28</v>
      </c>
      <c r="C34" s="4">
        <v>30</v>
      </c>
      <c r="D34" s="37">
        <f>AVERAGE(C34:C35)</f>
        <v>30.574999999999999</v>
      </c>
      <c r="E34" s="37">
        <v>16.509506697394823</v>
      </c>
      <c r="F34" s="50">
        <f t="shared" ref="F34" si="24">D34-E34</f>
        <v>14.065493302605176</v>
      </c>
      <c r="G34" s="8"/>
      <c r="H34" s="37">
        <f t="shared" si="5"/>
        <v>1.8006773549708086</v>
      </c>
      <c r="I34" s="49">
        <f>2^-(H34)</f>
        <v>0.28703979000607627</v>
      </c>
      <c r="J34" s="37"/>
      <c r="K34" s="35">
        <f>I34/$J$2</f>
        <v>0.23569157995344533</v>
      </c>
      <c r="L34" s="37">
        <f t="shared" ref="L34" si="25">AVERAGE(K34:K41)</f>
        <v>1.5812360180479188</v>
      </c>
      <c r="M34" s="35">
        <f t="shared" ref="M34" si="26">STDEV(K34:K41)/4</f>
        <v>0.41002936753165475</v>
      </c>
    </row>
    <row r="35" spans="1:13" ht="15" customHeight="1" x14ac:dyDescent="0.2">
      <c r="A35" s="19" t="s">
        <v>55</v>
      </c>
      <c r="B35" s="36"/>
      <c r="C35" s="4">
        <v>31.15</v>
      </c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19" t="s">
        <v>55</v>
      </c>
      <c r="B36" s="36" t="s">
        <v>29</v>
      </c>
      <c r="C36" s="4">
        <v>30.55</v>
      </c>
      <c r="D36" s="37">
        <f>AVERAGE(C36:C37)</f>
        <v>31.02</v>
      </c>
      <c r="E36" s="37">
        <v>18.343164352268513</v>
      </c>
      <c r="F36" s="50">
        <f t="shared" ref="F36" si="27">D36-E36</f>
        <v>12.676835647731487</v>
      </c>
      <c r="G36" s="8"/>
      <c r="H36" s="37">
        <f t="shared" si="5"/>
        <v>0.41201970009711886</v>
      </c>
      <c r="I36" s="49">
        <f>2^-(H36)</f>
        <v>0.75157047621767314</v>
      </c>
      <c r="J36" s="37"/>
      <c r="K36" s="35">
        <f>I36/$J$2</f>
        <v>0.61712291868091496</v>
      </c>
      <c r="L36" s="37"/>
      <c r="M36" s="35"/>
    </row>
    <row r="37" spans="1:13" ht="15" customHeight="1" x14ac:dyDescent="0.2">
      <c r="A37" s="19" t="s">
        <v>55</v>
      </c>
      <c r="B37" s="36"/>
      <c r="C37" s="4">
        <v>31.49</v>
      </c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19" t="s">
        <v>55</v>
      </c>
      <c r="B38" s="36" t="s">
        <v>30</v>
      </c>
      <c r="C38" s="4">
        <v>28.35</v>
      </c>
      <c r="D38" s="37">
        <f>AVERAGE(C38:C39)</f>
        <v>28.825000000000003</v>
      </c>
      <c r="E38" s="37">
        <v>17.506489233409525</v>
      </c>
      <c r="F38" s="50">
        <f t="shared" ref="F38" si="28">D38-E38</f>
        <v>11.318510766590478</v>
      </c>
      <c r="G38" s="8"/>
      <c r="H38" s="37">
        <f t="shared" si="5"/>
        <v>-0.94630518104388983</v>
      </c>
      <c r="I38" s="49">
        <f>2^-(H38)</f>
        <v>1.9269313590884618</v>
      </c>
      <c r="J38" s="37"/>
      <c r="K38" s="35">
        <f>I38/$J$2</f>
        <v>1.5822248771704621</v>
      </c>
      <c r="L38" s="37"/>
      <c r="M38" s="35"/>
    </row>
    <row r="39" spans="1:13" ht="15" customHeight="1" x14ac:dyDescent="0.2">
      <c r="A39" s="19" t="s">
        <v>55</v>
      </c>
      <c r="B39" s="36"/>
      <c r="C39" s="4">
        <v>29.3</v>
      </c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19" t="s">
        <v>55</v>
      </c>
      <c r="B40" s="36" t="s">
        <v>31</v>
      </c>
      <c r="C40" s="4">
        <v>28.73</v>
      </c>
      <c r="D40" s="37">
        <f>AVERAGE(C40:C41)</f>
        <v>28.73</v>
      </c>
      <c r="E40" s="37">
        <v>18.70926938210307</v>
      </c>
      <c r="F40" s="50">
        <f t="shared" ref="F40" si="29">D40-E40</f>
        <v>10.02073061789693</v>
      </c>
      <c r="G40" s="8"/>
      <c r="H40" s="37">
        <f t="shared" si="5"/>
        <v>-2.2440853297374375</v>
      </c>
      <c r="I40" s="49">
        <f>2^-(H40)</f>
        <v>4.7373666357325046</v>
      </c>
      <c r="J40" s="37"/>
      <c r="K40" s="35">
        <f>I40/$J$2</f>
        <v>3.8899046963868522</v>
      </c>
      <c r="L40" s="37"/>
      <c r="M40" s="35"/>
    </row>
    <row r="41" spans="1:13" ht="15" customHeight="1" x14ac:dyDescent="0.2">
      <c r="A41" s="19" t="s">
        <v>55</v>
      </c>
      <c r="B41" s="36"/>
      <c r="C41" s="4"/>
      <c r="D41" s="37"/>
      <c r="E41" s="37"/>
      <c r="F41" s="50"/>
      <c r="G41" s="8"/>
      <c r="H41" s="37"/>
      <c r="I41" s="49"/>
      <c r="J41" s="37"/>
      <c r="K41" s="35"/>
      <c r="L41" s="37"/>
      <c r="M41" s="35"/>
    </row>
    <row r="42" spans="1:13" x14ac:dyDescent="0.2">
      <c r="A42" s="33" t="s">
        <v>56</v>
      </c>
    </row>
    <row r="43" spans="1:13" x14ac:dyDescent="0.2">
      <c r="A43" s="32" t="s">
        <v>56</v>
      </c>
    </row>
    <row r="44" spans="1:13" x14ac:dyDescent="0.2">
      <c r="A44" s="32" t="s">
        <v>56</v>
      </c>
    </row>
    <row r="45" spans="1:13" x14ac:dyDescent="0.2">
      <c r="A45" s="32" t="s">
        <v>56</v>
      </c>
    </row>
    <row r="46" spans="1:13" x14ac:dyDescent="0.2">
      <c r="A46" s="32" t="s">
        <v>56</v>
      </c>
    </row>
    <row r="47" spans="1:13" x14ac:dyDescent="0.2">
      <c r="A47" s="32" t="s">
        <v>56</v>
      </c>
    </row>
    <row r="48" spans="1:13" x14ac:dyDescent="0.2">
      <c r="A48" s="32" t="s">
        <v>56</v>
      </c>
    </row>
    <row r="49" spans="1:1" x14ac:dyDescent="0.2">
      <c r="A49" s="32" t="s">
        <v>56</v>
      </c>
    </row>
  </sheetData>
  <mergeCells count="156">
    <mergeCell ref="K38:K39"/>
    <mergeCell ref="B34:B35"/>
    <mergeCell ref="J34:J41"/>
    <mergeCell ref="K34:K35"/>
    <mergeCell ref="L26:L33"/>
    <mergeCell ref="M26:M33"/>
    <mergeCell ref="L34:L41"/>
    <mergeCell ref="M34:M41"/>
    <mergeCell ref="B36:B37"/>
    <mergeCell ref="D36:D37"/>
    <mergeCell ref="E36:E37"/>
    <mergeCell ref="F36:F37"/>
    <mergeCell ref="H36:H37"/>
    <mergeCell ref="I36:I37"/>
    <mergeCell ref="K36:K37"/>
    <mergeCell ref="B38:B39"/>
    <mergeCell ref="K40:K41"/>
    <mergeCell ref="B40:B41"/>
    <mergeCell ref="D40:D41"/>
    <mergeCell ref="E40:E41"/>
    <mergeCell ref="F40:F41"/>
    <mergeCell ref="H40:H41"/>
    <mergeCell ref="I40:I41"/>
    <mergeCell ref="D38:D39"/>
    <mergeCell ref="E38:E39"/>
    <mergeCell ref="F38:F39"/>
    <mergeCell ref="D32:D33"/>
    <mergeCell ref="E32:E33"/>
    <mergeCell ref="F32:F33"/>
    <mergeCell ref="H32:H33"/>
    <mergeCell ref="I32:I33"/>
    <mergeCell ref="D34:D35"/>
    <mergeCell ref="E34:E35"/>
    <mergeCell ref="F34:F35"/>
    <mergeCell ref="H34:H35"/>
    <mergeCell ref="I34:I35"/>
    <mergeCell ref="H38:H39"/>
    <mergeCell ref="I38:I39"/>
    <mergeCell ref="B26:B27"/>
    <mergeCell ref="D26:D27"/>
    <mergeCell ref="E26:E27"/>
    <mergeCell ref="F26:F27"/>
    <mergeCell ref="H26:H27"/>
    <mergeCell ref="I26:I27"/>
    <mergeCell ref="J26:J33"/>
    <mergeCell ref="K26:K27"/>
    <mergeCell ref="D30:D31"/>
    <mergeCell ref="E30:E31"/>
    <mergeCell ref="F30:F31"/>
    <mergeCell ref="H30:H31"/>
    <mergeCell ref="I30:I31"/>
    <mergeCell ref="K30:K31"/>
    <mergeCell ref="B28:B29"/>
    <mergeCell ref="D28:D29"/>
    <mergeCell ref="E28:E29"/>
    <mergeCell ref="F28:F29"/>
    <mergeCell ref="H28:H29"/>
    <mergeCell ref="I28:I29"/>
    <mergeCell ref="K28:K29"/>
    <mergeCell ref="B30:B31"/>
    <mergeCell ref="K32:K33"/>
    <mergeCell ref="B32:B33"/>
    <mergeCell ref="L10:L17"/>
    <mergeCell ref="M10:M17"/>
    <mergeCell ref="L18:L25"/>
    <mergeCell ref="M18:M25"/>
    <mergeCell ref="B20:B21"/>
    <mergeCell ref="D20:D21"/>
    <mergeCell ref="E20:E21"/>
    <mergeCell ref="F20:F21"/>
    <mergeCell ref="H20:H21"/>
    <mergeCell ref="I20:I21"/>
    <mergeCell ref="K20:K21"/>
    <mergeCell ref="B22:B23"/>
    <mergeCell ref="K24:K25"/>
    <mergeCell ref="B24:B25"/>
    <mergeCell ref="D24:D25"/>
    <mergeCell ref="E24:E25"/>
    <mergeCell ref="F24:F25"/>
    <mergeCell ref="H24:H25"/>
    <mergeCell ref="I24:I25"/>
    <mergeCell ref="B18:B19"/>
    <mergeCell ref="D18:D19"/>
    <mergeCell ref="E18:E19"/>
    <mergeCell ref="F18:F19"/>
    <mergeCell ref="H18:H19"/>
    <mergeCell ref="K18:K19"/>
    <mergeCell ref="D22:D23"/>
    <mergeCell ref="E22:E23"/>
    <mergeCell ref="F22:F23"/>
    <mergeCell ref="H22:H23"/>
    <mergeCell ref="I22:I23"/>
    <mergeCell ref="K22:K23"/>
    <mergeCell ref="I18:I19"/>
    <mergeCell ref="J18:J25"/>
    <mergeCell ref="K2:K3"/>
    <mergeCell ref="B12:B13"/>
    <mergeCell ref="D12:D13"/>
    <mergeCell ref="E12:E13"/>
    <mergeCell ref="F12:F13"/>
    <mergeCell ref="H12:H13"/>
    <mergeCell ref="I12:I13"/>
    <mergeCell ref="K12:K13"/>
    <mergeCell ref="B14:B15"/>
    <mergeCell ref="K8:K9"/>
    <mergeCell ref="B10:B11"/>
    <mergeCell ref="D10:D11"/>
    <mergeCell ref="E10:E11"/>
    <mergeCell ref="F10:F11"/>
    <mergeCell ref="H10:H11"/>
    <mergeCell ref="I10:I11"/>
    <mergeCell ref="J10:J17"/>
    <mergeCell ref="K10:K11"/>
    <mergeCell ref="B8:B9"/>
    <mergeCell ref="D8:D9"/>
    <mergeCell ref="E8:E9"/>
    <mergeCell ref="F8:F9"/>
    <mergeCell ref="H8:H9"/>
    <mergeCell ref="I8:I9"/>
    <mergeCell ref="D14:D15"/>
    <mergeCell ref="E14:E15"/>
    <mergeCell ref="F14:F15"/>
    <mergeCell ref="H14:H15"/>
    <mergeCell ref="I14:I15"/>
    <mergeCell ref="K14:K15"/>
    <mergeCell ref="K16:K17"/>
    <mergeCell ref="B16:B17"/>
    <mergeCell ref="D16:D17"/>
    <mergeCell ref="E16:E17"/>
    <mergeCell ref="F16:F17"/>
    <mergeCell ref="H16:H17"/>
    <mergeCell ref="I16:I17"/>
    <mergeCell ref="L2:L9"/>
    <mergeCell ref="M2:M9"/>
    <mergeCell ref="H4:H5"/>
    <mergeCell ref="I4:I5"/>
    <mergeCell ref="K4:K5"/>
    <mergeCell ref="K6:K7"/>
    <mergeCell ref="B2:B3"/>
    <mergeCell ref="D2:D3"/>
    <mergeCell ref="E2:E3"/>
    <mergeCell ref="F2:F3"/>
    <mergeCell ref="G2:G9"/>
    <mergeCell ref="B4:B5"/>
    <mergeCell ref="D4:D5"/>
    <mergeCell ref="E4:E5"/>
    <mergeCell ref="F4:F5"/>
    <mergeCell ref="B6:B7"/>
    <mergeCell ref="D6:D7"/>
    <mergeCell ref="E6:E7"/>
    <mergeCell ref="F6:F7"/>
    <mergeCell ref="H6:H7"/>
    <mergeCell ref="I6:I7"/>
    <mergeCell ref="H2:H3"/>
    <mergeCell ref="I2:I3"/>
    <mergeCell ref="J2:J9"/>
  </mergeCells>
  <phoneticPr fontId="1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7067-9D10-439A-8312-DE257CE20AA6}">
  <dimension ref="A1:M49"/>
  <sheetViews>
    <sheetView topLeftCell="I5" zoomScaleNormal="100" workbookViewId="0">
      <selection activeCell="N32" sqref="N32"/>
    </sheetView>
  </sheetViews>
  <sheetFormatPr baseColWidth="10" defaultColWidth="8.83203125" defaultRowHeight="15" x14ac:dyDescent="0.2"/>
  <cols>
    <col min="1" max="1" width="16.1640625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2" max="12" width="9"/>
    <col min="13" max="13" width="13.6640625" customWidth="1"/>
  </cols>
  <sheetData>
    <row r="1" spans="1:13" ht="16" x14ac:dyDescent="0.2">
      <c r="A1" s="2" t="s">
        <v>51</v>
      </c>
      <c r="B1" s="6" t="s">
        <v>2</v>
      </c>
      <c r="C1" s="3" t="s">
        <v>40</v>
      </c>
      <c r="D1" s="2" t="s">
        <v>4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 x14ac:dyDescent="0.2">
      <c r="A2" s="34" t="s">
        <v>64</v>
      </c>
      <c r="B2" s="39">
        <v>1</v>
      </c>
      <c r="C2" s="17">
        <v>31.17</v>
      </c>
      <c r="D2" s="37">
        <f>AVERAGE(C2:C3)</f>
        <v>31.17</v>
      </c>
      <c r="E2" s="37">
        <v>17.190287859484446</v>
      </c>
      <c r="F2" s="50">
        <f>D2-E2</f>
        <v>13.979712140515556</v>
      </c>
      <c r="G2" s="37">
        <f>AVERAGE(F2:F9)</f>
        <v>12.799815947634366</v>
      </c>
      <c r="H2" s="37">
        <f>F2-$G$2</f>
        <v>1.1798961928811895</v>
      </c>
      <c r="I2" s="49">
        <f>2^-(H2)</f>
        <v>0.44138325612219631</v>
      </c>
      <c r="J2" s="37">
        <f>AVERAGE(I2:I9)</f>
        <v>1.1152088850879163</v>
      </c>
      <c r="K2" s="35">
        <f>I2/$J$2</f>
        <v>0.3957852757668805</v>
      </c>
      <c r="L2" s="37">
        <f>AVERAGE(K2:K9)</f>
        <v>1</v>
      </c>
      <c r="M2" s="35">
        <f>STDEV(K2:K9)/4</f>
        <v>0.1168682052641393</v>
      </c>
    </row>
    <row r="3" spans="1:13" x14ac:dyDescent="0.2">
      <c r="A3" s="34" t="s">
        <v>64</v>
      </c>
      <c r="B3" s="39"/>
      <c r="C3" s="17"/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x14ac:dyDescent="0.2">
      <c r="A4" s="34" t="s">
        <v>64</v>
      </c>
      <c r="B4" s="36" t="s">
        <v>9</v>
      </c>
      <c r="C4" s="17">
        <v>29.32</v>
      </c>
      <c r="D4" s="37">
        <f>AVERAGE(C4:C5)</f>
        <v>29.225000000000001</v>
      </c>
      <c r="E4" s="37">
        <v>17.164287644881519</v>
      </c>
      <c r="F4" s="50">
        <f t="shared" ref="F4" si="0">D4-E4</f>
        <v>12.060712355118483</v>
      </c>
      <c r="G4" s="37"/>
      <c r="H4" s="37">
        <f t="shared" ref="H4" si="1">F4-$G$2</f>
        <v>-0.73910359251588353</v>
      </c>
      <c r="I4" s="49">
        <f>2^-(H4)</f>
        <v>1.6691384102583235</v>
      </c>
      <c r="J4" s="37"/>
      <c r="K4" s="35">
        <f>I4/$J$2</f>
        <v>1.4967047273181822</v>
      </c>
      <c r="L4" s="37"/>
      <c r="M4" s="35"/>
    </row>
    <row r="5" spans="1:13" x14ac:dyDescent="0.2">
      <c r="A5" s="34" t="s">
        <v>64</v>
      </c>
      <c r="B5" s="36"/>
      <c r="C5" s="17">
        <v>29.13</v>
      </c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x14ac:dyDescent="0.2">
      <c r="A6" s="34" t="s">
        <v>64</v>
      </c>
      <c r="B6" s="36" t="s">
        <v>10</v>
      </c>
      <c r="C6" s="17">
        <v>28.63</v>
      </c>
      <c r="D6" s="37">
        <f>AVERAGE(C6:C7)</f>
        <v>28.674999999999997</v>
      </c>
      <c r="E6" s="37">
        <v>15.905719176330518</v>
      </c>
      <c r="F6" s="50">
        <f t="shared" ref="F6" si="2">D6-E6</f>
        <v>12.769280823669479</v>
      </c>
      <c r="G6" s="37"/>
      <c r="H6" s="37">
        <f t="shared" ref="H6" si="3">F6-$G$2</f>
        <v>-3.0535123964886779E-2</v>
      </c>
      <c r="I6" s="49">
        <f>2^-(H6)</f>
        <v>1.0213909094302092</v>
      </c>
      <c r="J6" s="37"/>
      <c r="K6" s="35">
        <f>I6/$J$2</f>
        <v>0.91587407802053955</v>
      </c>
      <c r="L6" s="37"/>
      <c r="M6" s="35"/>
    </row>
    <row r="7" spans="1:13" x14ac:dyDescent="0.2">
      <c r="A7" s="34" t="s">
        <v>64</v>
      </c>
      <c r="B7" s="36"/>
      <c r="C7" s="17">
        <v>28.72</v>
      </c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x14ac:dyDescent="0.2">
      <c r="A8" s="34" t="s">
        <v>64</v>
      </c>
      <c r="B8" s="36" t="s">
        <v>11</v>
      </c>
      <c r="C8" s="17">
        <v>28.38</v>
      </c>
      <c r="D8" s="37">
        <f>AVERAGE(C8:C9)</f>
        <v>28.439999999999998</v>
      </c>
      <c r="E8" s="37">
        <v>16.050441528766051</v>
      </c>
      <c r="F8" s="50">
        <f t="shared" ref="F8" si="4">D8-E8</f>
        <v>12.389558471233947</v>
      </c>
      <c r="G8" s="37"/>
      <c r="H8" s="37">
        <f t="shared" ref="H8:H40" si="5">F8-$G$2</f>
        <v>-0.41025747640041921</v>
      </c>
      <c r="I8" s="49">
        <f>2^-(H8)</f>
        <v>1.3289229645409355</v>
      </c>
      <c r="J8" s="37"/>
      <c r="K8" s="35">
        <f>I8/$J$2</f>
        <v>1.1916359188943975</v>
      </c>
      <c r="L8" s="37"/>
      <c r="M8" s="35"/>
    </row>
    <row r="9" spans="1:13" ht="15" customHeight="1" x14ac:dyDescent="0.2">
      <c r="A9" s="34" t="s">
        <v>64</v>
      </c>
      <c r="B9" s="36"/>
      <c r="C9" s="18">
        <v>28.5</v>
      </c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4" t="s">
        <v>63</v>
      </c>
      <c r="B10" s="36" t="s">
        <v>13</v>
      </c>
      <c r="C10" s="17">
        <v>29.31</v>
      </c>
      <c r="D10" s="37">
        <f>AVERAGE(C10:C11)</f>
        <v>33.369999999999997</v>
      </c>
      <c r="E10" s="37">
        <v>17.143829345000096</v>
      </c>
      <c r="F10" s="50">
        <f t="shared" ref="F10" si="6">D10-E10</f>
        <v>16.226170654999901</v>
      </c>
      <c r="G10" s="8"/>
      <c r="H10" s="37">
        <f t="shared" si="5"/>
        <v>3.4263547073655349</v>
      </c>
      <c r="I10" s="49">
        <f>2^-(H10)</f>
        <v>9.3017455954297945E-2</v>
      </c>
      <c r="J10" s="37"/>
      <c r="K10" s="35">
        <f>I10/$J$2</f>
        <v>8.3408101565622852E-2</v>
      </c>
      <c r="L10" s="37">
        <f t="shared" ref="L10" si="7">AVERAGE(K10:K17)</f>
        <v>2.6357558957368967</v>
      </c>
      <c r="M10" s="35">
        <f t="shared" ref="M10" si="8">STDEV(K10:K17)/4</f>
        <v>0.47204657702513453</v>
      </c>
    </row>
    <row r="11" spans="1:13" ht="15" customHeight="1" x14ac:dyDescent="0.2">
      <c r="A11" s="34" t="s">
        <v>63</v>
      </c>
      <c r="B11" s="36"/>
      <c r="C11" s="17">
        <v>37.43</v>
      </c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4" t="s">
        <v>63</v>
      </c>
      <c r="B12" s="36" t="s">
        <v>14</v>
      </c>
      <c r="C12" s="17">
        <v>28.55</v>
      </c>
      <c r="D12" s="37">
        <f>AVERAGE(C12:C13)</f>
        <v>28.439999999999998</v>
      </c>
      <c r="E12" s="37">
        <v>17.978019717604003</v>
      </c>
      <c r="F12" s="50">
        <f t="shared" ref="F12" si="9">D12-E12</f>
        <v>10.461980282395995</v>
      </c>
      <c r="G12" s="8"/>
      <c r="H12" s="37">
        <f t="shared" si="5"/>
        <v>-2.3378356652383712</v>
      </c>
      <c r="I12" s="49">
        <f>2^-(H12)</f>
        <v>5.0554365054579398</v>
      </c>
      <c r="J12" s="37"/>
      <c r="K12" s="35">
        <f>I12/$J$2</f>
        <v>4.5331745227795599</v>
      </c>
      <c r="L12" s="37"/>
      <c r="M12" s="35"/>
    </row>
    <row r="13" spans="1:13" ht="15" customHeight="1" x14ac:dyDescent="0.2">
      <c r="A13" s="34" t="s">
        <v>63</v>
      </c>
      <c r="B13" s="36"/>
      <c r="C13" s="17">
        <v>28.33</v>
      </c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4" t="s">
        <v>63</v>
      </c>
      <c r="B14" s="36" t="s">
        <v>15</v>
      </c>
      <c r="C14" s="17">
        <v>29.38</v>
      </c>
      <c r="D14" s="37">
        <f>AVERAGE(C14:C15)</f>
        <v>29.274999999999999</v>
      </c>
      <c r="E14" s="37">
        <v>17.974532197115273</v>
      </c>
      <c r="F14" s="50">
        <f t="shared" ref="F14" si="10">D14-E14</f>
        <v>11.300467802884725</v>
      </c>
      <c r="G14" s="8"/>
      <c r="H14" s="37">
        <f t="shared" si="5"/>
        <v>-1.4993481447496411</v>
      </c>
      <c r="I14" s="49">
        <f>2^-(H14)</f>
        <v>2.8271494405819313</v>
      </c>
      <c r="J14" s="37"/>
      <c r="K14" s="35">
        <f>I14/$J$2</f>
        <v>2.5350851113054538</v>
      </c>
      <c r="L14" s="37"/>
      <c r="M14" s="35"/>
    </row>
    <row r="15" spans="1:13" ht="15" customHeight="1" x14ac:dyDescent="0.2">
      <c r="A15" s="34" t="s">
        <v>63</v>
      </c>
      <c r="B15" s="36"/>
      <c r="C15" s="17">
        <v>29.17</v>
      </c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4" t="s">
        <v>63</v>
      </c>
      <c r="B16" s="36" t="s">
        <v>16</v>
      </c>
      <c r="C16" s="17">
        <v>28.34</v>
      </c>
      <c r="D16" s="37">
        <f>AVERAGE(C16:C17)</f>
        <v>28.2</v>
      </c>
      <c r="E16" s="37">
        <v>17.319360183997457</v>
      </c>
      <c r="F16" s="50">
        <f t="shared" ref="F16" si="11">D16-E16</f>
        <v>10.880639816002542</v>
      </c>
      <c r="G16" s="8"/>
      <c r="H16" s="37">
        <f t="shared" si="5"/>
        <v>-1.9191761316318239</v>
      </c>
      <c r="I16" s="49">
        <f>2^-(H16)</f>
        <v>3.7820701734004167</v>
      </c>
      <c r="J16" s="37"/>
      <c r="K16" s="35">
        <f>I16/$J$2</f>
        <v>3.3913558472969494</v>
      </c>
      <c r="L16" s="37"/>
      <c r="M16" s="35"/>
    </row>
    <row r="17" spans="1:13" ht="15" customHeight="1" x14ac:dyDescent="0.2">
      <c r="A17" s="34" t="s">
        <v>63</v>
      </c>
      <c r="B17" s="36"/>
      <c r="C17" s="18">
        <v>28.06</v>
      </c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19" t="s">
        <v>53</v>
      </c>
      <c r="B18" s="36" t="s">
        <v>18</v>
      </c>
      <c r="C18" s="17">
        <v>29.48</v>
      </c>
      <c r="D18" s="37">
        <f>AVERAGE(C18:C19)</f>
        <v>29.48</v>
      </c>
      <c r="E18" s="37">
        <v>19.205252186246113</v>
      </c>
      <c r="F18" s="50">
        <f t="shared" ref="F18" si="12">D18-E18</f>
        <v>10.274747813753887</v>
      </c>
      <c r="G18" s="8"/>
      <c r="H18" s="37">
        <f t="shared" si="5"/>
        <v>-2.5250681338804792</v>
      </c>
      <c r="I18" s="49">
        <f>2^-(H18)</f>
        <v>5.7560061514168606</v>
      </c>
      <c r="J18" s="37"/>
      <c r="K18" s="35">
        <f>I18/$J$2</f>
        <v>5.161370419823271</v>
      </c>
      <c r="L18" s="37">
        <f t="shared" ref="L18" si="13">AVERAGE(K18:K25)</f>
        <v>2.7295639253883062</v>
      </c>
      <c r="M18" s="35">
        <f t="shared" ref="M18" si="14">STDEV(K18:K25)/4</f>
        <v>0.41311100354229635</v>
      </c>
    </row>
    <row r="19" spans="1:13" ht="15" customHeight="1" x14ac:dyDescent="0.2">
      <c r="A19" s="19" t="s">
        <v>53</v>
      </c>
      <c r="B19" s="36"/>
      <c r="C19" s="16"/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19" t="s">
        <v>53</v>
      </c>
      <c r="B20" s="36" t="s">
        <v>19</v>
      </c>
      <c r="C20" s="17">
        <v>29.58</v>
      </c>
      <c r="D20" s="37">
        <f>AVERAGE(C20:C21)</f>
        <v>29.58</v>
      </c>
      <c r="E20" s="37">
        <v>17.51825332356341</v>
      </c>
      <c r="F20" s="50">
        <f t="shared" ref="F20" si="15">D20-E20</f>
        <v>12.061746676436588</v>
      </c>
      <c r="G20" s="8"/>
      <c r="H20" s="37">
        <f t="shared" si="5"/>
        <v>-0.73806927119777832</v>
      </c>
      <c r="I20" s="49">
        <f>2^-(H20)</f>
        <v>1.6679421721965717</v>
      </c>
      <c r="J20" s="37"/>
      <c r="K20" s="35">
        <f>I20/$J$2</f>
        <v>1.4956320690227296</v>
      </c>
      <c r="L20" s="37"/>
      <c r="M20" s="35"/>
    </row>
    <row r="21" spans="1:13" ht="15" customHeight="1" x14ac:dyDescent="0.2">
      <c r="A21" s="20" t="s">
        <v>53</v>
      </c>
      <c r="B21" s="36"/>
      <c r="C21" s="17"/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20" t="s">
        <v>53</v>
      </c>
      <c r="B22" s="36" t="s">
        <v>20</v>
      </c>
      <c r="C22" s="17">
        <v>28.61</v>
      </c>
      <c r="D22" s="37">
        <f>AVERAGE(C22:C23)</f>
        <v>28.91</v>
      </c>
      <c r="E22" s="37">
        <v>17.449205574599276</v>
      </c>
      <c r="F22" s="50">
        <f t="shared" ref="F22" si="16">D22-E22</f>
        <v>11.460794425400724</v>
      </c>
      <c r="G22" s="8"/>
      <c r="H22" s="37">
        <f t="shared" si="5"/>
        <v>-1.3390215222336419</v>
      </c>
      <c r="I22" s="49">
        <f>2^-(H22)</f>
        <v>2.529796824126568</v>
      </c>
      <c r="J22" s="37"/>
      <c r="K22" s="35">
        <f>I22/$J$2</f>
        <v>2.2684511018105225</v>
      </c>
      <c r="L22" s="37"/>
      <c r="M22" s="35"/>
    </row>
    <row r="23" spans="1:13" ht="15" customHeight="1" x14ac:dyDescent="0.2">
      <c r="A23" s="20" t="s">
        <v>53</v>
      </c>
      <c r="B23" s="36"/>
      <c r="C23" s="17">
        <v>29.21</v>
      </c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20" t="s">
        <v>53</v>
      </c>
      <c r="B24" s="36" t="s">
        <v>21</v>
      </c>
      <c r="C24" s="17">
        <v>28.57</v>
      </c>
      <c r="D24" s="37">
        <f>AVERAGE(C24:C25)</f>
        <v>28.54</v>
      </c>
      <c r="E24" s="37">
        <v>16.892296467846915</v>
      </c>
      <c r="F24" s="50">
        <f t="shared" ref="F24" si="17">D24-E24</f>
        <v>11.647703532153084</v>
      </c>
      <c r="G24" s="8"/>
      <c r="H24" s="37">
        <f t="shared" si="5"/>
        <v>-1.1521124154812821</v>
      </c>
      <c r="I24" s="49">
        <f>2^-(H24)</f>
        <v>2.222390620293957</v>
      </c>
      <c r="J24" s="37"/>
      <c r="K24" s="35">
        <f>I24/$J$2</f>
        <v>1.9928021108967018</v>
      </c>
      <c r="L24" s="37"/>
      <c r="M24" s="35"/>
    </row>
    <row r="25" spans="1:13" ht="15" customHeight="1" x14ac:dyDescent="0.2">
      <c r="A25" s="20" t="s">
        <v>53</v>
      </c>
      <c r="B25" s="36"/>
      <c r="C25" s="18">
        <v>28.51</v>
      </c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19" t="s">
        <v>54</v>
      </c>
      <c r="B26" s="36" t="s">
        <v>23</v>
      </c>
      <c r="C26" s="17">
        <v>29.64</v>
      </c>
      <c r="D26" s="37">
        <f>AVERAGE(C26:C27)</f>
        <v>32.524999999999999</v>
      </c>
      <c r="E26" s="37">
        <v>17.460951826505497</v>
      </c>
      <c r="F26" s="50">
        <f t="shared" ref="F26" si="18">D26-E26</f>
        <v>15.064048173494502</v>
      </c>
      <c r="G26" s="8"/>
      <c r="H26" s="37">
        <f>F26-$G$2</f>
        <v>2.2642322258601357</v>
      </c>
      <c r="I26" s="49">
        <f>2^-(H26)</f>
        <v>0.20816043312521149</v>
      </c>
      <c r="J26" s="37"/>
      <c r="K26" s="35">
        <f>I26/$J$2</f>
        <v>0.18665600311174116</v>
      </c>
      <c r="L26" s="37">
        <f>AVERAGE(K26:K33)</f>
        <v>1.970590349565968</v>
      </c>
      <c r="M26" s="35">
        <f>STDEV(K26:K33)/4</f>
        <v>0.38633580098389825</v>
      </c>
    </row>
    <row r="27" spans="1:13" ht="15" customHeight="1" x14ac:dyDescent="0.2">
      <c r="A27" s="19" t="s">
        <v>54</v>
      </c>
      <c r="B27" s="36"/>
      <c r="C27" s="17">
        <v>35.409999999999997</v>
      </c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19" t="s">
        <v>54</v>
      </c>
      <c r="B28" s="36" t="s">
        <v>24</v>
      </c>
      <c r="C28" s="17">
        <v>28.48</v>
      </c>
      <c r="D28" s="37">
        <v>0</v>
      </c>
      <c r="E28" s="37">
        <v>17.8103787466741</v>
      </c>
      <c r="F28" s="50">
        <f>D28-E28</f>
        <v>-17.8103787466741</v>
      </c>
      <c r="G28" s="8"/>
      <c r="H28" s="37">
        <f>F28-$G$2</f>
        <v>-30.610194694308468</v>
      </c>
      <c r="I28" s="49"/>
      <c r="J28" s="37"/>
      <c r="K28" s="35"/>
      <c r="L28" s="37"/>
      <c r="M28" s="35"/>
    </row>
    <row r="29" spans="1:13" ht="15" customHeight="1" x14ac:dyDescent="0.2">
      <c r="A29" s="19" t="s">
        <v>54</v>
      </c>
      <c r="B29" s="36"/>
      <c r="C29" s="17">
        <v>28.75</v>
      </c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19" t="s">
        <v>54</v>
      </c>
      <c r="B30" s="36" t="s">
        <v>25</v>
      </c>
      <c r="C30" s="17">
        <v>28.61</v>
      </c>
      <c r="D30" s="37">
        <f>AVERAGE(C30:C31)</f>
        <v>28.78</v>
      </c>
      <c r="E30" s="37">
        <v>17.6367342929302</v>
      </c>
      <c r="F30" s="50">
        <f>D30-E30</f>
        <v>11.143265707069801</v>
      </c>
      <c r="G30" s="8"/>
      <c r="H30" s="37">
        <f t="shared" si="5"/>
        <v>-1.6565502405645649</v>
      </c>
      <c r="I30" s="49">
        <f>2^-(H30)</f>
        <v>3.1526177160631645</v>
      </c>
      <c r="J30" s="37"/>
      <c r="K30" s="35">
        <f>I30/$J$2</f>
        <v>2.8269302354191979</v>
      </c>
      <c r="L30" s="37"/>
      <c r="M30" s="35"/>
    </row>
    <row r="31" spans="1:13" ht="15" customHeight="1" x14ac:dyDescent="0.2">
      <c r="A31" s="19" t="s">
        <v>54</v>
      </c>
      <c r="B31" s="36"/>
      <c r="C31" s="17">
        <v>28.95</v>
      </c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19" t="s">
        <v>54</v>
      </c>
      <c r="B32" s="36" t="s">
        <v>26</v>
      </c>
      <c r="C32" s="17">
        <v>29.49</v>
      </c>
      <c r="D32" s="37">
        <f>AVERAGE(C32:C33)</f>
        <v>29.504999999999999</v>
      </c>
      <c r="E32" s="37">
        <v>18.397647607932122</v>
      </c>
      <c r="F32" s="50">
        <f t="shared" ref="F32" si="19">D32-E32</f>
        <v>11.107352392067877</v>
      </c>
      <c r="G32" s="8"/>
      <c r="H32" s="37">
        <f t="shared" si="5"/>
        <v>-1.6924635555664889</v>
      </c>
      <c r="I32" s="49">
        <f>2^-(H32)</f>
        <v>3.232081450925036</v>
      </c>
      <c r="J32" s="37"/>
      <c r="K32" s="35">
        <f>I32/$J$2</f>
        <v>2.8981848101669656</v>
      </c>
      <c r="L32" s="37"/>
      <c r="M32" s="35"/>
    </row>
    <row r="33" spans="1:13" ht="15" customHeight="1" x14ac:dyDescent="0.2">
      <c r="A33" s="19" t="s">
        <v>54</v>
      </c>
      <c r="B33" s="36"/>
      <c r="C33" s="18">
        <v>29.52</v>
      </c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19" t="s">
        <v>55</v>
      </c>
      <c r="B34" s="36" t="s">
        <v>28</v>
      </c>
      <c r="C34" s="17">
        <v>28.95</v>
      </c>
      <c r="D34" s="37">
        <f>AVERAGE(C34:C35)</f>
        <v>28.75</v>
      </c>
      <c r="E34" s="37">
        <v>16.509506697394823</v>
      </c>
      <c r="F34" s="50">
        <f t="shared" ref="F34" si="20">D34-E34</f>
        <v>12.240493302605177</v>
      </c>
      <c r="G34" s="8"/>
      <c r="H34" s="37">
        <f t="shared" si="5"/>
        <v>-0.55932264502918905</v>
      </c>
      <c r="I34" s="49">
        <f>2^-(H34)</f>
        <v>1.4735772004992616</v>
      </c>
      <c r="J34" s="37"/>
      <c r="K34" s="35">
        <f>I34/$J$2</f>
        <v>1.321346359595309</v>
      </c>
      <c r="L34" s="37">
        <f t="shared" ref="L34" si="21">AVERAGE(K34:K41)</f>
        <v>2.7893976309690087</v>
      </c>
      <c r="M34" s="35">
        <f t="shared" ref="M34" si="22">STDEV(K34:K41)/4</f>
        <v>0.57242478584584344</v>
      </c>
    </row>
    <row r="35" spans="1:13" ht="15" customHeight="1" x14ac:dyDescent="0.2">
      <c r="A35" s="19" t="s">
        <v>55</v>
      </c>
      <c r="B35" s="36"/>
      <c r="C35" s="17">
        <v>28.55</v>
      </c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19" t="s">
        <v>55</v>
      </c>
      <c r="B36" s="36" t="s">
        <v>29</v>
      </c>
      <c r="C36" s="17">
        <v>28.45</v>
      </c>
      <c r="D36" s="37">
        <f>AVERAGE(C36:C37)</f>
        <v>31.839999999999996</v>
      </c>
      <c r="E36" s="37">
        <v>18.343164352268513</v>
      </c>
      <c r="F36" s="50">
        <f t="shared" ref="F36" si="23">D36-E36</f>
        <v>13.496835647731483</v>
      </c>
      <c r="G36" s="8"/>
      <c r="H36" s="37">
        <f t="shared" si="5"/>
        <v>0.69701970009711722</v>
      </c>
      <c r="I36" s="49">
        <f>2^-(H36)</f>
        <v>0.61684516178536619</v>
      </c>
      <c r="J36" s="37"/>
      <c r="K36" s="35">
        <f>I36/$J$2</f>
        <v>0.55312073821644447</v>
      </c>
      <c r="L36" s="37"/>
      <c r="M36" s="35"/>
    </row>
    <row r="37" spans="1:13" ht="15" customHeight="1" x14ac:dyDescent="0.2">
      <c r="A37" s="19" t="s">
        <v>55</v>
      </c>
      <c r="B37" s="36"/>
      <c r="C37" s="17">
        <v>35.229999999999997</v>
      </c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19" t="s">
        <v>55</v>
      </c>
      <c r="B38" s="36" t="s">
        <v>30</v>
      </c>
      <c r="C38" s="17">
        <v>28.2</v>
      </c>
      <c r="D38" s="37">
        <f>AVERAGE(C38:C39)</f>
        <v>28.254999999999999</v>
      </c>
      <c r="E38" s="37">
        <v>17.506489233409525</v>
      </c>
      <c r="F38" s="50">
        <f t="shared" ref="F38" si="24">D38-E38</f>
        <v>10.748510766590474</v>
      </c>
      <c r="G38" s="8"/>
      <c r="H38" s="37">
        <f t="shared" si="5"/>
        <v>-2.051305181043892</v>
      </c>
      <c r="I38" s="49">
        <f>2^-(H38)</f>
        <v>4.1448077349921109</v>
      </c>
      <c r="J38" s="37"/>
      <c r="K38" s="35">
        <f>I38/$J$2</f>
        <v>3.7166200793543349</v>
      </c>
      <c r="L38" s="37"/>
      <c r="M38" s="35"/>
    </row>
    <row r="39" spans="1:13" ht="15" customHeight="1" x14ac:dyDescent="0.2">
      <c r="A39" s="19" t="s">
        <v>55</v>
      </c>
      <c r="B39" s="36"/>
      <c r="C39" s="17">
        <v>28.31</v>
      </c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19" t="s">
        <v>55</v>
      </c>
      <c r="B40" s="36" t="s">
        <v>31</v>
      </c>
      <c r="C40" s="17">
        <v>28.52</v>
      </c>
      <c r="D40" s="37">
        <f>AVERAGE(C40:C41)</f>
        <v>28.875</v>
      </c>
      <c r="E40" s="37">
        <v>18.70926938210307</v>
      </c>
      <c r="F40" s="50">
        <f t="shared" ref="F40" si="25">D40-E40</f>
        <v>10.16573061789693</v>
      </c>
      <c r="G40" s="8"/>
      <c r="H40" s="37">
        <f t="shared" si="5"/>
        <v>-2.6340853297374363</v>
      </c>
      <c r="I40" s="49">
        <f>2^-(H40)</f>
        <v>6.2078139911225545</v>
      </c>
      <c r="J40" s="37"/>
      <c r="K40" s="35">
        <f>I40/$J$2</f>
        <v>5.566503346709947</v>
      </c>
      <c r="L40" s="37"/>
      <c r="M40" s="35"/>
    </row>
    <row r="41" spans="1:13" ht="15" customHeight="1" x14ac:dyDescent="0.2">
      <c r="A41" s="19" t="s">
        <v>55</v>
      </c>
      <c r="B41" s="36"/>
      <c r="C41" s="18">
        <v>29.23</v>
      </c>
      <c r="D41" s="37"/>
      <c r="E41" s="37"/>
      <c r="F41" s="50"/>
      <c r="G41" s="8"/>
      <c r="H41" s="37"/>
      <c r="I41" s="49"/>
      <c r="J41" s="37"/>
      <c r="K41" s="35"/>
      <c r="L41" s="37"/>
      <c r="M41" s="35"/>
    </row>
    <row r="42" spans="1:13" x14ac:dyDescent="0.2">
      <c r="A42" s="33" t="s">
        <v>56</v>
      </c>
    </row>
    <row r="43" spans="1:13" x14ac:dyDescent="0.2">
      <c r="A43" s="32" t="s">
        <v>56</v>
      </c>
    </row>
    <row r="44" spans="1:13" x14ac:dyDescent="0.2">
      <c r="A44" s="32" t="s">
        <v>56</v>
      </c>
    </row>
    <row r="45" spans="1:13" x14ac:dyDescent="0.2">
      <c r="A45" s="32" t="s">
        <v>56</v>
      </c>
    </row>
    <row r="46" spans="1:13" x14ac:dyDescent="0.2">
      <c r="A46" s="32" t="s">
        <v>56</v>
      </c>
    </row>
    <row r="47" spans="1:13" x14ac:dyDescent="0.2">
      <c r="A47" s="32" t="s">
        <v>56</v>
      </c>
    </row>
    <row r="48" spans="1:13" x14ac:dyDescent="0.2">
      <c r="A48" s="32" t="s">
        <v>56</v>
      </c>
    </row>
    <row r="49" spans="1:1" x14ac:dyDescent="0.2">
      <c r="A49" s="32" t="s">
        <v>56</v>
      </c>
    </row>
  </sheetData>
  <mergeCells count="156">
    <mergeCell ref="L2:L9"/>
    <mergeCell ref="M2:M9"/>
    <mergeCell ref="H4:H5"/>
    <mergeCell ref="I4:I5"/>
    <mergeCell ref="K4:K5"/>
    <mergeCell ref="K6:K7"/>
    <mergeCell ref="B2:B3"/>
    <mergeCell ref="D2:D3"/>
    <mergeCell ref="E2:E3"/>
    <mergeCell ref="F2:F3"/>
    <mergeCell ref="G2:G9"/>
    <mergeCell ref="B4:B5"/>
    <mergeCell ref="D4:D5"/>
    <mergeCell ref="E4:E5"/>
    <mergeCell ref="F4:F5"/>
    <mergeCell ref="B6:B7"/>
    <mergeCell ref="D6:D7"/>
    <mergeCell ref="E6:E7"/>
    <mergeCell ref="F6:F7"/>
    <mergeCell ref="H6:H7"/>
    <mergeCell ref="I6:I7"/>
    <mergeCell ref="H2:H3"/>
    <mergeCell ref="I2:I3"/>
    <mergeCell ref="J2:J9"/>
    <mergeCell ref="I10:I11"/>
    <mergeCell ref="J10:J17"/>
    <mergeCell ref="K10:K11"/>
    <mergeCell ref="B8:B9"/>
    <mergeCell ref="D8:D9"/>
    <mergeCell ref="E8:E9"/>
    <mergeCell ref="F8:F9"/>
    <mergeCell ref="H8:H9"/>
    <mergeCell ref="I8:I9"/>
    <mergeCell ref="D14:D15"/>
    <mergeCell ref="E14:E15"/>
    <mergeCell ref="F14:F15"/>
    <mergeCell ref="H14:H15"/>
    <mergeCell ref="I14:I15"/>
    <mergeCell ref="K14:K15"/>
    <mergeCell ref="K2:K3"/>
    <mergeCell ref="L10:L17"/>
    <mergeCell ref="M10:M17"/>
    <mergeCell ref="B12:B13"/>
    <mergeCell ref="D12:D13"/>
    <mergeCell ref="E12:E13"/>
    <mergeCell ref="F12:F13"/>
    <mergeCell ref="H12:H13"/>
    <mergeCell ref="I12:I13"/>
    <mergeCell ref="K12:K13"/>
    <mergeCell ref="B14:B15"/>
    <mergeCell ref="K16:K17"/>
    <mergeCell ref="B16:B17"/>
    <mergeCell ref="D16:D17"/>
    <mergeCell ref="E16:E17"/>
    <mergeCell ref="F16:F17"/>
    <mergeCell ref="H16:H17"/>
    <mergeCell ref="I16:I17"/>
    <mergeCell ref="K8:K9"/>
    <mergeCell ref="B10:B11"/>
    <mergeCell ref="D10:D11"/>
    <mergeCell ref="E10:E11"/>
    <mergeCell ref="F10:F11"/>
    <mergeCell ref="H10:H11"/>
    <mergeCell ref="L18:L25"/>
    <mergeCell ref="M18:M25"/>
    <mergeCell ref="B20:B21"/>
    <mergeCell ref="D20:D21"/>
    <mergeCell ref="E20:E21"/>
    <mergeCell ref="F20:F21"/>
    <mergeCell ref="H20:H21"/>
    <mergeCell ref="I20:I21"/>
    <mergeCell ref="K20:K21"/>
    <mergeCell ref="B22:B23"/>
    <mergeCell ref="K24:K25"/>
    <mergeCell ref="B18:B19"/>
    <mergeCell ref="D18:D19"/>
    <mergeCell ref="E18:E19"/>
    <mergeCell ref="F18:F19"/>
    <mergeCell ref="H18:H19"/>
    <mergeCell ref="I18:I19"/>
    <mergeCell ref="J18:J25"/>
    <mergeCell ref="K18:K19"/>
    <mergeCell ref="K22:K23"/>
    <mergeCell ref="B24:B25"/>
    <mergeCell ref="D24:D25"/>
    <mergeCell ref="E24:E25"/>
    <mergeCell ref="F24:F25"/>
    <mergeCell ref="H24:H25"/>
    <mergeCell ref="I24:I25"/>
    <mergeCell ref="D30:D31"/>
    <mergeCell ref="E30:E31"/>
    <mergeCell ref="F30:F31"/>
    <mergeCell ref="H30:H31"/>
    <mergeCell ref="I30:I31"/>
    <mergeCell ref="D22:D23"/>
    <mergeCell ref="E22:E23"/>
    <mergeCell ref="F22:F23"/>
    <mergeCell ref="H22:H23"/>
    <mergeCell ref="I22:I23"/>
    <mergeCell ref="L26:L33"/>
    <mergeCell ref="M26:M33"/>
    <mergeCell ref="B28:B29"/>
    <mergeCell ref="D28:D29"/>
    <mergeCell ref="E28:E29"/>
    <mergeCell ref="F28:F29"/>
    <mergeCell ref="H28:H29"/>
    <mergeCell ref="I28:I29"/>
    <mergeCell ref="K28:K29"/>
    <mergeCell ref="B30:B31"/>
    <mergeCell ref="K32:K33"/>
    <mergeCell ref="B26:B27"/>
    <mergeCell ref="D26:D27"/>
    <mergeCell ref="E26:E27"/>
    <mergeCell ref="F26:F27"/>
    <mergeCell ref="H26:H27"/>
    <mergeCell ref="I26:I27"/>
    <mergeCell ref="J26:J33"/>
    <mergeCell ref="K26:K27"/>
    <mergeCell ref="K30:K31"/>
    <mergeCell ref="D34:D35"/>
    <mergeCell ref="E34:E35"/>
    <mergeCell ref="F34:F35"/>
    <mergeCell ref="H34:H35"/>
    <mergeCell ref="I34:I35"/>
    <mergeCell ref="J34:J41"/>
    <mergeCell ref="K34:K35"/>
    <mergeCell ref="B32:B33"/>
    <mergeCell ref="D32:D33"/>
    <mergeCell ref="E32:E33"/>
    <mergeCell ref="F32:F33"/>
    <mergeCell ref="H32:H33"/>
    <mergeCell ref="I32:I33"/>
    <mergeCell ref="L34:L41"/>
    <mergeCell ref="M34:M41"/>
    <mergeCell ref="B36:B37"/>
    <mergeCell ref="D36:D37"/>
    <mergeCell ref="E36:E37"/>
    <mergeCell ref="F36:F37"/>
    <mergeCell ref="H36:H37"/>
    <mergeCell ref="I36:I37"/>
    <mergeCell ref="K36:K37"/>
    <mergeCell ref="B38:B39"/>
    <mergeCell ref="K40:K41"/>
    <mergeCell ref="B40:B41"/>
    <mergeCell ref="D40:D41"/>
    <mergeCell ref="E40:E41"/>
    <mergeCell ref="F40:F41"/>
    <mergeCell ref="H40:H41"/>
    <mergeCell ref="I40:I41"/>
    <mergeCell ref="D38:D39"/>
    <mergeCell ref="E38:E39"/>
    <mergeCell ref="F38:F39"/>
    <mergeCell ref="H38:H39"/>
    <mergeCell ref="I38:I39"/>
    <mergeCell ref="K38:K39"/>
    <mergeCell ref="B34:B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6AF3F-50BA-4D61-AE90-CDD9731D376B}">
  <dimension ref="A1:M49"/>
  <sheetViews>
    <sheetView topLeftCell="J9" zoomScale="110" zoomScaleNormal="110" workbookViewId="0">
      <selection activeCell="A42" sqref="A42:A49"/>
    </sheetView>
  </sheetViews>
  <sheetFormatPr baseColWidth="10" defaultColWidth="8.83203125" defaultRowHeight="15" x14ac:dyDescent="0.2"/>
  <cols>
    <col min="1" max="1" width="16.1640625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2" max="12" width="9"/>
    <col min="13" max="13" width="13.6640625" customWidth="1"/>
  </cols>
  <sheetData>
    <row r="1" spans="1:13" ht="16" x14ac:dyDescent="0.2">
      <c r="A1" s="2" t="s">
        <v>51</v>
      </c>
      <c r="B1" s="6" t="s">
        <v>2</v>
      </c>
      <c r="C1" s="3" t="s">
        <v>40</v>
      </c>
      <c r="D1" s="2" t="s">
        <v>4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 x14ac:dyDescent="0.2">
      <c r="A2" s="34" t="s">
        <v>64</v>
      </c>
      <c r="B2" s="39">
        <v>1</v>
      </c>
      <c r="C2" s="17">
        <v>25.42</v>
      </c>
      <c r="D2" s="37">
        <f>AVERAGE(C2:C3)</f>
        <v>24.825000000000003</v>
      </c>
      <c r="E2" s="37">
        <v>17.190287859484446</v>
      </c>
      <c r="F2" s="50">
        <f>D2-E2</f>
        <v>7.6347121405155569</v>
      </c>
      <c r="G2" s="37">
        <f>AVERAGE(F2:F9)</f>
        <v>8.456065947634368</v>
      </c>
      <c r="H2" s="37">
        <f>F2-$G$2</f>
        <v>-0.82135380711881112</v>
      </c>
      <c r="I2" s="49">
        <f>2^-(H2)</f>
        <v>1.7670634051775966</v>
      </c>
      <c r="J2" s="37">
        <f>AVERAGE(I2:I9)</f>
        <v>1.0988458972068855</v>
      </c>
      <c r="K2" s="35">
        <f>I2/$J$2</f>
        <v>1.6081084796960408</v>
      </c>
      <c r="L2" s="37">
        <f>AVERAGE(K2:K9)</f>
        <v>1</v>
      </c>
      <c r="M2" s="35">
        <f>STDEV(K2:K9)/4</f>
        <v>0.1214673981512637</v>
      </c>
    </row>
    <row r="3" spans="1:13" x14ac:dyDescent="0.2">
      <c r="A3" s="34" t="s">
        <v>64</v>
      </c>
      <c r="B3" s="39"/>
      <c r="C3" s="17">
        <v>24.23</v>
      </c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x14ac:dyDescent="0.2">
      <c r="A4" s="34" t="s">
        <v>64</v>
      </c>
      <c r="B4" s="36" t="s">
        <v>9</v>
      </c>
      <c r="C4" s="17">
        <v>25.25</v>
      </c>
      <c r="D4" s="37">
        <f>AVERAGE(C4:C5)</f>
        <v>25.285</v>
      </c>
      <c r="E4" s="37">
        <v>17.164287644881519</v>
      </c>
      <c r="F4" s="50">
        <f t="shared" ref="F4" si="0">D4-E4</f>
        <v>8.1207123551184814</v>
      </c>
      <c r="G4" s="37"/>
      <c r="H4" s="37">
        <f t="shared" ref="H4" si="1">F4-$G$2</f>
        <v>-0.33535359251588659</v>
      </c>
      <c r="I4" s="49">
        <f>2^-(H4)</f>
        <v>1.2616865997970472</v>
      </c>
      <c r="J4" s="37"/>
      <c r="K4" s="35">
        <f>I4/$J$2</f>
        <v>1.1481924835903563</v>
      </c>
      <c r="L4" s="37"/>
      <c r="M4" s="35"/>
    </row>
    <row r="5" spans="1:13" x14ac:dyDescent="0.2">
      <c r="A5" s="34" t="s">
        <v>64</v>
      </c>
      <c r="B5" s="36"/>
      <c r="C5" s="17">
        <v>25.32</v>
      </c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x14ac:dyDescent="0.2">
      <c r="A6" s="34" t="s">
        <v>64</v>
      </c>
      <c r="B6" s="36" t="s">
        <v>10</v>
      </c>
      <c r="C6" s="17">
        <v>25.02</v>
      </c>
      <c r="D6" s="37">
        <f>AVERAGE(C6:C7)</f>
        <v>24.65</v>
      </c>
      <c r="E6" s="37">
        <v>15.905719176330518</v>
      </c>
      <c r="F6" s="50">
        <f t="shared" ref="F6" si="2">D6-E6</f>
        <v>8.7442808236694809</v>
      </c>
      <c r="G6" s="37"/>
      <c r="H6" s="37">
        <f t="shared" ref="H6" si="3">F6-$G$2</f>
        <v>0.28821487603511287</v>
      </c>
      <c r="I6" s="49">
        <f>2^-(H6)</f>
        <v>0.81891471903008795</v>
      </c>
      <c r="J6" s="37"/>
      <c r="K6" s="35">
        <f>I6/$J$2</f>
        <v>0.74524983085586072</v>
      </c>
      <c r="L6" s="37"/>
      <c r="M6" s="35"/>
    </row>
    <row r="7" spans="1:13" x14ac:dyDescent="0.2">
      <c r="A7" s="34" t="s">
        <v>64</v>
      </c>
      <c r="B7" s="36"/>
      <c r="C7" s="17">
        <v>24.28</v>
      </c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x14ac:dyDescent="0.2">
      <c r="A8" s="34" t="s">
        <v>64</v>
      </c>
      <c r="B8" s="36" t="s">
        <v>11</v>
      </c>
      <c r="C8" s="17">
        <v>25.49</v>
      </c>
      <c r="D8" s="37">
        <f>AVERAGE(C8:C9)</f>
        <v>25.375</v>
      </c>
      <c r="E8" s="37">
        <v>16.050441528766051</v>
      </c>
      <c r="F8" s="50">
        <f t="shared" ref="F8" si="4">D8-E8</f>
        <v>9.3245584712339493</v>
      </c>
      <c r="G8" s="37"/>
      <c r="H8" s="37">
        <f t="shared" ref="H8:H40" si="5">F8-$G$2</f>
        <v>0.86849252359958129</v>
      </c>
      <c r="I8" s="49">
        <f>2^-(H8)</f>
        <v>0.54771886482281018</v>
      </c>
      <c r="J8" s="37"/>
      <c r="K8" s="35">
        <f>I8/$J$2</f>
        <v>0.49844920585774211</v>
      </c>
      <c r="L8" s="37"/>
      <c r="M8" s="35"/>
    </row>
    <row r="9" spans="1:13" ht="15" customHeight="1" x14ac:dyDescent="0.2">
      <c r="A9" s="34" t="s">
        <v>64</v>
      </c>
      <c r="B9" s="36"/>
      <c r="C9" s="17">
        <v>25.26</v>
      </c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4" t="s">
        <v>63</v>
      </c>
      <c r="B10" s="36" t="s">
        <v>13</v>
      </c>
      <c r="C10" s="17">
        <v>26.37</v>
      </c>
      <c r="D10" s="37">
        <f>AVERAGE(C10:C11)</f>
        <v>26.310000000000002</v>
      </c>
      <c r="E10" s="37">
        <v>17.143829345000096</v>
      </c>
      <c r="F10" s="50">
        <f t="shared" ref="F10" si="6">D10-E10</f>
        <v>9.166170654999906</v>
      </c>
      <c r="G10" s="8"/>
      <c r="H10" s="37">
        <f t="shared" si="5"/>
        <v>0.71010470736553799</v>
      </c>
      <c r="I10" s="49">
        <f>2^-(H10)</f>
        <v>0.61127577229825769</v>
      </c>
      <c r="J10" s="37"/>
      <c r="K10" s="35">
        <f>I10/$J$2</f>
        <v>0.55628889715294594</v>
      </c>
      <c r="L10" s="37">
        <f t="shared" ref="L10" si="7">AVERAGE(K10:K17)</f>
        <v>1.3818577510001651</v>
      </c>
      <c r="M10" s="35">
        <f t="shared" ref="M10" si="8">STDEV(K10:K17)/4</f>
        <v>0.15006882030821253</v>
      </c>
    </row>
    <row r="11" spans="1:13" ht="15" customHeight="1" x14ac:dyDescent="0.2">
      <c r="A11" s="34" t="s">
        <v>63</v>
      </c>
      <c r="B11" s="36"/>
      <c r="C11" s="17">
        <v>26.25</v>
      </c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4" t="s">
        <v>63</v>
      </c>
      <c r="B12" s="36" t="s">
        <v>14</v>
      </c>
      <c r="C12" s="17">
        <v>25.13</v>
      </c>
      <c r="D12" s="37">
        <f>AVERAGE(C12:C13)</f>
        <v>25.39</v>
      </c>
      <c r="E12" s="37">
        <v>17.978019717604003</v>
      </c>
      <c r="F12" s="50">
        <f t="shared" ref="F12" si="9">D12-E12</f>
        <v>7.4119802823959979</v>
      </c>
      <c r="G12" s="8"/>
      <c r="H12" s="37">
        <f t="shared" si="5"/>
        <v>-1.0440856652383701</v>
      </c>
      <c r="I12" s="49">
        <f>2^-(H12)</f>
        <v>2.0620590761735262</v>
      </c>
      <c r="J12" s="37"/>
      <c r="K12" s="35">
        <f>I12/$J$2</f>
        <v>1.8765680259761588</v>
      </c>
      <c r="L12" s="37"/>
      <c r="M12" s="35"/>
    </row>
    <row r="13" spans="1:13" ht="15" customHeight="1" x14ac:dyDescent="0.2">
      <c r="A13" s="34" t="s">
        <v>63</v>
      </c>
      <c r="B13" s="36"/>
      <c r="C13" s="17">
        <v>25.65</v>
      </c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4" t="s">
        <v>63</v>
      </c>
      <c r="B14" s="36" t="s">
        <v>15</v>
      </c>
      <c r="C14" s="17">
        <v>25.57</v>
      </c>
      <c r="D14" s="37">
        <f>AVERAGE(C14:C15)</f>
        <v>25.89</v>
      </c>
      <c r="E14" s="37">
        <v>17.974532197115273</v>
      </c>
      <c r="F14" s="50">
        <f t="shared" ref="F14" si="10">D14-E14</f>
        <v>7.9154678028847272</v>
      </c>
      <c r="G14" s="8"/>
      <c r="H14" s="37">
        <f t="shared" si="5"/>
        <v>-0.54059814474964085</v>
      </c>
      <c r="I14" s="49">
        <f>2^-(H14)</f>
        <v>1.4545754627207976</v>
      </c>
      <c r="J14" s="37"/>
      <c r="K14" s="35">
        <f>I14/$J$2</f>
        <v>1.323730166730501</v>
      </c>
      <c r="L14" s="37"/>
      <c r="M14" s="35"/>
    </row>
    <row r="15" spans="1:13" ht="15" customHeight="1" x14ac:dyDescent="0.2">
      <c r="A15" s="34" t="s">
        <v>63</v>
      </c>
      <c r="B15" s="36"/>
      <c r="C15" s="17">
        <v>26.21</v>
      </c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4" t="s">
        <v>63</v>
      </c>
      <c r="B16" s="36" t="s">
        <v>16</v>
      </c>
      <c r="C16" s="17">
        <v>24.93</v>
      </c>
      <c r="D16" s="37">
        <f>AVERAGE(C16:C17)</f>
        <v>24.814999999999998</v>
      </c>
      <c r="E16" s="37">
        <v>17.319360183997457</v>
      </c>
      <c r="F16" s="50">
        <f t="shared" ref="F16" si="11">D16-E16</f>
        <v>7.4956398160025408</v>
      </c>
      <c r="G16" s="8"/>
      <c r="H16" s="37">
        <f t="shared" si="5"/>
        <v>-0.96042613163182722</v>
      </c>
      <c r="I16" s="49">
        <f>2^-(H16)</f>
        <v>1.9458845696476803</v>
      </c>
      <c r="J16" s="37"/>
      <c r="K16" s="35">
        <f>I16/$J$2</f>
        <v>1.7708439141410548</v>
      </c>
      <c r="L16" s="37"/>
      <c r="M16" s="35"/>
    </row>
    <row r="17" spans="1:13" ht="15" customHeight="1" x14ac:dyDescent="0.2">
      <c r="A17" s="34" t="s">
        <v>63</v>
      </c>
      <c r="B17" s="36"/>
      <c r="C17" s="17">
        <v>24.7</v>
      </c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19" t="s">
        <v>53</v>
      </c>
      <c r="B18" s="36" t="s">
        <v>18</v>
      </c>
      <c r="C18" s="17">
        <v>25.96</v>
      </c>
      <c r="D18" s="37">
        <f>AVERAGE(C18:C19)</f>
        <v>25.78</v>
      </c>
      <c r="E18" s="37">
        <v>19.205252186246113</v>
      </c>
      <c r="F18" s="50">
        <f t="shared" ref="F18" si="12">D18-E18</f>
        <v>6.5747478137538877</v>
      </c>
      <c r="G18" s="8"/>
      <c r="H18" s="37">
        <f t="shared" si="5"/>
        <v>-1.8813181338804803</v>
      </c>
      <c r="I18" s="49">
        <f>2^-(H18)</f>
        <v>3.6841150967456486</v>
      </c>
      <c r="J18" s="37"/>
      <c r="K18" s="35">
        <f>I18/$J$2</f>
        <v>3.3527131566948198</v>
      </c>
      <c r="L18" s="37">
        <f t="shared" ref="L18" si="13">AVERAGE(K18:K25)</f>
        <v>1.623411520370535</v>
      </c>
      <c r="M18" s="35">
        <f>STDEV(K18:K25)/4</f>
        <v>0.29043470334525717</v>
      </c>
    </row>
    <row r="19" spans="1:13" ht="15" customHeight="1" x14ac:dyDescent="0.2">
      <c r="A19" s="19" t="s">
        <v>53</v>
      </c>
      <c r="B19" s="36"/>
      <c r="C19" s="17">
        <v>25.6</v>
      </c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19" t="s">
        <v>53</v>
      </c>
      <c r="B20" s="36" t="s">
        <v>19</v>
      </c>
      <c r="C20" s="17">
        <v>25.82</v>
      </c>
      <c r="D20" s="37">
        <f>AVERAGE(C20:C21)</f>
        <v>25.66</v>
      </c>
      <c r="E20" s="37">
        <v>17.51825332356341</v>
      </c>
      <c r="F20" s="50">
        <f t="shared" ref="F20" si="14">D20-E20</f>
        <v>8.1417466764365898</v>
      </c>
      <c r="G20" s="8"/>
      <c r="H20" s="37">
        <f t="shared" si="5"/>
        <v>-0.31431927119777825</v>
      </c>
      <c r="I20" s="49">
        <f>2^-(H20)</f>
        <v>1.2434248107692505</v>
      </c>
      <c r="J20" s="37"/>
      <c r="K20" s="35">
        <f>I20/$J$2</f>
        <v>1.131573420740674</v>
      </c>
      <c r="L20" s="37"/>
      <c r="M20" s="35"/>
    </row>
    <row r="21" spans="1:13" ht="15" customHeight="1" x14ac:dyDescent="0.2">
      <c r="A21" s="20" t="s">
        <v>53</v>
      </c>
      <c r="B21" s="36"/>
      <c r="C21" s="17">
        <v>25.5</v>
      </c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20" t="s">
        <v>53</v>
      </c>
      <c r="B22" s="36" t="s">
        <v>20</v>
      </c>
      <c r="C22" s="17">
        <v>25.47</v>
      </c>
      <c r="D22" s="37">
        <f>AVERAGE(C22:C23)</f>
        <v>25.549999999999997</v>
      </c>
      <c r="E22" s="37">
        <v>17.449205574599276</v>
      </c>
      <c r="F22" s="50">
        <f t="shared" ref="F22" si="15">D22-E22</f>
        <v>8.1007944254007214</v>
      </c>
      <c r="G22" s="8"/>
      <c r="H22" s="37">
        <f t="shared" si="5"/>
        <v>-0.35527152223364666</v>
      </c>
      <c r="I22" s="49">
        <f>2^-(H22)</f>
        <v>1.279226315246337</v>
      </c>
      <c r="J22" s="37"/>
      <c r="K22" s="35">
        <f>I22/$J$2</f>
        <v>1.1641544264741339</v>
      </c>
      <c r="L22" s="37"/>
      <c r="M22" s="35"/>
    </row>
    <row r="23" spans="1:13" ht="15" customHeight="1" x14ac:dyDescent="0.2">
      <c r="A23" s="20" t="s">
        <v>53</v>
      </c>
      <c r="B23" s="36"/>
      <c r="C23" s="17">
        <v>25.63</v>
      </c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20" t="s">
        <v>53</v>
      </c>
      <c r="B24" s="36" t="s">
        <v>21</v>
      </c>
      <c r="C24" s="17">
        <v>25.5</v>
      </c>
      <c r="D24" s="37">
        <f>AVERAGE(C24:C25)</f>
        <v>25.454999999999998</v>
      </c>
      <c r="E24" s="37">
        <v>16.892296467846915</v>
      </c>
      <c r="F24" s="50">
        <f t="shared" ref="F24" si="16">D24-E24</f>
        <v>8.5627035321530833</v>
      </c>
      <c r="G24" s="8"/>
      <c r="H24" s="37">
        <f t="shared" si="5"/>
        <v>0.1066375845187153</v>
      </c>
      <c r="I24" s="49">
        <f>2^-(H24)</f>
        <v>0.92875013178898214</v>
      </c>
      <c r="J24" s="37"/>
      <c r="K24" s="35">
        <f>I24/$J$2</f>
        <v>0.84520507757251195</v>
      </c>
      <c r="L24" s="37"/>
      <c r="M24" s="35"/>
    </row>
    <row r="25" spans="1:13" ht="15" customHeight="1" x14ac:dyDescent="0.2">
      <c r="A25" s="20" t="s">
        <v>53</v>
      </c>
      <c r="B25" s="36"/>
      <c r="C25" s="17">
        <v>25.41</v>
      </c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19" t="s">
        <v>54</v>
      </c>
      <c r="B26" s="36" t="s">
        <v>23</v>
      </c>
      <c r="C26" s="17">
        <v>25.16</v>
      </c>
      <c r="D26" s="37">
        <f>AVERAGE(C26:C27)</f>
        <v>25.295000000000002</v>
      </c>
      <c r="E26" s="37">
        <v>17.460951826505497</v>
      </c>
      <c r="F26" s="50">
        <f t="shared" ref="F26" si="17">D26-E26</f>
        <v>7.8340481734945051</v>
      </c>
      <c r="G26" s="8"/>
      <c r="H26" s="37">
        <f t="shared" si="5"/>
        <v>-0.62201777413986292</v>
      </c>
      <c r="I26" s="49">
        <f>2^-(H26)</f>
        <v>1.5390261809927166</v>
      </c>
      <c r="J26" s="37"/>
      <c r="K26" s="35">
        <f>I26/$J$2</f>
        <v>1.400584181007281</v>
      </c>
      <c r="L26" s="37">
        <f>AVERAGE(K26:K33)</f>
        <v>0.78053863087677378</v>
      </c>
      <c r="M26" s="35">
        <f>STDEV(K26:K33)/4</f>
        <v>0.2273318139003479</v>
      </c>
    </row>
    <row r="27" spans="1:13" ht="15" customHeight="1" x14ac:dyDescent="0.2">
      <c r="A27" s="19" t="s">
        <v>54</v>
      </c>
      <c r="B27" s="36"/>
      <c r="C27" s="17">
        <v>25.43</v>
      </c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19" t="s">
        <v>54</v>
      </c>
      <c r="B28" s="36" t="s">
        <v>24</v>
      </c>
      <c r="C28" s="17">
        <v>35.47</v>
      </c>
      <c r="D28" s="37">
        <f>AVERAGE(C28:C29)</f>
        <v>37.06</v>
      </c>
      <c r="E28" s="37">
        <v>17.8103787466741</v>
      </c>
      <c r="F28" s="50">
        <f>D28-E28</f>
        <v>19.249621253325902</v>
      </c>
      <c r="G28" s="8"/>
      <c r="H28" s="37">
        <f t="shared" si="5"/>
        <v>10.793555305691534</v>
      </c>
      <c r="I28" s="49">
        <f>2^-(H28)</f>
        <v>5.6339902766487984E-4</v>
      </c>
      <c r="J28" s="37"/>
      <c r="K28" s="35">
        <f>I28/$J$2</f>
        <v>5.1271887085983792E-4</v>
      </c>
      <c r="L28" s="37"/>
      <c r="M28" s="35"/>
    </row>
    <row r="29" spans="1:13" ht="15" customHeight="1" x14ac:dyDescent="0.2">
      <c r="A29" s="19" t="s">
        <v>54</v>
      </c>
      <c r="B29" s="36"/>
      <c r="C29" s="17">
        <v>38.65</v>
      </c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19" t="s">
        <v>54</v>
      </c>
      <c r="B30" s="36" t="s">
        <v>25</v>
      </c>
      <c r="C30" s="17">
        <v>25.02</v>
      </c>
      <c r="D30" s="37">
        <f>AVERAGE(C30:C31)</f>
        <v>25.174999999999997</v>
      </c>
      <c r="E30" s="37">
        <v>17.636734292930214</v>
      </c>
      <c r="F30" s="50">
        <f t="shared" ref="F30" si="18">D30-E30</f>
        <v>7.5382657070697832</v>
      </c>
      <c r="G30" s="8"/>
      <c r="H30" s="37">
        <f t="shared" si="5"/>
        <v>-0.91780024056458487</v>
      </c>
      <c r="I30" s="49">
        <f>2^-(H30)</f>
        <v>1.8892324756738981</v>
      </c>
      <c r="J30" s="37"/>
      <c r="K30" s="35">
        <f>I30/$J$2</f>
        <v>1.7192879187846686</v>
      </c>
      <c r="L30" s="37"/>
      <c r="M30" s="35"/>
    </row>
    <row r="31" spans="1:13" ht="15" customHeight="1" x14ac:dyDescent="0.2">
      <c r="A31" s="19" t="s">
        <v>54</v>
      </c>
      <c r="B31" s="36"/>
      <c r="C31" s="17">
        <v>25.33</v>
      </c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19" t="s">
        <v>54</v>
      </c>
      <c r="B32" s="36" t="s">
        <v>26</v>
      </c>
      <c r="C32" s="17">
        <v>34.630000000000003</v>
      </c>
      <c r="D32" s="37">
        <f>AVERAGE(C32:C33)</f>
        <v>35.86</v>
      </c>
      <c r="E32" s="37">
        <v>18.397647607932122</v>
      </c>
      <c r="F32" s="50">
        <f t="shared" ref="F32" si="19">D32-E32</f>
        <v>17.462352392067878</v>
      </c>
      <c r="G32" s="8"/>
      <c r="H32" s="37">
        <f t="shared" si="5"/>
        <v>9.0062864444335098</v>
      </c>
      <c r="I32" s="49">
        <f>2^-(H32)</f>
        <v>1.9446329074109686E-3</v>
      </c>
      <c r="J32" s="37"/>
      <c r="K32" s="35">
        <f>I32/$J$2</f>
        <v>1.769704844286134E-3</v>
      </c>
      <c r="L32" s="37"/>
      <c r="M32" s="35"/>
    </row>
    <row r="33" spans="1:13" ht="15" customHeight="1" x14ac:dyDescent="0.2">
      <c r="A33" s="19" t="s">
        <v>54</v>
      </c>
      <c r="B33" s="36"/>
      <c r="C33" s="17">
        <v>37.090000000000003</v>
      </c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19" t="s">
        <v>55</v>
      </c>
      <c r="B34" s="36" t="s">
        <v>28</v>
      </c>
      <c r="C34" s="17">
        <v>25.08</v>
      </c>
      <c r="D34" s="37">
        <f>AVERAGE(C34:C35)</f>
        <v>25.24</v>
      </c>
      <c r="E34" s="37">
        <v>16.509506697394823</v>
      </c>
      <c r="F34" s="50">
        <f t="shared" ref="F34" si="20">D34-E34</f>
        <v>8.7304933026051756</v>
      </c>
      <c r="G34" s="8"/>
      <c r="H34" s="37">
        <f t="shared" si="5"/>
        <v>0.27442735497080761</v>
      </c>
      <c r="I34" s="49">
        <f>2^-(H34)</f>
        <v>0.82677842394996981</v>
      </c>
      <c r="J34" s="37"/>
      <c r="K34" s="35">
        <f>I34/$J$2</f>
        <v>0.75240616182080344</v>
      </c>
      <c r="L34" s="37">
        <f t="shared" ref="L34" si="21">AVERAGE(K34:K41)</f>
        <v>3.2114146297875426</v>
      </c>
      <c r="M34" s="35">
        <f t="shared" ref="M34" si="22">STDEV(K34:K41)/4</f>
        <v>0.66881197191446584</v>
      </c>
    </row>
    <row r="35" spans="1:13" ht="15" customHeight="1" x14ac:dyDescent="0.2">
      <c r="A35" s="19" t="s">
        <v>55</v>
      </c>
      <c r="B35" s="36"/>
      <c r="C35" s="17">
        <v>25.4</v>
      </c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19" t="s">
        <v>55</v>
      </c>
      <c r="B36" s="36" t="s">
        <v>29</v>
      </c>
      <c r="C36" s="17">
        <v>25.32</v>
      </c>
      <c r="D36" s="37">
        <f>AVERAGE(C36:C37)</f>
        <v>25.04</v>
      </c>
      <c r="E36" s="37">
        <v>18.343164352268513</v>
      </c>
      <c r="F36" s="50">
        <f t="shared" ref="F36" si="23">D36-E36</f>
        <v>6.6968356477314863</v>
      </c>
      <c r="G36" s="8"/>
      <c r="H36" s="37">
        <f t="shared" si="5"/>
        <v>-1.7592302999028817</v>
      </c>
      <c r="I36" s="49">
        <f>2^-(H36)</f>
        <v>3.3851747245645556</v>
      </c>
      <c r="J36" s="37"/>
      <c r="K36" s="35">
        <f>I36/$J$2</f>
        <v>3.0806637520049009</v>
      </c>
      <c r="L36" s="37"/>
      <c r="M36" s="35"/>
    </row>
    <row r="37" spans="1:13" ht="15" customHeight="1" x14ac:dyDescent="0.2">
      <c r="A37" s="19" t="s">
        <v>55</v>
      </c>
      <c r="B37" s="36"/>
      <c r="C37" s="17">
        <v>24.76</v>
      </c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19" t="s">
        <v>55</v>
      </c>
      <c r="B38" s="36" t="s">
        <v>30</v>
      </c>
      <c r="C38" s="17">
        <v>24.63</v>
      </c>
      <c r="D38" s="37">
        <f>AVERAGE(C38:C39)</f>
        <v>24.79</v>
      </c>
      <c r="E38" s="37">
        <v>17.506489233409525</v>
      </c>
      <c r="F38" s="50">
        <f t="shared" ref="F38" si="24">D38-E38</f>
        <v>7.2835107665904744</v>
      </c>
      <c r="G38" s="8"/>
      <c r="H38" s="37">
        <f t="shared" si="5"/>
        <v>-1.1725551810438937</v>
      </c>
      <c r="I38" s="49">
        <f>2^-(H38)</f>
        <v>2.2541057199793046</v>
      </c>
      <c r="J38" s="37"/>
      <c r="K38" s="35">
        <f>I38/$J$2</f>
        <v>2.0513392512170543</v>
      </c>
      <c r="L38" s="37"/>
      <c r="M38" s="35"/>
    </row>
    <row r="39" spans="1:13" ht="15" customHeight="1" x14ac:dyDescent="0.2">
      <c r="A39" s="19" t="s">
        <v>55</v>
      </c>
      <c r="B39" s="36"/>
      <c r="C39" s="17">
        <v>24.95</v>
      </c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19" t="s">
        <v>55</v>
      </c>
      <c r="B40" s="36" t="s">
        <v>31</v>
      </c>
      <c r="C40" s="17">
        <v>24.23</v>
      </c>
      <c r="D40" s="37">
        <f>AVERAGE(C40:C41)</f>
        <v>24.23</v>
      </c>
      <c r="E40" s="37">
        <v>18.70926938210307</v>
      </c>
      <c r="F40" s="50">
        <f t="shared" ref="F40" si="25">D40-E40</f>
        <v>5.5207306178969304</v>
      </c>
      <c r="G40" s="8"/>
      <c r="H40" s="37">
        <f t="shared" si="5"/>
        <v>-2.9353353297374376</v>
      </c>
      <c r="I40" s="49">
        <f>2^-(H40)</f>
        <v>7.64934029219501</v>
      </c>
      <c r="J40" s="37"/>
      <c r="K40" s="35">
        <f>I40/$J$2</f>
        <v>6.9612493541074105</v>
      </c>
      <c r="L40" s="37"/>
      <c r="M40" s="35"/>
    </row>
    <row r="41" spans="1:13" ht="15" customHeight="1" x14ac:dyDescent="0.2">
      <c r="A41" s="19" t="s">
        <v>55</v>
      </c>
      <c r="B41" s="36"/>
      <c r="C41" s="17"/>
      <c r="D41" s="37"/>
      <c r="E41" s="37"/>
      <c r="F41" s="50"/>
      <c r="G41" s="8"/>
      <c r="H41" s="37"/>
      <c r="I41" s="49"/>
      <c r="J41" s="37"/>
      <c r="K41" s="35"/>
      <c r="L41" s="37"/>
      <c r="M41" s="35"/>
    </row>
    <row r="42" spans="1:13" x14ac:dyDescent="0.2">
      <c r="A42" s="33" t="s">
        <v>56</v>
      </c>
    </row>
    <row r="43" spans="1:13" x14ac:dyDescent="0.2">
      <c r="A43" s="32" t="s">
        <v>56</v>
      </c>
    </row>
    <row r="44" spans="1:13" x14ac:dyDescent="0.2">
      <c r="A44" s="32" t="s">
        <v>56</v>
      </c>
    </row>
    <row r="45" spans="1:13" x14ac:dyDescent="0.2">
      <c r="A45" s="32" t="s">
        <v>56</v>
      </c>
    </row>
    <row r="46" spans="1:13" x14ac:dyDescent="0.2">
      <c r="A46" s="32" t="s">
        <v>56</v>
      </c>
    </row>
    <row r="47" spans="1:13" x14ac:dyDescent="0.2">
      <c r="A47" s="32" t="s">
        <v>56</v>
      </c>
    </row>
    <row r="48" spans="1:13" x14ac:dyDescent="0.2">
      <c r="A48" s="32" t="s">
        <v>56</v>
      </c>
    </row>
    <row r="49" spans="1:1" x14ac:dyDescent="0.2">
      <c r="A49" s="32" t="s">
        <v>56</v>
      </c>
    </row>
  </sheetData>
  <mergeCells count="156">
    <mergeCell ref="L2:L9"/>
    <mergeCell ref="M2:M9"/>
    <mergeCell ref="H4:H5"/>
    <mergeCell ref="I4:I5"/>
    <mergeCell ref="K4:K5"/>
    <mergeCell ref="K6:K7"/>
    <mergeCell ref="B2:B3"/>
    <mergeCell ref="D2:D3"/>
    <mergeCell ref="E2:E3"/>
    <mergeCell ref="F2:F3"/>
    <mergeCell ref="G2:G9"/>
    <mergeCell ref="B4:B5"/>
    <mergeCell ref="D4:D5"/>
    <mergeCell ref="E4:E5"/>
    <mergeCell ref="F4:F5"/>
    <mergeCell ref="B6:B7"/>
    <mergeCell ref="D6:D7"/>
    <mergeCell ref="E6:E7"/>
    <mergeCell ref="F6:F7"/>
    <mergeCell ref="H6:H7"/>
    <mergeCell ref="I6:I7"/>
    <mergeCell ref="H2:H3"/>
    <mergeCell ref="I2:I3"/>
    <mergeCell ref="J2:J9"/>
    <mergeCell ref="I10:I11"/>
    <mergeCell ref="J10:J17"/>
    <mergeCell ref="K10:K11"/>
    <mergeCell ref="B8:B9"/>
    <mergeCell ref="D8:D9"/>
    <mergeCell ref="E8:E9"/>
    <mergeCell ref="F8:F9"/>
    <mergeCell ref="H8:H9"/>
    <mergeCell ref="I8:I9"/>
    <mergeCell ref="D14:D15"/>
    <mergeCell ref="E14:E15"/>
    <mergeCell ref="F14:F15"/>
    <mergeCell ref="H14:H15"/>
    <mergeCell ref="I14:I15"/>
    <mergeCell ref="K14:K15"/>
    <mergeCell ref="K2:K3"/>
    <mergeCell ref="L10:L17"/>
    <mergeCell ref="M10:M17"/>
    <mergeCell ref="B12:B13"/>
    <mergeCell ref="D12:D13"/>
    <mergeCell ref="E12:E13"/>
    <mergeCell ref="F12:F13"/>
    <mergeCell ref="H12:H13"/>
    <mergeCell ref="I12:I13"/>
    <mergeCell ref="K12:K13"/>
    <mergeCell ref="B14:B15"/>
    <mergeCell ref="K16:K17"/>
    <mergeCell ref="B16:B17"/>
    <mergeCell ref="D16:D17"/>
    <mergeCell ref="E16:E17"/>
    <mergeCell ref="F16:F17"/>
    <mergeCell ref="H16:H17"/>
    <mergeCell ref="I16:I17"/>
    <mergeCell ref="K8:K9"/>
    <mergeCell ref="B10:B11"/>
    <mergeCell ref="D10:D11"/>
    <mergeCell ref="E10:E11"/>
    <mergeCell ref="F10:F11"/>
    <mergeCell ref="H10:H11"/>
    <mergeCell ref="L18:L25"/>
    <mergeCell ref="M18:M25"/>
    <mergeCell ref="B20:B21"/>
    <mergeCell ref="D20:D21"/>
    <mergeCell ref="E20:E21"/>
    <mergeCell ref="F20:F21"/>
    <mergeCell ref="H20:H21"/>
    <mergeCell ref="I20:I21"/>
    <mergeCell ref="K20:K21"/>
    <mergeCell ref="B22:B23"/>
    <mergeCell ref="K24:K25"/>
    <mergeCell ref="B18:B19"/>
    <mergeCell ref="D18:D19"/>
    <mergeCell ref="E18:E19"/>
    <mergeCell ref="F18:F19"/>
    <mergeCell ref="H18:H19"/>
    <mergeCell ref="I18:I19"/>
    <mergeCell ref="J18:J25"/>
    <mergeCell ref="K18:K19"/>
    <mergeCell ref="K22:K23"/>
    <mergeCell ref="B24:B25"/>
    <mergeCell ref="D24:D25"/>
    <mergeCell ref="E24:E25"/>
    <mergeCell ref="F24:F25"/>
    <mergeCell ref="H24:H25"/>
    <mergeCell ref="I24:I25"/>
    <mergeCell ref="D30:D31"/>
    <mergeCell ref="E30:E31"/>
    <mergeCell ref="F30:F31"/>
    <mergeCell ref="H30:H31"/>
    <mergeCell ref="I30:I31"/>
    <mergeCell ref="D22:D23"/>
    <mergeCell ref="E22:E23"/>
    <mergeCell ref="F22:F23"/>
    <mergeCell ref="H22:H23"/>
    <mergeCell ref="I22:I23"/>
    <mergeCell ref="L26:L33"/>
    <mergeCell ref="M26:M33"/>
    <mergeCell ref="B28:B29"/>
    <mergeCell ref="D28:D29"/>
    <mergeCell ref="E28:E29"/>
    <mergeCell ref="F28:F29"/>
    <mergeCell ref="H28:H29"/>
    <mergeCell ref="I28:I29"/>
    <mergeCell ref="K28:K29"/>
    <mergeCell ref="B30:B31"/>
    <mergeCell ref="K32:K33"/>
    <mergeCell ref="B26:B27"/>
    <mergeCell ref="D26:D27"/>
    <mergeCell ref="E26:E27"/>
    <mergeCell ref="F26:F27"/>
    <mergeCell ref="H26:H27"/>
    <mergeCell ref="I26:I27"/>
    <mergeCell ref="J26:J33"/>
    <mergeCell ref="K26:K27"/>
    <mergeCell ref="K30:K31"/>
    <mergeCell ref="D34:D35"/>
    <mergeCell ref="E34:E35"/>
    <mergeCell ref="F34:F35"/>
    <mergeCell ref="H34:H35"/>
    <mergeCell ref="I34:I35"/>
    <mergeCell ref="J34:J41"/>
    <mergeCell ref="K34:K35"/>
    <mergeCell ref="B32:B33"/>
    <mergeCell ref="D32:D33"/>
    <mergeCell ref="E32:E33"/>
    <mergeCell ref="F32:F33"/>
    <mergeCell ref="H32:H33"/>
    <mergeCell ref="I32:I33"/>
    <mergeCell ref="L34:L41"/>
    <mergeCell ref="M34:M41"/>
    <mergeCell ref="B36:B37"/>
    <mergeCell ref="D36:D37"/>
    <mergeCell ref="E36:E37"/>
    <mergeCell ref="F36:F37"/>
    <mergeCell ref="H36:H37"/>
    <mergeCell ref="I36:I37"/>
    <mergeCell ref="K36:K37"/>
    <mergeCell ref="B38:B39"/>
    <mergeCell ref="K40:K41"/>
    <mergeCell ref="B40:B41"/>
    <mergeCell ref="D40:D41"/>
    <mergeCell ref="E40:E41"/>
    <mergeCell ref="F40:F41"/>
    <mergeCell ref="H40:H41"/>
    <mergeCell ref="I40:I41"/>
    <mergeCell ref="D38:D39"/>
    <mergeCell ref="E38:E39"/>
    <mergeCell ref="F38:F39"/>
    <mergeCell ref="H38:H39"/>
    <mergeCell ref="I38:I39"/>
    <mergeCell ref="K38:K39"/>
    <mergeCell ref="B34:B3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9585-68DE-486B-BCA2-29623EA027B3}">
  <sheetPr>
    <tabColor theme="5" tint="0.39997558519241921"/>
  </sheetPr>
  <dimension ref="A1:M49"/>
  <sheetViews>
    <sheetView topLeftCell="J9" workbookViewId="0">
      <selection activeCell="A42" sqref="A42:A49"/>
    </sheetView>
  </sheetViews>
  <sheetFormatPr baseColWidth="10" defaultColWidth="8.83203125" defaultRowHeight="15" x14ac:dyDescent="0.2"/>
  <cols>
    <col min="1" max="1" width="16.1640625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2" max="12" width="9"/>
    <col min="13" max="13" width="13.6640625" customWidth="1"/>
  </cols>
  <sheetData>
    <row r="1" spans="1:13" ht="16" x14ac:dyDescent="0.2">
      <c r="A1" s="2" t="s">
        <v>51</v>
      </c>
      <c r="B1" s="6" t="s">
        <v>2</v>
      </c>
      <c r="C1" s="3" t="s">
        <v>40</v>
      </c>
      <c r="D1" s="2" t="s">
        <v>4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 x14ac:dyDescent="0.2">
      <c r="A2" s="34" t="s">
        <v>64</v>
      </c>
      <c r="B2" s="39">
        <v>1</v>
      </c>
      <c r="C2" s="17">
        <v>34.869999999999997</v>
      </c>
      <c r="D2" s="37">
        <f>AVERAGE(C2:C3)</f>
        <v>35.959999999999994</v>
      </c>
      <c r="E2" s="37">
        <v>17.190287859484446</v>
      </c>
      <c r="F2" s="50">
        <f>D2-E2</f>
        <v>18.769712140515548</v>
      </c>
      <c r="G2" s="37">
        <f>AVERAGE(F2:F9)</f>
        <v>14.908565947634365</v>
      </c>
      <c r="H2" s="37">
        <f>F2-$G$2</f>
        <v>3.8611461928811828</v>
      </c>
      <c r="I2" s="49">
        <f>2^-(H2)</f>
        <v>6.8814376347983833E-2</v>
      </c>
      <c r="J2" s="37">
        <f>AVERAGE(I2:I9)</f>
        <v>10.367044985942835</v>
      </c>
      <c r="K2" s="35">
        <f>I2/$J$2</f>
        <v>6.6378004958300551E-3</v>
      </c>
      <c r="L2" s="37">
        <f>AVERAGE(K2:K9)</f>
        <v>1</v>
      </c>
      <c r="M2" s="35">
        <f>STDEV(K2:K9)/4</f>
        <v>0.28800884983883579</v>
      </c>
    </row>
    <row r="3" spans="1:13" x14ac:dyDescent="0.2">
      <c r="A3" s="34" t="s">
        <v>64</v>
      </c>
      <c r="B3" s="39"/>
      <c r="C3" s="17">
        <v>37.049999999999997</v>
      </c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x14ac:dyDescent="0.2">
      <c r="A4" s="34" t="s">
        <v>64</v>
      </c>
      <c r="B4" s="36" t="s">
        <v>9</v>
      </c>
      <c r="C4" s="17">
        <v>27.64</v>
      </c>
      <c r="D4" s="37">
        <f>AVERAGE(C4:C5)</f>
        <v>27.630000000000003</v>
      </c>
      <c r="E4" s="37">
        <v>17.164287644881519</v>
      </c>
      <c r="F4" s="50">
        <f t="shared" ref="F4" si="0">D4-E4</f>
        <v>10.465712355118484</v>
      </c>
      <c r="G4" s="37"/>
      <c r="H4" s="37">
        <f t="shared" ref="H4" si="1">F4-$G$2</f>
        <v>-4.4428535925158812</v>
      </c>
      <c r="I4" s="49">
        <f>2^-(H4)</f>
        <v>21.74864466397349</v>
      </c>
      <c r="J4" s="37"/>
      <c r="K4" s="35">
        <f>I4/$J$2</f>
        <v>2.0978634406876311</v>
      </c>
      <c r="L4" s="37"/>
      <c r="M4" s="35"/>
    </row>
    <row r="5" spans="1:13" x14ac:dyDescent="0.2">
      <c r="A5" s="34" t="s">
        <v>64</v>
      </c>
      <c r="B5" s="36"/>
      <c r="C5" s="17">
        <v>27.62</v>
      </c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x14ac:dyDescent="0.2">
      <c r="A6" s="34" t="s">
        <v>64</v>
      </c>
      <c r="B6" s="36" t="s">
        <v>10</v>
      </c>
      <c r="C6" s="17">
        <v>35</v>
      </c>
      <c r="D6" s="37">
        <f>AVERAGE(C6:C7)</f>
        <v>35.69</v>
      </c>
      <c r="E6" s="37">
        <v>15.905719176330518</v>
      </c>
      <c r="F6" s="50">
        <f t="shared" ref="F6" si="2">D6-E6</f>
        <v>19.78428082366948</v>
      </c>
      <c r="G6" s="37"/>
      <c r="H6" s="37">
        <f t="shared" ref="H6" si="3">F6-$G$2</f>
        <v>4.875714876035115</v>
      </c>
      <c r="I6" s="49">
        <f>2^-(H6)</f>
        <v>3.4061484510531786E-2</v>
      </c>
      <c r="J6" s="37"/>
      <c r="K6" s="35">
        <f>I6/$J$2</f>
        <v>3.2855538445832307E-3</v>
      </c>
      <c r="L6" s="37"/>
      <c r="M6" s="35"/>
    </row>
    <row r="7" spans="1:13" x14ac:dyDescent="0.2">
      <c r="A7" s="34" t="s">
        <v>64</v>
      </c>
      <c r="B7" s="36"/>
      <c r="C7" s="17">
        <v>36.380000000000003</v>
      </c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x14ac:dyDescent="0.2">
      <c r="A8" s="34" t="s">
        <v>64</v>
      </c>
      <c r="B8" s="36" t="s">
        <v>11</v>
      </c>
      <c r="C8" s="17">
        <v>26.83</v>
      </c>
      <c r="D8" s="37">
        <f>AVERAGE(C8:C9)</f>
        <v>26.664999999999999</v>
      </c>
      <c r="E8" s="37">
        <v>16.050441528766051</v>
      </c>
      <c r="F8" s="50">
        <f t="shared" ref="F8" si="4">D8-E8</f>
        <v>10.614558471233948</v>
      </c>
      <c r="G8" s="37"/>
      <c r="H8" s="37">
        <f t="shared" ref="H8:H40" si="5">F8-$G$2</f>
        <v>-4.2940074764004166</v>
      </c>
      <c r="I8" s="49">
        <f>2^-(H8)</f>
        <v>19.616659418939335</v>
      </c>
      <c r="J8" s="37"/>
      <c r="K8" s="35">
        <f>I8/$J$2</f>
        <v>1.8922132049719558</v>
      </c>
      <c r="L8" s="37"/>
      <c r="M8" s="35"/>
    </row>
    <row r="9" spans="1:13" ht="15" customHeight="1" x14ac:dyDescent="0.2">
      <c r="A9" s="34" t="s">
        <v>64</v>
      </c>
      <c r="B9" s="36"/>
      <c r="C9" s="18">
        <v>26.5</v>
      </c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4" t="s">
        <v>63</v>
      </c>
      <c r="B10" s="36" t="s">
        <v>13</v>
      </c>
      <c r="C10" s="17"/>
      <c r="D10" s="37">
        <f>AVERAGE(C10:C11)</f>
        <v>39.799999999999997</v>
      </c>
      <c r="E10" s="37">
        <v>17.143829345000096</v>
      </c>
      <c r="F10" s="50">
        <f t="shared" ref="F10" si="6">D10-E10</f>
        <v>22.656170654999901</v>
      </c>
      <c r="G10" s="8"/>
      <c r="H10" s="37">
        <f t="shared" si="5"/>
        <v>7.7476047073655359</v>
      </c>
      <c r="I10" s="49">
        <f>2^-(H10)</f>
        <v>4.653059312709918E-3</v>
      </c>
      <c r="J10" s="37"/>
      <c r="K10" s="35">
        <f>I10/$J$2</f>
        <v>4.4883178562639793E-4</v>
      </c>
      <c r="L10" s="37">
        <f t="shared" ref="L10" si="7">AVERAGE(K10:K17)</f>
        <v>1.9868697750463276</v>
      </c>
      <c r="M10" s="35">
        <f t="shared" ref="M10" si="8">STDEV(K10:K17)/4</f>
        <v>0.55956978022364767</v>
      </c>
    </row>
    <row r="11" spans="1:13" ht="15" customHeight="1" x14ac:dyDescent="0.2">
      <c r="A11" s="34" t="s">
        <v>63</v>
      </c>
      <c r="B11" s="36"/>
      <c r="C11" s="17">
        <v>39.799999999999997</v>
      </c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4" t="s">
        <v>63</v>
      </c>
      <c r="B12" s="36" t="s">
        <v>14</v>
      </c>
      <c r="C12" s="17">
        <v>27.18</v>
      </c>
      <c r="D12" s="37">
        <f>AVERAGE(C12:C13)</f>
        <v>27.240000000000002</v>
      </c>
      <c r="E12" s="37">
        <v>17.978019717604003</v>
      </c>
      <c r="F12" s="50">
        <f t="shared" ref="F12" si="9">D12-E12</f>
        <v>9.2619802823959994</v>
      </c>
      <c r="G12" s="8"/>
      <c r="H12" s="37">
        <f t="shared" si="5"/>
        <v>-5.6465856652383657</v>
      </c>
      <c r="I12" s="49">
        <f>2^-(H12)</f>
        <v>50.094685952371094</v>
      </c>
      <c r="J12" s="37"/>
      <c r="K12" s="35">
        <f>I12/$J$2</f>
        <v>4.8321084764556188</v>
      </c>
      <c r="L12" s="37"/>
      <c r="M12" s="35"/>
    </row>
    <row r="13" spans="1:13" ht="15" customHeight="1" x14ac:dyDescent="0.2">
      <c r="A13" s="34" t="s">
        <v>63</v>
      </c>
      <c r="B13" s="36"/>
      <c r="C13" s="17">
        <v>27.3</v>
      </c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4" t="s">
        <v>63</v>
      </c>
      <c r="B14" s="36" t="s">
        <v>15</v>
      </c>
      <c r="C14" s="17">
        <v>27.69</v>
      </c>
      <c r="D14" s="37">
        <f>AVERAGE(C14:C15)</f>
        <v>30.785000000000004</v>
      </c>
      <c r="E14" s="37">
        <v>17.974532197115273</v>
      </c>
      <c r="F14" s="50">
        <f t="shared" ref="F14" si="10">D14-E14</f>
        <v>12.81046780288473</v>
      </c>
      <c r="G14" s="8"/>
      <c r="H14" s="37">
        <f t="shared" si="5"/>
        <v>-2.0980981447496347</v>
      </c>
      <c r="I14" s="49">
        <f>2^-(H14)</f>
        <v>4.2814460452501066</v>
      </c>
      <c r="J14" s="37"/>
      <c r="K14" s="35">
        <f>I14/$J$2</f>
        <v>0.41298615478716655</v>
      </c>
      <c r="L14" s="37"/>
      <c r="M14" s="35"/>
    </row>
    <row r="15" spans="1:13" ht="15" customHeight="1" x14ac:dyDescent="0.2">
      <c r="A15" s="34" t="s">
        <v>63</v>
      </c>
      <c r="B15" s="36"/>
      <c r="C15" s="17">
        <v>33.880000000000003</v>
      </c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4" t="s">
        <v>63</v>
      </c>
      <c r="B16" s="36" t="s">
        <v>16</v>
      </c>
      <c r="C16" s="17">
        <v>26.92</v>
      </c>
      <c r="D16" s="37">
        <f>AVERAGE(C16:C17)</f>
        <v>27.42</v>
      </c>
      <c r="E16" s="37">
        <v>17.319360183997457</v>
      </c>
      <c r="F16" s="50">
        <f t="shared" ref="F16" si="11">D16-E16</f>
        <v>10.100639816002545</v>
      </c>
      <c r="G16" s="8"/>
      <c r="H16" s="37">
        <f t="shared" si="5"/>
        <v>-4.8079261316318203</v>
      </c>
      <c r="I16" s="49">
        <f>2^-(H16)</f>
        <v>28.011088299527689</v>
      </c>
      <c r="J16" s="37"/>
      <c r="K16" s="35">
        <f>I16/$J$2</f>
        <v>2.701935637156899</v>
      </c>
      <c r="L16" s="37"/>
      <c r="M16" s="35"/>
    </row>
    <row r="17" spans="1:13" ht="15" customHeight="1" x14ac:dyDescent="0.2">
      <c r="A17" s="34" t="s">
        <v>63</v>
      </c>
      <c r="B17" s="36"/>
      <c r="C17" s="18">
        <v>27.92</v>
      </c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19" t="s">
        <v>53</v>
      </c>
      <c r="B18" s="36" t="s">
        <v>18</v>
      </c>
      <c r="C18" s="17">
        <v>35.01</v>
      </c>
      <c r="D18" s="37">
        <f>AVERAGE(C18:C19)</f>
        <v>37.019999999999996</v>
      </c>
      <c r="E18" s="37">
        <v>19.205252186246113</v>
      </c>
      <c r="F18" s="50">
        <f t="shared" ref="F18" si="12">D18-E18</f>
        <v>17.814747813753883</v>
      </c>
      <c r="G18" s="8"/>
      <c r="H18" s="37">
        <f t="shared" si="5"/>
        <v>2.9061818661195176</v>
      </c>
      <c r="I18" s="49">
        <f>2^-(H18)</f>
        <v>0.13339884993760176</v>
      </c>
      <c r="J18" s="37"/>
      <c r="K18" s="35">
        <f>I18/$J$2</f>
        <v>1.2867586676674361E-2</v>
      </c>
      <c r="L18" s="37">
        <f t="shared" ref="L18" si="13">AVERAGE(K18:K25)</f>
        <v>1.0784451786825646</v>
      </c>
      <c r="M18" s="35">
        <f>STDEV(K18:K25)/4</f>
        <v>0.29632427510599862</v>
      </c>
    </row>
    <row r="19" spans="1:13" ht="15" customHeight="1" x14ac:dyDescent="0.2">
      <c r="A19" s="19" t="s">
        <v>53</v>
      </c>
      <c r="B19" s="36"/>
      <c r="C19" s="17">
        <v>39.03</v>
      </c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19" t="s">
        <v>53</v>
      </c>
      <c r="B20" s="36" t="s">
        <v>19</v>
      </c>
      <c r="C20" s="21">
        <v>0</v>
      </c>
      <c r="D20" s="37">
        <f>AVERAGE(C20:C21)</f>
        <v>0</v>
      </c>
      <c r="E20" s="37">
        <v>17.51825332356341</v>
      </c>
      <c r="F20" s="50">
        <f t="shared" ref="F20" si="14">D20-E20</f>
        <v>-17.51825332356341</v>
      </c>
      <c r="G20" s="8"/>
      <c r="H20" s="37"/>
      <c r="I20" s="49">
        <f>2^-(H20)</f>
        <v>1</v>
      </c>
      <c r="J20" s="37"/>
      <c r="K20" s="35">
        <f>I20/$J$2</f>
        <v>9.6459502332240973E-2</v>
      </c>
      <c r="L20" s="37"/>
      <c r="M20" s="35"/>
    </row>
    <row r="21" spans="1:13" ht="15" customHeight="1" x14ac:dyDescent="0.2">
      <c r="A21" s="20" t="s">
        <v>53</v>
      </c>
      <c r="B21" s="36"/>
      <c r="C21" s="21">
        <v>0</v>
      </c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20" t="s">
        <v>53</v>
      </c>
      <c r="B22" s="36" t="s">
        <v>20</v>
      </c>
      <c r="C22" s="17">
        <v>27.32</v>
      </c>
      <c r="D22" s="37">
        <f>AVERAGE(C22:C23)</f>
        <v>27.98</v>
      </c>
      <c r="E22" s="37">
        <v>17.449205574599276</v>
      </c>
      <c r="F22" s="50">
        <f t="shared" ref="F22" si="15">D22-E22</f>
        <v>10.530794425400725</v>
      </c>
      <c r="G22" s="8"/>
      <c r="H22" s="37">
        <f t="shared" si="5"/>
        <v>-4.3777715222336404</v>
      </c>
      <c r="I22" s="49">
        <f>2^-(H22)</f>
        <v>20.78933235862187</v>
      </c>
      <c r="J22" s="37"/>
      <c r="K22" s="35">
        <f>I22/$J$2</f>
        <v>2.005328653132219</v>
      </c>
      <c r="L22" s="37"/>
      <c r="M22" s="35"/>
    </row>
    <row r="23" spans="1:13" ht="15" customHeight="1" x14ac:dyDescent="0.2">
      <c r="A23" s="20" t="s">
        <v>53</v>
      </c>
      <c r="B23" s="36"/>
      <c r="C23" s="17">
        <v>28.64</v>
      </c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20" t="s">
        <v>53</v>
      </c>
      <c r="B24" s="36" t="s">
        <v>21</v>
      </c>
      <c r="C24" s="17">
        <v>27.15</v>
      </c>
      <c r="D24" s="37">
        <f>AVERAGE(C24:C25)</f>
        <v>27.29</v>
      </c>
      <c r="E24" s="37">
        <v>16.892296467846915</v>
      </c>
      <c r="F24" s="50">
        <f t="shared" ref="F24" si="16">D24-E24</f>
        <v>10.397703532153084</v>
      </c>
      <c r="G24" s="8"/>
      <c r="H24" s="37">
        <f t="shared" si="5"/>
        <v>-4.5108624154812809</v>
      </c>
      <c r="I24" s="49">
        <f>2^-(H24)</f>
        <v>22.798427520541754</v>
      </c>
      <c r="J24" s="37"/>
      <c r="K24" s="35">
        <f>I24/$J$2</f>
        <v>2.1991249725891242</v>
      </c>
      <c r="L24" s="37"/>
      <c r="M24" s="35"/>
    </row>
    <row r="25" spans="1:13" ht="15" customHeight="1" x14ac:dyDescent="0.2">
      <c r="A25" s="20" t="s">
        <v>53</v>
      </c>
      <c r="B25" s="36"/>
      <c r="C25" s="18">
        <v>27.43</v>
      </c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19" t="s">
        <v>54</v>
      </c>
      <c r="B26" s="36" t="s">
        <v>23</v>
      </c>
      <c r="C26" s="17"/>
      <c r="D26" s="37">
        <f>AVERAGE(C26:C27)</f>
        <v>39.299999999999997</v>
      </c>
      <c r="E26" s="37">
        <v>17.460951826505497</v>
      </c>
      <c r="F26" s="50">
        <f t="shared" ref="F26" si="17">D26-E26</f>
        <v>21.839048173494501</v>
      </c>
      <c r="G26" s="8"/>
      <c r="H26" s="37">
        <f t="shared" si="5"/>
        <v>6.9304822258601355</v>
      </c>
      <c r="I26" s="49">
        <f>2^-(H26)</f>
        <v>8.1981708655149855E-3</v>
      </c>
      <c r="J26" s="37"/>
      <c r="K26" s="35">
        <f>I26/$J$2</f>
        <v>7.907914817222528E-4</v>
      </c>
      <c r="L26" s="37">
        <f>AVERAGE(K26:K33)</f>
        <v>2.1630332459562913</v>
      </c>
      <c r="M26" s="35">
        <f>STDEV(K26:K33)/4</f>
        <v>0.60685192758915918</v>
      </c>
    </row>
    <row r="27" spans="1:13" ht="15" customHeight="1" x14ac:dyDescent="0.2">
      <c r="A27" s="19" t="s">
        <v>54</v>
      </c>
      <c r="B27" s="36"/>
      <c r="C27" s="17">
        <v>39.299999999999997</v>
      </c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19" t="s">
        <v>54</v>
      </c>
      <c r="B28" s="36" t="s">
        <v>24</v>
      </c>
      <c r="C28" s="17">
        <v>30.55</v>
      </c>
      <c r="D28" s="37">
        <f>AVERAGE(C28:C29)</f>
        <v>32.36</v>
      </c>
      <c r="E28" s="37">
        <v>17.8103787466741</v>
      </c>
      <c r="F28" s="50">
        <f>D28-E28</f>
        <v>14.549621253325899</v>
      </c>
      <c r="G28" s="8"/>
      <c r="H28" s="37">
        <f t="shared" si="5"/>
        <v>-0.35894469430846598</v>
      </c>
      <c r="I28" s="49">
        <f>2^-(H28)</f>
        <v>1.2824874376842794</v>
      </c>
      <c r="J28" s="37"/>
      <c r="K28" s="35">
        <f>I28/$J$2</f>
        <v>0.12370809998637651</v>
      </c>
      <c r="L28" s="37"/>
      <c r="M28" s="35"/>
    </row>
    <row r="29" spans="1:13" ht="15" customHeight="1" x14ac:dyDescent="0.2">
      <c r="A29" s="19" t="s">
        <v>54</v>
      </c>
      <c r="B29" s="36"/>
      <c r="C29" s="17">
        <v>34.17</v>
      </c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19" t="s">
        <v>54</v>
      </c>
      <c r="B30" s="36" t="s">
        <v>25</v>
      </c>
      <c r="C30" s="17">
        <v>27.39</v>
      </c>
      <c r="D30" s="37">
        <f>AVERAGE(C30:C31)</f>
        <v>27.11</v>
      </c>
      <c r="E30" s="37">
        <v>17.636734292930214</v>
      </c>
      <c r="F30" s="50">
        <f t="shared" ref="F30" si="18">D30-E30</f>
        <v>9.4732657070697854</v>
      </c>
      <c r="G30" s="8"/>
      <c r="H30" s="37">
        <f t="shared" si="5"/>
        <v>-5.4353002405645796</v>
      </c>
      <c r="I30" s="49">
        <f>2^-(H30)</f>
        <v>43.270150709989942</v>
      </c>
      <c r="J30" s="37"/>
      <c r="K30" s="35">
        <f>I30/$J$2</f>
        <v>4.1738172033266929</v>
      </c>
      <c r="L30" s="37"/>
      <c r="M30" s="35"/>
    </row>
    <row r="31" spans="1:13" ht="15" customHeight="1" x14ac:dyDescent="0.2">
      <c r="A31" s="19" t="s">
        <v>54</v>
      </c>
      <c r="B31" s="36"/>
      <c r="C31" s="17">
        <v>26.83</v>
      </c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19" t="s">
        <v>54</v>
      </c>
      <c r="B32" s="36" t="s">
        <v>26</v>
      </c>
      <c r="C32" s="17">
        <v>27.98</v>
      </c>
      <c r="D32" s="37">
        <f>AVERAGE(C32:C33)</f>
        <v>27.810000000000002</v>
      </c>
      <c r="E32" s="37">
        <v>18.397647607932122</v>
      </c>
      <c r="F32" s="50">
        <f t="shared" ref="F32" si="19">D32-E32</f>
        <v>9.4123523920678807</v>
      </c>
      <c r="G32" s="8"/>
      <c r="H32" s="37">
        <f t="shared" si="5"/>
        <v>-5.4962135555664844</v>
      </c>
      <c r="I32" s="49">
        <f>2^-(H32)</f>
        <v>45.136215549135571</v>
      </c>
      <c r="J32" s="37"/>
      <c r="K32" s="35">
        <f>I32/$J$2</f>
        <v>4.3538168890303739</v>
      </c>
      <c r="L32" s="37"/>
      <c r="M32" s="35"/>
    </row>
    <row r="33" spans="1:13" ht="15" customHeight="1" x14ac:dyDescent="0.2">
      <c r="A33" s="19" t="s">
        <v>54</v>
      </c>
      <c r="B33" s="36"/>
      <c r="C33" s="18">
        <v>27.64</v>
      </c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19" t="s">
        <v>55</v>
      </c>
      <c r="B34" s="36" t="s">
        <v>28</v>
      </c>
      <c r="C34" s="17">
        <v>27.14</v>
      </c>
      <c r="D34" s="37">
        <f>AVERAGE(C34:C35)</f>
        <v>27.555</v>
      </c>
      <c r="E34" s="37">
        <v>16.509506697394823</v>
      </c>
      <c r="F34" s="50">
        <f t="shared" ref="F34" si="20">D34-E34</f>
        <v>11.045493302605177</v>
      </c>
      <c r="G34" s="8"/>
      <c r="H34" s="37">
        <f t="shared" si="5"/>
        <v>-3.8630726450291881</v>
      </c>
      <c r="I34" s="49">
        <f>2^-(H34)</f>
        <v>14.551264720341781</v>
      </c>
      <c r="J34" s="37"/>
      <c r="K34" s="35">
        <f>I34/$J$2</f>
        <v>1.4036077532288638</v>
      </c>
      <c r="L34" s="37">
        <f t="shared" ref="L34" si="21">AVERAGE(K34:K41)</f>
        <v>4.5892077143002199</v>
      </c>
      <c r="M34" s="35">
        <f t="shared" ref="M34" si="22">STDEV(K34:K41)/4</f>
        <v>1.2524273992515071</v>
      </c>
    </row>
    <row r="35" spans="1:13" ht="15" customHeight="1" x14ac:dyDescent="0.2">
      <c r="A35" s="19" t="s">
        <v>55</v>
      </c>
      <c r="B35" s="36"/>
      <c r="C35" s="17">
        <v>27.97</v>
      </c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19" t="s">
        <v>55</v>
      </c>
      <c r="B36" s="36" t="s">
        <v>29</v>
      </c>
      <c r="C36" s="17">
        <v>39.07</v>
      </c>
      <c r="D36" s="37">
        <f>AVERAGE(C36:C37)</f>
        <v>39.07</v>
      </c>
      <c r="E36" s="37">
        <v>18.343164352268513</v>
      </c>
      <c r="F36" s="50">
        <f t="shared" ref="F36" si="23">D36-E36</f>
        <v>20.726835647731487</v>
      </c>
      <c r="G36" s="8"/>
      <c r="H36" s="37">
        <f t="shared" si="5"/>
        <v>5.8182697000971224</v>
      </c>
      <c r="I36" s="49">
        <f>2^-(H36)</f>
        <v>1.7722553555268094E-2</v>
      </c>
      <c r="J36" s="37"/>
      <c r="K36" s="35">
        <f>I36/$J$2</f>
        <v>1.7095086959976484E-3</v>
      </c>
      <c r="L36" s="37"/>
      <c r="M36" s="35"/>
    </row>
    <row r="37" spans="1:13" ht="15" customHeight="1" x14ac:dyDescent="0.2">
      <c r="A37" s="19" t="s">
        <v>55</v>
      </c>
      <c r="B37" s="36"/>
      <c r="C37" s="17"/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19" t="s">
        <v>55</v>
      </c>
      <c r="B38" s="36" t="s">
        <v>30</v>
      </c>
      <c r="C38" s="17">
        <v>26.39</v>
      </c>
      <c r="D38" s="37">
        <f>AVERAGE(C38:C39)</f>
        <v>26.495000000000001</v>
      </c>
      <c r="E38" s="37">
        <v>17.506489233409525</v>
      </c>
      <c r="F38" s="50">
        <f t="shared" ref="F38" si="24">D38-E38</f>
        <v>8.9885107665904762</v>
      </c>
      <c r="G38" s="8"/>
      <c r="H38" s="37">
        <f t="shared" si="5"/>
        <v>-5.9200551810438888</v>
      </c>
      <c r="I38" s="49">
        <f>2^-(H38)</f>
        <v>60.550005298171662</v>
      </c>
      <c r="J38" s="37"/>
      <c r="K38" s="35">
        <f>I38/$J$2</f>
        <v>5.8406233772761933</v>
      </c>
      <c r="L38" s="37"/>
      <c r="M38" s="35"/>
    </row>
    <row r="39" spans="1:13" ht="15" customHeight="1" x14ac:dyDescent="0.2">
      <c r="A39" s="19" t="s">
        <v>55</v>
      </c>
      <c r="B39" s="36"/>
      <c r="C39" s="17">
        <v>26.6</v>
      </c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19" t="s">
        <v>55</v>
      </c>
      <c r="B40" s="36" t="s">
        <v>31</v>
      </c>
      <c r="C40" s="17">
        <v>26.77</v>
      </c>
      <c r="D40" s="37">
        <f>AVERAGE(C40:C41)</f>
        <v>26.77</v>
      </c>
      <c r="E40" s="37">
        <v>18.70926938210307</v>
      </c>
      <c r="F40" s="50">
        <f t="shared" ref="F40" si="25">D40-E40</f>
        <v>8.0607306178969296</v>
      </c>
      <c r="G40" s="8"/>
      <c r="H40" s="37">
        <f t="shared" si="5"/>
        <v>-6.8478353297374355</v>
      </c>
      <c r="I40" s="49">
        <f>2^-(H40)</f>
        <v>115.18709872387639</v>
      </c>
      <c r="J40" s="37"/>
      <c r="K40" s="35">
        <f>I40/$J$2</f>
        <v>11.110890217999826</v>
      </c>
      <c r="L40" s="37"/>
      <c r="M40" s="35"/>
    </row>
    <row r="41" spans="1:13" ht="15" customHeight="1" x14ac:dyDescent="0.2">
      <c r="A41" s="19" t="s">
        <v>55</v>
      </c>
      <c r="B41" s="36"/>
      <c r="C41" s="18"/>
      <c r="D41" s="37"/>
      <c r="E41" s="37"/>
      <c r="F41" s="50"/>
      <c r="G41" s="8"/>
      <c r="H41" s="37"/>
      <c r="I41" s="49"/>
      <c r="J41" s="37"/>
      <c r="K41" s="35"/>
      <c r="L41" s="37"/>
      <c r="M41" s="35"/>
    </row>
    <row r="42" spans="1:13" x14ac:dyDescent="0.2">
      <c r="A42" s="33" t="s">
        <v>56</v>
      </c>
    </row>
    <row r="43" spans="1:13" x14ac:dyDescent="0.2">
      <c r="A43" s="32" t="s">
        <v>56</v>
      </c>
    </row>
    <row r="44" spans="1:13" x14ac:dyDescent="0.2">
      <c r="A44" s="32" t="s">
        <v>56</v>
      </c>
    </row>
    <row r="45" spans="1:13" x14ac:dyDescent="0.2">
      <c r="A45" s="32" t="s">
        <v>56</v>
      </c>
    </row>
    <row r="46" spans="1:13" x14ac:dyDescent="0.2">
      <c r="A46" s="32" t="s">
        <v>56</v>
      </c>
    </row>
    <row r="47" spans="1:13" x14ac:dyDescent="0.2">
      <c r="A47" s="32" t="s">
        <v>56</v>
      </c>
    </row>
    <row r="48" spans="1:13" x14ac:dyDescent="0.2">
      <c r="A48" s="32" t="s">
        <v>56</v>
      </c>
    </row>
    <row r="49" spans="1:1" x14ac:dyDescent="0.2">
      <c r="A49" s="32" t="s">
        <v>56</v>
      </c>
    </row>
  </sheetData>
  <mergeCells count="156">
    <mergeCell ref="L2:L9"/>
    <mergeCell ref="M2:M9"/>
    <mergeCell ref="H4:H5"/>
    <mergeCell ref="I4:I5"/>
    <mergeCell ref="K4:K5"/>
    <mergeCell ref="K6:K7"/>
    <mergeCell ref="B2:B3"/>
    <mergeCell ref="D2:D3"/>
    <mergeCell ref="E2:E3"/>
    <mergeCell ref="F2:F3"/>
    <mergeCell ref="G2:G9"/>
    <mergeCell ref="B4:B5"/>
    <mergeCell ref="D4:D5"/>
    <mergeCell ref="E4:E5"/>
    <mergeCell ref="F4:F5"/>
    <mergeCell ref="B6:B7"/>
    <mergeCell ref="D6:D7"/>
    <mergeCell ref="E6:E7"/>
    <mergeCell ref="F6:F7"/>
    <mergeCell ref="H6:H7"/>
    <mergeCell ref="I6:I7"/>
    <mergeCell ref="H2:H3"/>
    <mergeCell ref="I2:I3"/>
    <mergeCell ref="J2:J9"/>
    <mergeCell ref="I10:I11"/>
    <mergeCell ref="J10:J17"/>
    <mergeCell ref="K10:K11"/>
    <mergeCell ref="B8:B9"/>
    <mergeCell ref="D8:D9"/>
    <mergeCell ref="E8:E9"/>
    <mergeCell ref="F8:F9"/>
    <mergeCell ref="H8:H9"/>
    <mergeCell ref="I8:I9"/>
    <mergeCell ref="D14:D15"/>
    <mergeCell ref="E14:E15"/>
    <mergeCell ref="F14:F15"/>
    <mergeCell ref="H14:H15"/>
    <mergeCell ref="I14:I15"/>
    <mergeCell ref="K14:K15"/>
    <mergeCell ref="K2:K3"/>
    <mergeCell ref="L10:L17"/>
    <mergeCell ref="M10:M17"/>
    <mergeCell ref="B12:B13"/>
    <mergeCell ref="D12:D13"/>
    <mergeCell ref="E12:E13"/>
    <mergeCell ref="F12:F13"/>
    <mergeCell ref="H12:H13"/>
    <mergeCell ref="I12:I13"/>
    <mergeCell ref="K12:K13"/>
    <mergeCell ref="B14:B15"/>
    <mergeCell ref="K16:K17"/>
    <mergeCell ref="B16:B17"/>
    <mergeCell ref="D16:D17"/>
    <mergeCell ref="E16:E17"/>
    <mergeCell ref="F16:F17"/>
    <mergeCell ref="H16:H17"/>
    <mergeCell ref="I16:I17"/>
    <mergeCell ref="K8:K9"/>
    <mergeCell ref="B10:B11"/>
    <mergeCell ref="D10:D11"/>
    <mergeCell ref="E10:E11"/>
    <mergeCell ref="F10:F11"/>
    <mergeCell ref="H10:H11"/>
    <mergeCell ref="L18:L25"/>
    <mergeCell ref="M18:M25"/>
    <mergeCell ref="B20:B21"/>
    <mergeCell ref="D20:D21"/>
    <mergeCell ref="E20:E21"/>
    <mergeCell ref="F20:F21"/>
    <mergeCell ref="H20:H21"/>
    <mergeCell ref="I20:I21"/>
    <mergeCell ref="K20:K21"/>
    <mergeCell ref="B22:B23"/>
    <mergeCell ref="K24:K25"/>
    <mergeCell ref="B18:B19"/>
    <mergeCell ref="D18:D19"/>
    <mergeCell ref="E18:E19"/>
    <mergeCell ref="F18:F19"/>
    <mergeCell ref="H18:H19"/>
    <mergeCell ref="I18:I19"/>
    <mergeCell ref="J18:J25"/>
    <mergeCell ref="K18:K19"/>
    <mergeCell ref="K22:K23"/>
    <mergeCell ref="B24:B25"/>
    <mergeCell ref="D24:D25"/>
    <mergeCell ref="E24:E25"/>
    <mergeCell ref="F24:F25"/>
    <mergeCell ref="H24:H25"/>
    <mergeCell ref="I24:I25"/>
    <mergeCell ref="D30:D31"/>
    <mergeCell ref="E30:E31"/>
    <mergeCell ref="F30:F31"/>
    <mergeCell ref="H30:H31"/>
    <mergeCell ref="I30:I31"/>
    <mergeCell ref="D22:D23"/>
    <mergeCell ref="E22:E23"/>
    <mergeCell ref="F22:F23"/>
    <mergeCell ref="H22:H23"/>
    <mergeCell ref="I22:I23"/>
    <mergeCell ref="L26:L33"/>
    <mergeCell ref="M26:M33"/>
    <mergeCell ref="B28:B29"/>
    <mergeCell ref="D28:D29"/>
    <mergeCell ref="E28:E29"/>
    <mergeCell ref="F28:F29"/>
    <mergeCell ref="H28:H29"/>
    <mergeCell ref="I28:I29"/>
    <mergeCell ref="K28:K29"/>
    <mergeCell ref="B30:B31"/>
    <mergeCell ref="K32:K33"/>
    <mergeCell ref="B26:B27"/>
    <mergeCell ref="D26:D27"/>
    <mergeCell ref="E26:E27"/>
    <mergeCell ref="F26:F27"/>
    <mergeCell ref="H26:H27"/>
    <mergeCell ref="I26:I27"/>
    <mergeCell ref="J26:J33"/>
    <mergeCell ref="K26:K27"/>
    <mergeCell ref="K30:K31"/>
    <mergeCell ref="D34:D35"/>
    <mergeCell ref="E34:E35"/>
    <mergeCell ref="F34:F35"/>
    <mergeCell ref="H34:H35"/>
    <mergeCell ref="I34:I35"/>
    <mergeCell ref="J34:J41"/>
    <mergeCell ref="K34:K35"/>
    <mergeCell ref="B32:B33"/>
    <mergeCell ref="D32:D33"/>
    <mergeCell ref="E32:E33"/>
    <mergeCell ref="F32:F33"/>
    <mergeCell ref="H32:H33"/>
    <mergeCell ref="I32:I33"/>
    <mergeCell ref="L34:L41"/>
    <mergeCell ref="M34:M41"/>
    <mergeCell ref="B36:B37"/>
    <mergeCell ref="D36:D37"/>
    <mergeCell ref="E36:E37"/>
    <mergeCell ref="F36:F37"/>
    <mergeCell ref="H36:H37"/>
    <mergeCell ref="I36:I37"/>
    <mergeCell ref="K36:K37"/>
    <mergeCell ref="B38:B39"/>
    <mergeCell ref="K40:K41"/>
    <mergeCell ref="B40:B41"/>
    <mergeCell ref="D40:D41"/>
    <mergeCell ref="E40:E41"/>
    <mergeCell ref="F40:F41"/>
    <mergeCell ref="H40:H41"/>
    <mergeCell ref="I40:I41"/>
    <mergeCell ref="D38:D39"/>
    <mergeCell ref="E38:E39"/>
    <mergeCell ref="F38:F39"/>
    <mergeCell ref="H38:H39"/>
    <mergeCell ref="I38:I39"/>
    <mergeCell ref="K38:K39"/>
    <mergeCell ref="B34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3724-D575-4488-A490-FEAB7BBF33E8}">
  <sheetPr>
    <tabColor rgb="FFFF0000"/>
  </sheetPr>
  <dimension ref="A1:M41"/>
  <sheetViews>
    <sheetView topLeftCell="A10" workbookViewId="0">
      <selection activeCell="A2" sqref="A2:A9"/>
    </sheetView>
  </sheetViews>
  <sheetFormatPr baseColWidth="10" defaultColWidth="8.83203125" defaultRowHeight="15" x14ac:dyDescent="0.2"/>
  <cols>
    <col min="1" max="1" width="11" bestFit="1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2" max="12" width="9"/>
    <col min="13" max="13" width="13.6640625" customWidth="1"/>
  </cols>
  <sheetData>
    <row r="1" spans="1:13" ht="16" x14ac:dyDescent="0.2">
      <c r="A1" s="2" t="s">
        <v>1</v>
      </c>
      <c r="B1" s="6" t="s">
        <v>2</v>
      </c>
      <c r="C1" s="3" t="s">
        <v>40</v>
      </c>
      <c r="D1" s="2" t="s">
        <v>4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 x14ac:dyDescent="0.2">
      <c r="A2" s="38" t="s">
        <v>8</v>
      </c>
      <c r="B2" s="39">
        <v>1</v>
      </c>
      <c r="C2" s="17"/>
      <c r="D2" s="37" t="e">
        <f>AVERAGE(C2:C3)</f>
        <v>#DIV/0!</v>
      </c>
      <c r="E2" s="37">
        <v>17.190287859484446</v>
      </c>
      <c r="F2" s="50" t="e">
        <f>D2-E2</f>
        <v>#DIV/0!</v>
      </c>
      <c r="G2" s="37" t="e">
        <f>AVERAGE(F2:F9)</f>
        <v>#DIV/0!</v>
      </c>
      <c r="H2" s="37" t="e">
        <f>F2-$G$2</f>
        <v>#DIV/0!</v>
      </c>
      <c r="I2" s="49" t="e">
        <f>2^-(H2)</f>
        <v>#DIV/0!</v>
      </c>
      <c r="J2" s="37" t="e">
        <f>AVERAGE(I2:I9)</f>
        <v>#DIV/0!</v>
      </c>
      <c r="K2" s="35" t="e">
        <f>I2/$J$2</f>
        <v>#DIV/0!</v>
      </c>
      <c r="L2" s="37" t="e">
        <f>AVERAGE(K2:K9)</f>
        <v>#DIV/0!</v>
      </c>
      <c r="M2" s="35" t="e">
        <f>STDEV(K2:K9)/4</f>
        <v>#DIV/0!</v>
      </c>
    </row>
    <row r="3" spans="1:13" x14ac:dyDescent="0.2">
      <c r="A3" s="38"/>
      <c r="B3" s="39"/>
      <c r="C3" s="17"/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x14ac:dyDescent="0.2">
      <c r="A4" s="38"/>
      <c r="B4" s="36" t="s">
        <v>9</v>
      </c>
      <c r="C4" s="17"/>
      <c r="D4" s="37" t="e">
        <f>AVERAGE(C4:C5)</f>
        <v>#DIV/0!</v>
      </c>
      <c r="E4" s="37">
        <v>17.164287644881519</v>
      </c>
      <c r="F4" s="50" t="e">
        <f t="shared" ref="F4" si="0">D4-E4</f>
        <v>#DIV/0!</v>
      </c>
      <c r="G4" s="37"/>
      <c r="H4" s="37" t="e">
        <f t="shared" ref="H4" si="1">F4-$G$2</f>
        <v>#DIV/0!</v>
      </c>
      <c r="I4" s="49" t="e">
        <f>2^-(H4)</f>
        <v>#DIV/0!</v>
      </c>
      <c r="J4" s="37"/>
      <c r="K4" s="35" t="e">
        <f>I4/$J$2</f>
        <v>#DIV/0!</v>
      </c>
      <c r="L4" s="37"/>
      <c r="M4" s="35"/>
    </row>
    <row r="5" spans="1:13" x14ac:dyDescent="0.2">
      <c r="A5" s="38"/>
      <c r="B5" s="36"/>
      <c r="C5" s="17"/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x14ac:dyDescent="0.2">
      <c r="A6" s="38"/>
      <c r="B6" s="36" t="s">
        <v>10</v>
      </c>
      <c r="C6" s="17"/>
      <c r="D6" s="37" t="e">
        <f>AVERAGE(C6:C7)</f>
        <v>#DIV/0!</v>
      </c>
      <c r="E6" s="37">
        <v>15.905719176330518</v>
      </c>
      <c r="F6" s="50" t="e">
        <f t="shared" ref="F6" si="2">D6-E6</f>
        <v>#DIV/0!</v>
      </c>
      <c r="G6" s="37"/>
      <c r="H6" s="37" t="e">
        <f t="shared" ref="H6" si="3">F6-$G$2</f>
        <v>#DIV/0!</v>
      </c>
      <c r="I6" s="49" t="e">
        <f>2^-(H6)</f>
        <v>#DIV/0!</v>
      </c>
      <c r="J6" s="37"/>
      <c r="K6" s="35" t="e">
        <f>I6/$J$2</f>
        <v>#DIV/0!</v>
      </c>
      <c r="L6" s="37"/>
      <c r="M6" s="35"/>
    </row>
    <row r="7" spans="1:13" x14ac:dyDescent="0.2">
      <c r="A7" s="38"/>
      <c r="B7" s="36"/>
      <c r="C7" s="17"/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x14ac:dyDescent="0.2">
      <c r="A8" s="38"/>
      <c r="B8" s="36" t="s">
        <v>11</v>
      </c>
      <c r="C8" s="17"/>
      <c r="D8" s="37" t="e">
        <f>AVERAGE(C8:C9)</f>
        <v>#DIV/0!</v>
      </c>
      <c r="E8" s="37">
        <v>16.050441528766051</v>
      </c>
      <c r="F8" s="50" t="e">
        <f t="shared" ref="F8" si="4">D8-E8</f>
        <v>#DIV/0!</v>
      </c>
      <c r="G8" s="37"/>
      <c r="H8" s="37" t="e">
        <f t="shared" ref="H8:H40" si="5">F8-$G$2</f>
        <v>#DIV/0!</v>
      </c>
      <c r="I8" s="49" t="e">
        <f>2^-(H8)</f>
        <v>#DIV/0!</v>
      </c>
      <c r="J8" s="37"/>
      <c r="K8" s="35" t="e">
        <f>I8/$J$2</f>
        <v>#DIV/0!</v>
      </c>
      <c r="L8" s="37"/>
      <c r="M8" s="35"/>
    </row>
    <row r="9" spans="1:13" ht="15" customHeight="1" x14ac:dyDescent="0.2">
      <c r="A9" s="38"/>
      <c r="B9" s="36"/>
      <c r="C9" s="18"/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8" t="s">
        <v>12</v>
      </c>
      <c r="B10" s="36" t="s">
        <v>13</v>
      </c>
      <c r="C10" s="17"/>
      <c r="D10" s="37" t="e">
        <f>AVERAGE(C10:C11)</f>
        <v>#DIV/0!</v>
      </c>
      <c r="E10" s="37">
        <v>17.143829345000096</v>
      </c>
      <c r="F10" s="50" t="e">
        <f t="shared" ref="F10" si="6">D10-E10</f>
        <v>#DIV/0!</v>
      </c>
      <c r="G10" s="8"/>
      <c r="H10" s="37" t="e">
        <f t="shared" si="5"/>
        <v>#DIV/0!</v>
      </c>
      <c r="I10" s="49" t="e">
        <f>2^-(H10)</f>
        <v>#DIV/0!</v>
      </c>
      <c r="J10" s="37"/>
      <c r="K10" s="35" t="e">
        <f>I10/$J$2</f>
        <v>#DIV/0!</v>
      </c>
      <c r="L10" s="37" t="e">
        <f t="shared" ref="L10" si="7">AVERAGE(K10:K17)</f>
        <v>#DIV/0!</v>
      </c>
      <c r="M10" s="35" t="e">
        <f t="shared" ref="M10" si="8">STDEV(K10:K17)/4</f>
        <v>#DIV/0!</v>
      </c>
    </row>
    <row r="11" spans="1:13" ht="15" customHeight="1" x14ac:dyDescent="0.2">
      <c r="A11" s="38"/>
      <c r="B11" s="36"/>
      <c r="C11" s="17"/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8"/>
      <c r="B12" s="36" t="s">
        <v>14</v>
      </c>
      <c r="C12" s="17"/>
      <c r="D12" s="37" t="e">
        <f>AVERAGE(C12:C13)</f>
        <v>#DIV/0!</v>
      </c>
      <c r="E12" s="37">
        <v>17.978019717604003</v>
      </c>
      <c r="F12" s="50" t="e">
        <f t="shared" ref="F12" si="9">D12-E12</f>
        <v>#DIV/0!</v>
      </c>
      <c r="G12" s="8"/>
      <c r="H12" s="37" t="e">
        <f t="shared" si="5"/>
        <v>#DIV/0!</v>
      </c>
      <c r="I12" s="49" t="e">
        <f>2^-(H12)</f>
        <v>#DIV/0!</v>
      </c>
      <c r="J12" s="37"/>
      <c r="K12" s="35" t="e">
        <f>I12/$J$2</f>
        <v>#DIV/0!</v>
      </c>
      <c r="L12" s="37"/>
      <c r="M12" s="35"/>
    </row>
    <row r="13" spans="1:13" ht="15" customHeight="1" x14ac:dyDescent="0.2">
      <c r="A13" s="38"/>
      <c r="B13" s="36"/>
      <c r="C13" s="17"/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8"/>
      <c r="B14" s="36" t="s">
        <v>15</v>
      </c>
      <c r="C14" s="17"/>
      <c r="D14" s="37" t="e">
        <f>AVERAGE(C14:C15)</f>
        <v>#DIV/0!</v>
      </c>
      <c r="E14" s="37">
        <v>17.974532197115273</v>
      </c>
      <c r="F14" s="50" t="e">
        <f t="shared" ref="F14" si="10">D14-E14</f>
        <v>#DIV/0!</v>
      </c>
      <c r="G14" s="8"/>
      <c r="H14" s="37" t="e">
        <f t="shared" si="5"/>
        <v>#DIV/0!</v>
      </c>
      <c r="I14" s="49" t="e">
        <f>2^-(H14)</f>
        <v>#DIV/0!</v>
      </c>
      <c r="J14" s="37"/>
      <c r="K14" s="35" t="e">
        <f>I14/$J$2</f>
        <v>#DIV/0!</v>
      </c>
      <c r="L14" s="37"/>
      <c r="M14" s="35"/>
    </row>
    <row r="15" spans="1:13" ht="15" customHeight="1" x14ac:dyDescent="0.2">
      <c r="A15" s="38"/>
      <c r="B15" s="36"/>
      <c r="C15" s="17"/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8"/>
      <c r="B16" s="36" t="s">
        <v>16</v>
      </c>
      <c r="C16" s="17"/>
      <c r="D16" s="37" t="e">
        <f>AVERAGE(C16:C17)</f>
        <v>#DIV/0!</v>
      </c>
      <c r="E16" s="37">
        <v>17.319360183997457</v>
      </c>
      <c r="F16" s="50" t="e">
        <f t="shared" ref="F16" si="11">D16-E16</f>
        <v>#DIV/0!</v>
      </c>
      <c r="G16" s="8"/>
      <c r="H16" s="37" t="e">
        <f t="shared" si="5"/>
        <v>#DIV/0!</v>
      </c>
      <c r="I16" s="49" t="e">
        <f>2^-(H16)</f>
        <v>#DIV/0!</v>
      </c>
      <c r="J16" s="37"/>
      <c r="K16" s="35" t="e">
        <f>I16/$J$2</f>
        <v>#DIV/0!</v>
      </c>
      <c r="L16" s="37"/>
      <c r="M16" s="35"/>
    </row>
    <row r="17" spans="1:13" ht="15" customHeight="1" x14ac:dyDescent="0.2">
      <c r="A17" s="38"/>
      <c r="B17" s="36"/>
      <c r="C17" s="18"/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38" t="s">
        <v>17</v>
      </c>
      <c r="B18" s="36" t="s">
        <v>18</v>
      </c>
      <c r="C18" s="17"/>
      <c r="D18" s="37" t="e">
        <f>AVERAGE(C18:C19)</f>
        <v>#DIV/0!</v>
      </c>
      <c r="E18" s="37">
        <v>19.205252186246113</v>
      </c>
      <c r="F18" s="50" t="e">
        <f t="shared" ref="F18" si="12">D18-E18</f>
        <v>#DIV/0!</v>
      </c>
      <c r="G18" s="8"/>
      <c r="H18" s="37" t="e">
        <f t="shared" si="5"/>
        <v>#DIV/0!</v>
      </c>
      <c r="I18" s="49" t="e">
        <f>2^-(H18)</f>
        <v>#DIV/0!</v>
      </c>
      <c r="J18" s="37"/>
      <c r="K18" s="35" t="e">
        <f>I18/$J$2</f>
        <v>#DIV/0!</v>
      </c>
      <c r="L18" s="37" t="e">
        <f t="shared" ref="L18" si="13">AVERAGE(K18:K25)</f>
        <v>#DIV/0!</v>
      </c>
      <c r="M18" s="35" t="e">
        <f>STDEV(K18:K25)/4</f>
        <v>#DIV/0!</v>
      </c>
    </row>
    <row r="19" spans="1:13" ht="15" customHeight="1" x14ac:dyDescent="0.2">
      <c r="A19" s="38"/>
      <c r="B19" s="36"/>
      <c r="C19" s="17"/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38"/>
      <c r="B20" s="36" t="s">
        <v>19</v>
      </c>
      <c r="C20" s="17"/>
      <c r="D20" s="37" t="e">
        <f>AVERAGE(C20:C21)</f>
        <v>#DIV/0!</v>
      </c>
      <c r="E20" s="37">
        <v>17.51825332356341</v>
      </c>
      <c r="F20" s="50" t="e">
        <f t="shared" ref="F20" si="14">D20-E20</f>
        <v>#DIV/0!</v>
      </c>
      <c r="G20" s="8"/>
      <c r="H20" s="37"/>
      <c r="I20" s="49">
        <f>2^-(H20)</f>
        <v>1</v>
      </c>
      <c r="J20" s="37"/>
      <c r="K20" s="35" t="e">
        <f>I20/$J$2</f>
        <v>#DIV/0!</v>
      </c>
      <c r="L20" s="37"/>
      <c r="M20" s="35"/>
    </row>
    <row r="21" spans="1:13" ht="15" customHeight="1" x14ac:dyDescent="0.2">
      <c r="A21" s="38"/>
      <c r="B21" s="36"/>
      <c r="C21" s="17"/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38"/>
      <c r="B22" s="36" t="s">
        <v>20</v>
      </c>
      <c r="C22" s="17"/>
      <c r="D22" s="37" t="e">
        <f>AVERAGE(C22:C23)</f>
        <v>#DIV/0!</v>
      </c>
      <c r="E22" s="37">
        <v>17.449205574599276</v>
      </c>
      <c r="F22" s="50" t="e">
        <f t="shared" ref="F22" si="15">D22-E22</f>
        <v>#DIV/0!</v>
      </c>
      <c r="G22" s="8"/>
      <c r="H22" s="37" t="e">
        <f t="shared" si="5"/>
        <v>#DIV/0!</v>
      </c>
      <c r="I22" s="49" t="e">
        <f>2^-(H22)</f>
        <v>#DIV/0!</v>
      </c>
      <c r="J22" s="37"/>
      <c r="K22" s="35" t="e">
        <f>I22/$J$2</f>
        <v>#DIV/0!</v>
      </c>
      <c r="L22" s="37"/>
      <c r="M22" s="35"/>
    </row>
    <row r="23" spans="1:13" ht="15" customHeight="1" x14ac:dyDescent="0.2">
      <c r="A23" s="38"/>
      <c r="B23" s="36"/>
      <c r="C23" s="17"/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38"/>
      <c r="B24" s="36" t="s">
        <v>21</v>
      </c>
      <c r="C24" s="17"/>
      <c r="D24" s="37" t="e">
        <f>AVERAGE(C24:C25)</f>
        <v>#DIV/0!</v>
      </c>
      <c r="E24" s="37">
        <v>16.892296467846915</v>
      </c>
      <c r="F24" s="50" t="e">
        <f t="shared" ref="F24" si="16">D24-E24</f>
        <v>#DIV/0!</v>
      </c>
      <c r="G24" s="8"/>
      <c r="H24" s="37" t="e">
        <f t="shared" si="5"/>
        <v>#DIV/0!</v>
      </c>
      <c r="I24" s="49" t="e">
        <f>2^-(H24)</f>
        <v>#DIV/0!</v>
      </c>
      <c r="J24" s="37"/>
      <c r="K24" s="35" t="e">
        <f>I24/$J$2</f>
        <v>#DIV/0!</v>
      </c>
      <c r="L24" s="37"/>
      <c r="M24" s="35"/>
    </row>
    <row r="25" spans="1:13" ht="15" customHeight="1" x14ac:dyDescent="0.2">
      <c r="A25" s="38"/>
      <c r="B25" s="36"/>
      <c r="C25" s="18"/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38" t="s">
        <v>22</v>
      </c>
      <c r="B26" s="36" t="s">
        <v>23</v>
      </c>
      <c r="C26" s="17"/>
      <c r="D26" s="37" t="e">
        <f>AVERAGE(C26:C27)</f>
        <v>#DIV/0!</v>
      </c>
      <c r="E26" s="37">
        <v>17.460951826505497</v>
      </c>
      <c r="F26" s="50" t="e">
        <f t="shared" ref="F26" si="17">D26-E26</f>
        <v>#DIV/0!</v>
      </c>
      <c r="G26" s="8"/>
      <c r="H26" s="37" t="e">
        <f t="shared" si="5"/>
        <v>#DIV/0!</v>
      </c>
      <c r="I26" s="49" t="e">
        <f>2^-(H26)</f>
        <v>#DIV/0!</v>
      </c>
      <c r="J26" s="37"/>
      <c r="K26" s="35" t="e">
        <f>I26/$J$2</f>
        <v>#DIV/0!</v>
      </c>
      <c r="L26" s="37" t="e">
        <f>AVERAGE(K26:K33)</f>
        <v>#DIV/0!</v>
      </c>
      <c r="M26" s="35" t="e">
        <f>STDEV(K26:K33)/4</f>
        <v>#DIV/0!</v>
      </c>
    </row>
    <row r="27" spans="1:13" ht="15" customHeight="1" x14ac:dyDescent="0.2">
      <c r="A27" s="38"/>
      <c r="B27" s="36"/>
      <c r="C27" s="17"/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38"/>
      <c r="B28" s="36" t="s">
        <v>24</v>
      </c>
      <c r="C28" s="17"/>
      <c r="D28" s="37" t="e">
        <f>AVERAGE(C28:C29)</f>
        <v>#DIV/0!</v>
      </c>
      <c r="E28" s="37">
        <v>17.8103787466741</v>
      </c>
      <c r="F28" s="50" t="e">
        <f>D28-E28</f>
        <v>#DIV/0!</v>
      </c>
      <c r="G28" s="8"/>
      <c r="H28" s="37" t="e">
        <f t="shared" si="5"/>
        <v>#DIV/0!</v>
      </c>
      <c r="I28" s="49" t="e">
        <f>2^-(H28)</f>
        <v>#DIV/0!</v>
      </c>
      <c r="J28" s="37"/>
      <c r="K28" s="35" t="e">
        <f>I28/$J$2</f>
        <v>#DIV/0!</v>
      </c>
      <c r="L28" s="37"/>
      <c r="M28" s="35"/>
    </row>
    <row r="29" spans="1:13" ht="15" customHeight="1" x14ac:dyDescent="0.2">
      <c r="A29" s="38"/>
      <c r="B29" s="36"/>
      <c r="C29" s="17"/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38"/>
      <c r="B30" s="36" t="s">
        <v>25</v>
      </c>
      <c r="C30" s="17"/>
      <c r="D30" s="37" t="e">
        <f>AVERAGE(C30:C31)</f>
        <v>#DIV/0!</v>
      </c>
      <c r="E30" s="37">
        <v>17.636734292930214</v>
      </c>
      <c r="F30" s="50" t="e">
        <f t="shared" ref="F30" si="18">D30-E30</f>
        <v>#DIV/0!</v>
      </c>
      <c r="G30" s="8"/>
      <c r="H30" s="37" t="e">
        <f t="shared" si="5"/>
        <v>#DIV/0!</v>
      </c>
      <c r="I30" s="49" t="e">
        <f>2^-(H30)</f>
        <v>#DIV/0!</v>
      </c>
      <c r="J30" s="37"/>
      <c r="K30" s="35" t="e">
        <f>I30/$J$2</f>
        <v>#DIV/0!</v>
      </c>
      <c r="L30" s="37"/>
      <c r="M30" s="35"/>
    </row>
    <row r="31" spans="1:13" ht="15" customHeight="1" x14ac:dyDescent="0.2">
      <c r="A31" s="38"/>
      <c r="B31" s="36"/>
      <c r="C31" s="17"/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38"/>
      <c r="B32" s="36" t="s">
        <v>26</v>
      </c>
      <c r="C32" s="17"/>
      <c r="D32" s="37" t="e">
        <f>AVERAGE(C32:C33)</f>
        <v>#DIV/0!</v>
      </c>
      <c r="E32" s="37">
        <v>18.397647607932122</v>
      </c>
      <c r="F32" s="50" t="e">
        <f t="shared" ref="F32" si="19">D32-E32</f>
        <v>#DIV/0!</v>
      </c>
      <c r="G32" s="8"/>
      <c r="H32" s="37" t="e">
        <f t="shared" si="5"/>
        <v>#DIV/0!</v>
      </c>
      <c r="I32" s="49" t="e">
        <f>2^-(H32)</f>
        <v>#DIV/0!</v>
      </c>
      <c r="J32" s="37"/>
      <c r="K32" s="35" t="e">
        <f>I32/$J$2</f>
        <v>#DIV/0!</v>
      </c>
      <c r="L32" s="37"/>
      <c r="M32" s="35"/>
    </row>
    <row r="33" spans="1:13" ht="15" customHeight="1" x14ac:dyDescent="0.2">
      <c r="A33" s="38"/>
      <c r="B33" s="36"/>
      <c r="C33" s="18"/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38" t="s">
        <v>27</v>
      </c>
      <c r="B34" s="36" t="s">
        <v>28</v>
      </c>
      <c r="C34" s="17"/>
      <c r="D34" s="37" t="e">
        <f>AVERAGE(C34:C35)</f>
        <v>#DIV/0!</v>
      </c>
      <c r="E34" s="37">
        <v>16.509506697394823</v>
      </c>
      <c r="F34" s="50" t="e">
        <f t="shared" ref="F34" si="20">D34-E34</f>
        <v>#DIV/0!</v>
      </c>
      <c r="G34" s="8"/>
      <c r="H34" s="37" t="e">
        <f t="shared" si="5"/>
        <v>#DIV/0!</v>
      </c>
      <c r="I34" s="49" t="e">
        <f>2^-(H34)</f>
        <v>#DIV/0!</v>
      </c>
      <c r="J34" s="37"/>
      <c r="K34" s="35" t="e">
        <f>I34/$J$2</f>
        <v>#DIV/0!</v>
      </c>
      <c r="L34" s="37" t="e">
        <f t="shared" ref="L34" si="21">AVERAGE(K34:K41)</f>
        <v>#DIV/0!</v>
      </c>
      <c r="M34" s="35" t="e">
        <f t="shared" ref="M34" si="22">STDEV(K34:K41)/4</f>
        <v>#DIV/0!</v>
      </c>
    </row>
    <row r="35" spans="1:13" ht="15" customHeight="1" x14ac:dyDescent="0.2">
      <c r="A35" s="38"/>
      <c r="B35" s="36"/>
      <c r="C35" s="17"/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38"/>
      <c r="B36" s="36" t="s">
        <v>29</v>
      </c>
      <c r="C36" s="17"/>
      <c r="D36" s="37" t="e">
        <f>AVERAGE(C36:C37)</f>
        <v>#DIV/0!</v>
      </c>
      <c r="E36" s="37">
        <v>18.343164352268513</v>
      </c>
      <c r="F36" s="50" t="e">
        <f t="shared" ref="F36" si="23">D36-E36</f>
        <v>#DIV/0!</v>
      </c>
      <c r="G36" s="8"/>
      <c r="H36" s="37" t="e">
        <f t="shared" si="5"/>
        <v>#DIV/0!</v>
      </c>
      <c r="I36" s="49" t="e">
        <f>2^-(H36)</f>
        <v>#DIV/0!</v>
      </c>
      <c r="J36" s="37"/>
      <c r="K36" s="35" t="e">
        <f>I36/$J$2</f>
        <v>#DIV/0!</v>
      </c>
      <c r="L36" s="37"/>
      <c r="M36" s="35"/>
    </row>
    <row r="37" spans="1:13" ht="15" customHeight="1" x14ac:dyDescent="0.2">
      <c r="A37" s="38"/>
      <c r="B37" s="36"/>
      <c r="C37" s="17"/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38"/>
      <c r="B38" s="36" t="s">
        <v>30</v>
      </c>
      <c r="C38" s="17"/>
      <c r="D38" s="37" t="e">
        <f>AVERAGE(C38:C39)</f>
        <v>#DIV/0!</v>
      </c>
      <c r="E38" s="37">
        <v>17.506489233409525</v>
      </c>
      <c r="F38" s="50" t="e">
        <f t="shared" ref="F38" si="24">D38-E38</f>
        <v>#DIV/0!</v>
      </c>
      <c r="G38" s="8"/>
      <c r="H38" s="37" t="e">
        <f t="shared" si="5"/>
        <v>#DIV/0!</v>
      </c>
      <c r="I38" s="49" t="e">
        <f>2^-(H38)</f>
        <v>#DIV/0!</v>
      </c>
      <c r="J38" s="37"/>
      <c r="K38" s="35" t="e">
        <f>I38/$J$2</f>
        <v>#DIV/0!</v>
      </c>
      <c r="L38" s="37"/>
      <c r="M38" s="35"/>
    </row>
    <row r="39" spans="1:13" ht="15" customHeight="1" x14ac:dyDescent="0.2">
      <c r="A39" s="38"/>
      <c r="B39" s="36"/>
      <c r="C39" s="17"/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38"/>
      <c r="B40" s="36" t="s">
        <v>31</v>
      </c>
      <c r="C40" s="17"/>
      <c r="D40" s="37" t="e">
        <f>AVERAGE(C40:C41)</f>
        <v>#DIV/0!</v>
      </c>
      <c r="E40" s="37">
        <v>18.70926938210307</v>
      </c>
      <c r="F40" s="50" t="e">
        <f t="shared" ref="F40" si="25">D40-E40</f>
        <v>#DIV/0!</v>
      </c>
      <c r="G40" s="8"/>
      <c r="H40" s="37" t="e">
        <f t="shared" si="5"/>
        <v>#DIV/0!</v>
      </c>
      <c r="I40" s="49" t="e">
        <f>2^-(H40)</f>
        <v>#DIV/0!</v>
      </c>
      <c r="J40" s="37"/>
      <c r="K40" s="35" t="e">
        <f>I40/$J$2</f>
        <v>#DIV/0!</v>
      </c>
      <c r="L40" s="37"/>
      <c r="M40" s="35"/>
    </row>
    <row r="41" spans="1:13" ht="15" customHeight="1" x14ac:dyDescent="0.2">
      <c r="A41" s="38"/>
      <c r="B41" s="36"/>
      <c r="C41" s="18"/>
      <c r="D41" s="37"/>
      <c r="E41" s="37"/>
      <c r="F41" s="50"/>
      <c r="G41" s="8"/>
      <c r="H41" s="37"/>
      <c r="I41" s="49"/>
      <c r="J41" s="37"/>
      <c r="K41" s="35"/>
      <c r="L41" s="37"/>
      <c r="M41" s="35"/>
    </row>
  </sheetData>
  <mergeCells count="161">
    <mergeCell ref="K2:K3"/>
    <mergeCell ref="L2:L9"/>
    <mergeCell ref="M2:M9"/>
    <mergeCell ref="H4:H5"/>
    <mergeCell ref="I4:I5"/>
    <mergeCell ref="K4:K5"/>
    <mergeCell ref="K6:K7"/>
    <mergeCell ref="A2:A9"/>
    <mergeCell ref="B2:B3"/>
    <mergeCell ref="D2:D3"/>
    <mergeCell ref="E2:E3"/>
    <mergeCell ref="F2:F3"/>
    <mergeCell ref="G2:G9"/>
    <mergeCell ref="B4:B5"/>
    <mergeCell ref="D4:D5"/>
    <mergeCell ref="E4:E5"/>
    <mergeCell ref="F4:F5"/>
    <mergeCell ref="B6:B7"/>
    <mergeCell ref="D6:D7"/>
    <mergeCell ref="E6:E7"/>
    <mergeCell ref="F6:F7"/>
    <mergeCell ref="H6:H7"/>
    <mergeCell ref="I6:I7"/>
    <mergeCell ref="H2:H3"/>
    <mergeCell ref="I2:I3"/>
    <mergeCell ref="J2:J9"/>
    <mergeCell ref="K8:K9"/>
    <mergeCell ref="A10:A17"/>
    <mergeCell ref="B10:B11"/>
    <mergeCell ref="D10:D11"/>
    <mergeCell ref="E10:E11"/>
    <mergeCell ref="F10:F11"/>
    <mergeCell ref="H10:H11"/>
    <mergeCell ref="I10:I11"/>
    <mergeCell ref="J10:J17"/>
    <mergeCell ref="K10:K11"/>
    <mergeCell ref="B8:B9"/>
    <mergeCell ref="D8:D9"/>
    <mergeCell ref="E8:E9"/>
    <mergeCell ref="F8:F9"/>
    <mergeCell ref="H8:H9"/>
    <mergeCell ref="I8:I9"/>
    <mergeCell ref="D14:D15"/>
    <mergeCell ref="E14:E15"/>
    <mergeCell ref="F14:F15"/>
    <mergeCell ref="H14:H15"/>
    <mergeCell ref="I14:I15"/>
    <mergeCell ref="K14:K15"/>
    <mergeCell ref="L10:L17"/>
    <mergeCell ref="M10:M17"/>
    <mergeCell ref="B12:B13"/>
    <mergeCell ref="D12:D13"/>
    <mergeCell ref="E12:E13"/>
    <mergeCell ref="F12:F13"/>
    <mergeCell ref="H12:H13"/>
    <mergeCell ref="I12:I13"/>
    <mergeCell ref="K12:K13"/>
    <mergeCell ref="B14:B15"/>
    <mergeCell ref="K16:K17"/>
    <mergeCell ref="B16:B17"/>
    <mergeCell ref="D16:D17"/>
    <mergeCell ref="E16:E17"/>
    <mergeCell ref="F16:F17"/>
    <mergeCell ref="H16:H17"/>
    <mergeCell ref="I16:I17"/>
    <mergeCell ref="A18:A25"/>
    <mergeCell ref="B18:B19"/>
    <mergeCell ref="D18:D19"/>
    <mergeCell ref="E18:E19"/>
    <mergeCell ref="F18:F19"/>
    <mergeCell ref="H18:H19"/>
    <mergeCell ref="I18:I19"/>
    <mergeCell ref="J18:J25"/>
    <mergeCell ref="K18:K19"/>
    <mergeCell ref="D22:D23"/>
    <mergeCell ref="E22:E23"/>
    <mergeCell ref="F22:F23"/>
    <mergeCell ref="H22:H23"/>
    <mergeCell ref="I22:I23"/>
    <mergeCell ref="K22:K23"/>
    <mergeCell ref="L18:L25"/>
    <mergeCell ref="M18:M25"/>
    <mergeCell ref="B20:B21"/>
    <mergeCell ref="D20:D21"/>
    <mergeCell ref="E20:E21"/>
    <mergeCell ref="F20:F21"/>
    <mergeCell ref="H20:H21"/>
    <mergeCell ref="I20:I21"/>
    <mergeCell ref="K20:K21"/>
    <mergeCell ref="B22:B23"/>
    <mergeCell ref="K24:K25"/>
    <mergeCell ref="B24:B25"/>
    <mergeCell ref="D24:D25"/>
    <mergeCell ref="E24:E25"/>
    <mergeCell ref="F24:F25"/>
    <mergeCell ref="H24:H25"/>
    <mergeCell ref="I24:I25"/>
    <mergeCell ref="A26:A33"/>
    <mergeCell ref="B26:B27"/>
    <mergeCell ref="D26:D27"/>
    <mergeCell ref="E26:E27"/>
    <mergeCell ref="F26:F27"/>
    <mergeCell ref="H26:H27"/>
    <mergeCell ref="I26:I27"/>
    <mergeCell ref="J26:J33"/>
    <mergeCell ref="K26:K27"/>
    <mergeCell ref="D30:D31"/>
    <mergeCell ref="E30:E31"/>
    <mergeCell ref="F30:F31"/>
    <mergeCell ref="H30:H31"/>
    <mergeCell ref="I30:I31"/>
    <mergeCell ref="K30:K31"/>
    <mergeCell ref="L26:L33"/>
    <mergeCell ref="M26:M33"/>
    <mergeCell ref="B28:B29"/>
    <mergeCell ref="D28:D29"/>
    <mergeCell ref="E28:E29"/>
    <mergeCell ref="F28:F29"/>
    <mergeCell ref="H28:H29"/>
    <mergeCell ref="I28:I29"/>
    <mergeCell ref="K28:K29"/>
    <mergeCell ref="B30:B31"/>
    <mergeCell ref="K32:K33"/>
    <mergeCell ref="B32:B33"/>
    <mergeCell ref="D32:D33"/>
    <mergeCell ref="E32:E33"/>
    <mergeCell ref="F32:F33"/>
    <mergeCell ref="H32:H33"/>
    <mergeCell ref="I32:I33"/>
    <mergeCell ref="A34:A41"/>
    <mergeCell ref="B34:B35"/>
    <mergeCell ref="D34:D35"/>
    <mergeCell ref="E34:E35"/>
    <mergeCell ref="F34:F35"/>
    <mergeCell ref="H34:H35"/>
    <mergeCell ref="I34:I35"/>
    <mergeCell ref="J34:J41"/>
    <mergeCell ref="K34:K35"/>
    <mergeCell ref="L34:L41"/>
    <mergeCell ref="M34:M41"/>
    <mergeCell ref="B36:B37"/>
    <mergeCell ref="D36:D37"/>
    <mergeCell ref="E36:E37"/>
    <mergeCell ref="F36:F37"/>
    <mergeCell ref="H36:H37"/>
    <mergeCell ref="I36:I37"/>
    <mergeCell ref="K36:K37"/>
    <mergeCell ref="B38:B39"/>
    <mergeCell ref="K40:K41"/>
    <mergeCell ref="B40:B41"/>
    <mergeCell ref="D40:D41"/>
    <mergeCell ref="E40:E41"/>
    <mergeCell ref="F40:F41"/>
    <mergeCell ref="H40:H41"/>
    <mergeCell ref="I40:I41"/>
    <mergeCell ref="D38:D39"/>
    <mergeCell ref="E38:E39"/>
    <mergeCell ref="F38:F39"/>
    <mergeCell ref="H38:H39"/>
    <mergeCell ref="I38:I39"/>
    <mergeCell ref="K38:K3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79544-B1F7-4E3B-B68D-444590272366}">
  <sheetPr>
    <tabColor theme="5" tint="0.39997558519241921"/>
  </sheetPr>
  <dimension ref="A1:M49"/>
  <sheetViews>
    <sheetView topLeftCell="J9" workbookViewId="0">
      <selection activeCell="A42" sqref="A42:A49"/>
    </sheetView>
  </sheetViews>
  <sheetFormatPr baseColWidth="10" defaultColWidth="8.83203125" defaultRowHeight="15" x14ac:dyDescent="0.2"/>
  <cols>
    <col min="1" max="1" width="16.1640625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2" max="12" width="9"/>
    <col min="13" max="13" width="13.6640625" customWidth="1"/>
  </cols>
  <sheetData>
    <row r="1" spans="1:13" ht="16" x14ac:dyDescent="0.2">
      <c r="A1" s="2" t="s">
        <v>51</v>
      </c>
      <c r="B1" s="6" t="s">
        <v>2</v>
      </c>
      <c r="C1" s="3" t="s">
        <v>40</v>
      </c>
      <c r="D1" s="2" t="s">
        <v>4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 x14ac:dyDescent="0.2">
      <c r="A2" s="34" t="s">
        <v>64</v>
      </c>
      <c r="B2" s="39">
        <v>1</v>
      </c>
      <c r="C2" s="17">
        <v>31.79</v>
      </c>
      <c r="D2" s="37">
        <f>AVERAGE(C2:C3)</f>
        <v>31.64</v>
      </c>
      <c r="E2" s="37">
        <v>17.190287859484446</v>
      </c>
      <c r="F2" s="50">
        <f>D2-E2</f>
        <v>14.449712140515555</v>
      </c>
      <c r="G2" s="37">
        <f>AVERAGE(F2:F9)</f>
        <v>14.713565947634367</v>
      </c>
      <c r="H2" s="37">
        <f>F2-$G$2</f>
        <v>-0.2638538071188119</v>
      </c>
      <c r="I2" s="49">
        <f>2^-(H2)</f>
        <v>1.200681752416213</v>
      </c>
      <c r="J2" s="37">
        <f>AVERAGE(I2:I9)</f>
        <v>1.0918528539709644</v>
      </c>
      <c r="K2" s="35">
        <f>I2/$J$2</f>
        <v>1.0996735943396112</v>
      </c>
      <c r="L2" s="37">
        <f>AVERAGE(K2:K9)</f>
        <v>1</v>
      </c>
      <c r="M2" s="35">
        <f>STDEV(K2:K9)/4</f>
        <v>0.12288164657405602</v>
      </c>
    </row>
    <row r="3" spans="1:13" x14ac:dyDescent="0.2">
      <c r="A3" s="34" t="s">
        <v>64</v>
      </c>
      <c r="B3" s="39"/>
      <c r="C3" s="17">
        <v>31.49</v>
      </c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x14ac:dyDescent="0.2">
      <c r="A4" s="34" t="s">
        <v>64</v>
      </c>
      <c r="B4" s="36" t="s">
        <v>9</v>
      </c>
      <c r="C4" s="17">
        <v>30.83</v>
      </c>
      <c r="D4" s="37">
        <f>AVERAGE(C4:C5)</f>
        <v>31.024999999999999</v>
      </c>
      <c r="E4" s="37">
        <v>17.164287644881519</v>
      </c>
      <c r="F4" s="50">
        <f t="shared" ref="F4" si="0">D4-E4</f>
        <v>13.86071235511848</v>
      </c>
      <c r="G4" s="37"/>
      <c r="H4" s="37">
        <f t="shared" ref="H4" si="1">F4-$G$2</f>
        <v>-0.85285359251588666</v>
      </c>
      <c r="I4" s="49">
        <f>2^-(H4)</f>
        <v>1.8060697275529676</v>
      </c>
      <c r="J4" s="37"/>
      <c r="K4" s="35">
        <f>I4/$J$2</f>
        <v>1.6541328998541009</v>
      </c>
      <c r="L4" s="37"/>
      <c r="M4" s="35"/>
    </row>
    <row r="5" spans="1:13" x14ac:dyDescent="0.2">
      <c r="A5" s="34" t="s">
        <v>64</v>
      </c>
      <c r="B5" s="36"/>
      <c r="C5" s="17">
        <v>31.22</v>
      </c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x14ac:dyDescent="0.2">
      <c r="A6" s="34" t="s">
        <v>64</v>
      </c>
      <c r="B6" s="36" t="s">
        <v>10</v>
      </c>
      <c r="C6" s="17">
        <v>31.21</v>
      </c>
      <c r="D6" s="37">
        <f>AVERAGE(C6:C7)</f>
        <v>31.09</v>
      </c>
      <c r="E6" s="37">
        <v>15.905719176330518</v>
      </c>
      <c r="F6" s="50">
        <f t="shared" ref="F6" si="2">D6-E6</f>
        <v>15.184280823669482</v>
      </c>
      <c r="G6" s="37"/>
      <c r="H6" s="37">
        <f t="shared" ref="H6" si="3">F6-$G$2</f>
        <v>0.47071487603511564</v>
      </c>
      <c r="I6" s="49">
        <f>2^-(H6)</f>
        <v>0.72160694259199543</v>
      </c>
      <c r="J6" s="37"/>
      <c r="K6" s="35">
        <f>I6/$J$2</f>
        <v>0.66090127434990897</v>
      </c>
      <c r="L6" s="37"/>
      <c r="M6" s="35"/>
    </row>
    <row r="7" spans="1:13" x14ac:dyDescent="0.2">
      <c r="A7" s="34" t="s">
        <v>64</v>
      </c>
      <c r="B7" s="36"/>
      <c r="C7" s="17">
        <v>30.97</v>
      </c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x14ac:dyDescent="0.2">
      <c r="A8" s="34" t="s">
        <v>64</v>
      </c>
      <c r="B8" s="36" t="s">
        <v>11</v>
      </c>
      <c r="C8" s="17">
        <v>31.33</v>
      </c>
      <c r="D8" s="37">
        <f>AVERAGE(C8:C9)</f>
        <v>31.409999999999997</v>
      </c>
      <c r="E8" s="37">
        <v>16.050441528766051</v>
      </c>
      <c r="F8" s="50">
        <f t="shared" ref="F8" si="4">D8-E8</f>
        <v>15.359558471233946</v>
      </c>
      <c r="G8" s="37"/>
      <c r="H8" s="37">
        <f t="shared" ref="H8:H40" si="5">F8-$G$2</f>
        <v>0.64599252359957937</v>
      </c>
      <c r="I8" s="49">
        <f>2^-(H8)</f>
        <v>0.63905299332268151</v>
      </c>
      <c r="J8" s="37"/>
      <c r="K8" s="35">
        <f>I8/$J$2</f>
        <v>0.58529223145637888</v>
      </c>
      <c r="L8" s="37"/>
      <c r="M8" s="35"/>
    </row>
    <row r="9" spans="1:13" ht="15" customHeight="1" x14ac:dyDescent="0.2">
      <c r="A9" s="34" t="s">
        <v>64</v>
      </c>
      <c r="B9" s="36"/>
      <c r="C9" s="18">
        <v>31.49</v>
      </c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4" t="s">
        <v>63</v>
      </c>
      <c r="B10" s="36" t="s">
        <v>13</v>
      </c>
      <c r="C10" s="17">
        <v>31.99</v>
      </c>
      <c r="D10" s="37">
        <f>AVERAGE(C10:C11)</f>
        <v>32.21</v>
      </c>
      <c r="E10" s="37">
        <v>17.143829345000096</v>
      </c>
      <c r="F10" s="50">
        <f t="shared" ref="F10" si="6">D10-E10</f>
        <v>15.066170654999905</v>
      </c>
      <c r="G10" s="8"/>
      <c r="H10" s="37">
        <f t="shared" si="5"/>
        <v>0.35260470736553806</v>
      </c>
      <c r="I10" s="49">
        <f>2^-(H10)</f>
        <v>0.78316885197474284</v>
      </c>
      <c r="J10" s="37"/>
      <c r="K10" s="35">
        <f>I10/$J$2</f>
        <v>0.71728424679793856</v>
      </c>
      <c r="L10" s="37">
        <f t="shared" ref="L10" si="7">AVERAGE(K10:K17)</f>
        <v>1.6111580482753221</v>
      </c>
      <c r="M10" s="35">
        <f t="shared" ref="M10" si="8">STDEV(K10:K17)/4</f>
        <v>0.19625478225926279</v>
      </c>
    </row>
    <row r="11" spans="1:13" ht="15" customHeight="1" x14ac:dyDescent="0.2">
      <c r="A11" s="34" t="s">
        <v>63</v>
      </c>
      <c r="B11" s="36"/>
      <c r="C11" s="17">
        <v>32.43</v>
      </c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4" t="s">
        <v>63</v>
      </c>
      <c r="B12" s="36" t="s">
        <v>14</v>
      </c>
      <c r="C12" s="17">
        <v>31.01</v>
      </c>
      <c r="D12" s="37">
        <f>AVERAGE(C12:C13)</f>
        <v>31.215000000000003</v>
      </c>
      <c r="E12" s="37">
        <v>17.978019717604003</v>
      </c>
      <c r="F12" s="50">
        <f t="shared" ref="F12" si="9">D12-E12</f>
        <v>13.236980282396001</v>
      </c>
      <c r="G12" s="8"/>
      <c r="H12" s="37">
        <f t="shared" si="5"/>
        <v>-1.4765856652383658</v>
      </c>
      <c r="I12" s="49">
        <f>2^-(H12)</f>
        <v>2.7828934358814279</v>
      </c>
      <c r="J12" s="37"/>
      <c r="K12" s="35">
        <f>I12/$J$2</f>
        <v>2.5487806582730546</v>
      </c>
      <c r="L12" s="37"/>
      <c r="M12" s="35"/>
    </row>
    <row r="13" spans="1:13" ht="15" customHeight="1" x14ac:dyDescent="0.2">
      <c r="A13" s="34" t="s">
        <v>63</v>
      </c>
      <c r="B13" s="36"/>
      <c r="C13" s="17">
        <v>31.42</v>
      </c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4" t="s">
        <v>63</v>
      </c>
      <c r="B14" s="36" t="s">
        <v>15</v>
      </c>
      <c r="C14" s="17">
        <v>31.57</v>
      </c>
      <c r="D14" s="37">
        <f>AVERAGE(C14:C15)</f>
        <v>32.185000000000002</v>
      </c>
      <c r="E14" s="37">
        <v>17.974532197115273</v>
      </c>
      <c r="F14" s="50">
        <f t="shared" ref="F14" si="10">D14-E14</f>
        <v>14.210467802884729</v>
      </c>
      <c r="G14" s="8"/>
      <c r="H14" s="37">
        <f t="shared" si="5"/>
        <v>-0.50309814474963765</v>
      </c>
      <c r="I14" s="49">
        <f>2^-(H14)</f>
        <v>1.417253807242977</v>
      </c>
      <c r="J14" s="37"/>
      <c r="K14" s="35">
        <f>I14/$J$2</f>
        <v>1.2980263797347422</v>
      </c>
      <c r="L14" s="37"/>
      <c r="M14" s="35"/>
    </row>
    <row r="15" spans="1:13" ht="15" customHeight="1" x14ac:dyDescent="0.2">
      <c r="A15" s="34" t="s">
        <v>63</v>
      </c>
      <c r="B15" s="36"/>
      <c r="C15" s="17">
        <v>32.799999999999997</v>
      </c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4" t="s">
        <v>63</v>
      </c>
      <c r="B16" s="36" t="s">
        <v>16</v>
      </c>
      <c r="C16" s="17">
        <v>30.86</v>
      </c>
      <c r="D16" s="37">
        <f>AVERAGE(C16:C17)</f>
        <v>30.994999999999997</v>
      </c>
      <c r="E16" s="37">
        <v>17.319360183997457</v>
      </c>
      <c r="F16" s="50">
        <f t="shared" ref="F16" si="11">D16-E16</f>
        <v>13.675639816002541</v>
      </c>
      <c r="G16" s="8"/>
      <c r="H16" s="37">
        <f t="shared" si="5"/>
        <v>-1.037926131631826</v>
      </c>
      <c r="I16" s="49">
        <f>2^-(H16)</f>
        <v>2.0532739577316481</v>
      </c>
      <c r="J16" s="37"/>
      <c r="K16" s="35">
        <f>I16/$J$2</f>
        <v>1.880540908295552</v>
      </c>
      <c r="L16" s="37"/>
      <c r="M16" s="35"/>
    </row>
    <row r="17" spans="1:13" ht="15" customHeight="1" x14ac:dyDescent="0.2">
      <c r="A17" s="34" t="s">
        <v>63</v>
      </c>
      <c r="B17" s="36"/>
      <c r="C17" s="18">
        <v>31.13</v>
      </c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19" t="s">
        <v>53</v>
      </c>
      <c r="B18" s="36" t="s">
        <v>18</v>
      </c>
      <c r="C18" s="17">
        <v>32.14</v>
      </c>
      <c r="D18" s="37">
        <f>AVERAGE(C18:C19)</f>
        <v>31.92</v>
      </c>
      <c r="E18" s="37">
        <v>19.205252186246113</v>
      </c>
      <c r="F18" s="50">
        <f t="shared" ref="F18" si="12">D18-E18</f>
        <v>12.714747813753888</v>
      </c>
      <c r="G18" s="8"/>
      <c r="H18" s="37">
        <f t="shared" si="5"/>
        <v>-1.9988181338804782</v>
      </c>
      <c r="I18" s="49">
        <f>2^-(H18)</f>
        <v>3.9967245131601481</v>
      </c>
      <c r="J18" s="37"/>
      <c r="K18" s="35">
        <f>I18/$J$2</f>
        <v>3.6604973816979487</v>
      </c>
      <c r="L18" s="37">
        <f t="shared" ref="L18" si="13">AVERAGE(K18:K25)</f>
        <v>1.637512036704772</v>
      </c>
      <c r="M18" s="35">
        <f>STDEV(K18:K25)/4</f>
        <v>0.33836894644147658</v>
      </c>
    </row>
    <row r="19" spans="1:13" ht="15" customHeight="1" x14ac:dyDescent="0.2">
      <c r="A19" s="19" t="s">
        <v>53</v>
      </c>
      <c r="B19" s="36"/>
      <c r="C19" s="17">
        <v>31.7</v>
      </c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19" t="s">
        <v>53</v>
      </c>
      <c r="B20" s="36" t="s">
        <v>19</v>
      </c>
      <c r="C20" s="17">
        <v>31.67</v>
      </c>
      <c r="D20" s="37">
        <f>AVERAGE(C20:C21)</f>
        <v>31.93</v>
      </c>
      <c r="E20" s="37">
        <v>17.51825332356341</v>
      </c>
      <c r="F20" s="50">
        <f t="shared" ref="F20" si="14">D20-E20</f>
        <v>14.411746676436589</v>
      </c>
      <c r="G20" s="8"/>
      <c r="H20" s="37"/>
      <c r="I20" s="49">
        <f>2^-(H20)</f>
        <v>1</v>
      </c>
      <c r="J20" s="37"/>
      <c r="K20" s="35">
        <f>I20/$J$2</f>
        <v>0.91587432900238852</v>
      </c>
      <c r="L20" s="37"/>
      <c r="M20" s="35"/>
    </row>
    <row r="21" spans="1:13" ht="15" customHeight="1" x14ac:dyDescent="0.2">
      <c r="A21" s="20" t="s">
        <v>53</v>
      </c>
      <c r="B21" s="36"/>
      <c r="C21" s="17">
        <v>32.19</v>
      </c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20" t="s">
        <v>53</v>
      </c>
      <c r="B22" s="36" t="s">
        <v>20</v>
      </c>
      <c r="C22" s="17">
        <v>31.93</v>
      </c>
      <c r="D22" s="37">
        <f>AVERAGE(C22:C23)</f>
        <v>32.265000000000001</v>
      </c>
      <c r="E22" s="37">
        <v>17.449205574599276</v>
      </c>
      <c r="F22" s="50">
        <f t="shared" ref="F22" si="15">D22-E22</f>
        <v>14.815794425400725</v>
      </c>
      <c r="G22" s="8"/>
      <c r="H22" s="37">
        <f t="shared" si="5"/>
        <v>0.10222847776635824</v>
      </c>
      <c r="I22" s="49">
        <f>2^-(H22)</f>
        <v>0.93159288244972238</v>
      </c>
      <c r="J22" s="37"/>
      <c r="K22" s="35">
        <f>I22/$J$2</f>
        <v>0.85322200611704058</v>
      </c>
      <c r="L22" s="37"/>
      <c r="M22" s="35"/>
    </row>
    <row r="23" spans="1:13" ht="15" customHeight="1" x14ac:dyDescent="0.2">
      <c r="A23" s="20" t="s">
        <v>53</v>
      </c>
      <c r="B23" s="36"/>
      <c r="C23" s="17">
        <v>32.6</v>
      </c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20" t="s">
        <v>53</v>
      </c>
      <c r="B24" s="36" t="s">
        <v>21</v>
      </c>
      <c r="C24" s="17">
        <v>31.46</v>
      </c>
      <c r="D24" s="37">
        <f>AVERAGE(C24:C25)</f>
        <v>31.315000000000001</v>
      </c>
      <c r="E24" s="37">
        <v>16.892296467846915</v>
      </c>
      <c r="F24" s="50">
        <f t="shared" ref="F24" si="16">D24-E24</f>
        <v>14.422703532153086</v>
      </c>
      <c r="G24" s="8"/>
      <c r="H24" s="37">
        <f t="shared" si="5"/>
        <v>-0.29086241548128022</v>
      </c>
      <c r="I24" s="49">
        <f>2^-(H24)</f>
        <v>1.2233713671417763</v>
      </c>
      <c r="J24" s="37"/>
      <c r="K24" s="35">
        <f>I24/$J$2</f>
        <v>1.1204544300017092</v>
      </c>
      <c r="L24" s="37"/>
      <c r="M24" s="35"/>
    </row>
    <row r="25" spans="1:13" ht="15" customHeight="1" x14ac:dyDescent="0.2">
      <c r="A25" s="20" t="s">
        <v>53</v>
      </c>
      <c r="B25" s="36"/>
      <c r="C25" s="18">
        <v>31.17</v>
      </c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19" t="s">
        <v>54</v>
      </c>
      <c r="B26" s="36" t="s">
        <v>23</v>
      </c>
      <c r="C26" s="17">
        <v>31.77</v>
      </c>
      <c r="D26" s="37">
        <f>AVERAGE(C26:C27)</f>
        <v>31.234999999999999</v>
      </c>
      <c r="E26" s="37">
        <v>17.460951826505497</v>
      </c>
      <c r="F26" s="50">
        <f t="shared" ref="F26" si="17">D26-E26</f>
        <v>13.774048173494503</v>
      </c>
      <c r="G26" s="8"/>
      <c r="H26" s="37">
        <f t="shared" si="5"/>
        <v>-0.9395177741398637</v>
      </c>
      <c r="I26" s="49">
        <f>2^-(H26)</f>
        <v>1.9178870710430651</v>
      </c>
      <c r="J26" s="37"/>
      <c r="K26" s="35">
        <f>I26/$J$2</f>
        <v>1.7565435342939235</v>
      </c>
      <c r="L26" s="37">
        <f>AVERAGE(K26:K33)</f>
        <v>1.8730376191243299</v>
      </c>
      <c r="M26" s="35">
        <f>STDEV(K26:K33)/4</f>
        <v>5.2883959731836995E-2</v>
      </c>
    </row>
    <row r="27" spans="1:13" ht="15" customHeight="1" x14ac:dyDescent="0.2">
      <c r="A27" s="19" t="s">
        <v>54</v>
      </c>
      <c r="B27" s="36"/>
      <c r="C27" s="17">
        <v>30.7</v>
      </c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19" t="s">
        <v>54</v>
      </c>
      <c r="B28" s="36" t="s">
        <v>24</v>
      </c>
      <c r="C28" s="17">
        <v>31.61</v>
      </c>
      <c r="D28" s="37">
        <f>AVERAGE(C28:C29)</f>
        <v>31.314999999999998</v>
      </c>
      <c r="E28" s="37">
        <v>17.8103787466741</v>
      </c>
      <c r="F28" s="50">
        <f>D28-E28</f>
        <v>13.504621253325897</v>
      </c>
      <c r="G28" s="8"/>
      <c r="H28" s="37">
        <f t="shared" si="5"/>
        <v>-1.2089446943084692</v>
      </c>
      <c r="I28" s="49">
        <f>2^-(H28)</f>
        <v>2.3116847930110751</v>
      </c>
      <c r="J28" s="37"/>
      <c r="K28" s="35">
        <f>I28/$J$2</f>
        <v>2.1172127586640439</v>
      </c>
      <c r="L28" s="37"/>
      <c r="M28" s="35"/>
    </row>
    <row r="29" spans="1:13" ht="15" customHeight="1" x14ac:dyDescent="0.2">
      <c r="A29" s="19" t="s">
        <v>54</v>
      </c>
      <c r="B29" s="36"/>
      <c r="C29" s="17">
        <v>31.02</v>
      </c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19" t="s">
        <v>54</v>
      </c>
      <c r="B30" s="36" t="s">
        <v>25</v>
      </c>
      <c r="C30" s="17">
        <v>31.44</v>
      </c>
      <c r="D30" s="37">
        <f>AVERAGE(C30:C31)</f>
        <v>31.42</v>
      </c>
      <c r="E30" s="37">
        <v>17.636734292930214</v>
      </c>
      <c r="F30" s="50">
        <f t="shared" ref="F30" si="18">D30-E30</f>
        <v>13.783265707069788</v>
      </c>
      <c r="G30" s="8"/>
      <c r="H30" s="37">
        <f t="shared" si="5"/>
        <v>-0.93030024056457883</v>
      </c>
      <c r="I30" s="49">
        <f>2^-(H30)</f>
        <v>1.9056725460534998</v>
      </c>
      <c r="J30" s="37"/>
      <c r="K30" s="35">
        <f>I30/$J$2</f>
        <v>1.7453565644150226</v>
      </c>
      <c r="L30" s="37"/>
      <c r="M30" s="35"/>
    </row>
    <row r="31" spans="1:13" ht="15" customHeight="1" x14ac:dyDescent="0.2">
      <c r="A31" s="19" t="s">
        <v>54</v>
      </c>
      <c r="B31" s="36"/>
      <c r="C31" s="17">
        <v>31.4</v>
      </c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19" t="s">
        <v>54</v>
      </c>
      <c r="B32" s="36" t="s">
        <v>26</v>
      </c>
      <c r="C32" s="21">
        <v>0</v>
      </c>
      <c r="D32" s="37">
        <f>AVERAGE(C32:C33)</f>
        <v>0</v>
      </c>
      <c r="E32" s="37">
        <v>18.397647607932122</v>
      </c>
      <c r="F32" s="50">
        <f t="shared" ref="F32" si="19">D32-E32</f>
        <v>-18.397647607932122</v>
      </c>
      <c r="G32" s="8"/>
      <c r="H32" s="37">
        <f t="shared" si="5"/>
        <v>-33.111213555566486</v>
      </c>
      <c r="I32" s="49">
        <f>2^-(H32)</f>
        <v>9278301332.8379002</v>
      </c>
      <c r="J32" s="37"/>
      <c r="K32" s="35"/>
      <c r="L32" s="37"/>
      <c r="M32" s="35"/>
    </row>
    <row r="33" spans="1:13" ht="15" customHeight="1" x14ac:dyDescent="0.2">
      <c r="A33" s="19" t="s">
        <v>54</v>
      </c>
      <c r="B33" s="36"/>
      <c r="C33" s="22">
        <v>0</v>
      </c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19" t="s">
        <v>55</v>
      </c>
      <c r="B34" s="36" t="s">
        <v>28</v>
      </c>
      <c r="C34" s="17">
        <v>32.270000000000003</v>
      </c>
      <c r="D34" s="37">
        <f>AVERAGE(C34:C35)</f>
        <v>32.465000000000003</v>
      </c>
      <c r="E34" s="37">
        <v>16.509506697394823</v>
      </c>
      <c r="F34" s="50">
        <f t="shared" ref="F34" si="20">D34-E34</f>
        <v>15.955493302605181</v>
      </c>
      <c r="G34" s="8"/>
      <c r="H34" s="37">
        <f t="shared" si="5"/>
        <v>1.2419273549708141</v>
      </c>
      <c r="I34" s="49">
        <f>2^-(H34)</f>
        <v>0.42280743307019686</v>
      </c>
      <c r="J34" s="37"/>
      <c r="K34" s="35">
        <f>I34/$J$2</f>
        <v>0.38723847406038886</v>
      </c>
      <c r="L34" s="37">
        <f t="shared" ref="L34" si="21">AVERAGE(K34:K41)</f>
        <v>2.8067363011154103</v>
      </c>
      <c r="M34" s="35">
        <f t="shared" ref="M34" si="22">STDEV(K34:K41)/4</f>
        <v>0.42265607391884602</v>
      </c>
    </row>
    <row r="35" spans="1:13" ht="15" customHeight="1" x14ac:dyDescent="0.2">
      <c r="A35" s="19" t="s">
        <v>55</v>
      </c>
      <c r="B35" s="36"/>
      <c r="C35" s="17">
        <v>32.659999999999997</v>
      </c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19" t="s">
        <v>55</v>
      </c>
      <c r="B36" s="36" t="s">
        <v>29</v>
      </c>
      <c r="C36" s="17">
        <v>31.34</v>
      </c>
      <c r="D36" s="37">
        <f>AVERAGE(C36:C37)</f>
        <v>31.27</v>
      </c>
      <c r="E36" s="37">
        <v>18.343164352268513</v>
      </c>
      <c r="F36" s="50">
        <f t="shared" ref="F36" si="23">D36-E36</f>
        <v>12.926835647731487</v>
      </c>
      <c r="G36" s="8"/>
      <c r="H36" s="37">
        <f t="shared" si="5"/>
        <v>-1.7867302999028798</v>
      </c>
      <c r="I36" s="49">
        <f>2^-(H36)</f>
        <v>3.4503203085745562</v>
      </c>
      <c r="J36" s="37"/>
      <c r="K36" s="35">
        <f>I36/$J$2</f>
        <v>3.1600597974590361</v>
      </c>
      <c r="L36" s="37"/>
      <c r="M36" s="35"/>
    </row>
    <row r="37" spans="1:13" ht="15" customHeight="1" x14ac:dyDescent="0.2">
      <c r="A37" s="19" t="s">
        <v>55</v>
      </c>
      <c r="B37" s="36"/>
      <c r="C37" s="17">
        <v>31.2</v>
      </c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19" t="s">
        <v>55</v>
      </c>
      <c r="B38" s="36" t="s">
        <v>30</v>
      </c>
      <c r="C38" s="17">
        <v>30.29</v>
      </c>
      <c r="D38" s="37">
        <f>AVERAGE(C38:C39)</f>
        <v>30.344999999999999</v>
      </c>
      <c r="E38" s="37">
        <v>17.506489233409525</v>
      </c>
      <c r="F38" s="50">
        <f t="shared" ref="F38" si="24">D38-E38</f>
        <v>12.838510766590474</v>
      </c>
      <c r="G38" s="8"/>
      <c r="H38" s="37">
        <f t="shared" si="5"/>
        <v>-1.8750551810438925</v>
      </c>
      <c r="I38" s="49">
        <f>2^-(H38)</f>
        <v>3.6681564719301356</v>
      </c>
      <c r="J38" s="37"/>
      <c r="K38" s="35">
        <f>I38/$J$2</f>
        <v>3.359570347404782</v>
      </c>
      <c r="L38" s="37"/>
      <c r="M38" s="35"/>
    </row>
    <row r="39" spans="1:13" ht="15" customHeight="1" x14ac:dyDescent="0.2">
      <c r="A39" s="19" t="s">
        <v>55</v>
      </c>
      <c r="B39" s="36"/>
      <c r="C39" s="17">
        <v>30.4</v>
      </c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19" t="s">
        <v>55</v>
      </c>
      <c r="B40" s="36" t="s">
        <v>31</v>
      </c>
      <c r="C40" s="17">
        <v>31.04</v>
      </c>
      <c r="D40" s="37">
        <f>AVERAGE(C40:C41)</f>
        <v>31.184999999999999</v>
      </c>
      <c r="E40" s="37">
        <v>18.70926938210307</v>
      </c>
      <c r="F40" s="50">
        <f t="shared" ref="F40" si="25">D40-E40</f>
        <v>12.475730617896929</v>
      </c>
      <c r="G40" s="8"/>
      <c r="H40" s="37">
        <f t="shared" si="5"/>
        <v>-2.2378353297374378</v>
      </c>
      <c r="I40" s="49">
        <f>2^-(H40)</f>
        <v>4.7168879492921869</v>
      </c>
      <c r="J40" s="37"/>
      <c r="K40" s="35">
        <f>I40/$J$2</f>
        <v>4.3200765855374339</v>
      </c>
      <c r="L40" s="37"/>
      <c r="M40" s="35"/>
    </row>
    <row r="41" spans="1:13" ht="15" customHeight="1" x14ac:dyDescent="0.2">
      <c r="A41" s="19" t="s">
        <v>55</v>
      </c>
      <c r="B41" s="36"/>
      <c r="C41" s="18">
        <v>31.33</v>
      </c>
      <c r="D41" s="37"/>
      <c r="E41" s="37"/>
      <c r="F41" s="50"/>
      <c r="G41" s="8"/>
      <c r="H41" s="37"/>
      <c r="I41" s="49"/>
      <c r="J41" s="37"/>
      <c r="K41" s="35"/>
      <c r="L41" s="37"/>
      <c r="M41" s="35"/>
    </row>
    <row r="42" spans="1:13" x14ac:dyDescent="0.2">
      <c r="A42" s="33" t="s">
        <v>56</v>
      </c>
    </row>
    <row r="43" spans="1:13" x14ac:dyDescent="0.2">
      <c r="A43" s="32" t="s">
        <v>56</v>
      </c>
    </row>
    <row r="44" spans="1:13" x14ac:dyDescent="0.2">
      <c r="A44" s="32" t="s">
        <v>56</v>
      </c>
    </row>
    <row r="45" spans="1:13" x14ac:dyDescent="0.2">
      <c r="A45" s="32" t="s">
        <v>56</v>
      </c>
    </row>
    <row r="46" spans="1:13" x14ac:dyDescent="0.2">
      <c r="A46" s="32" t="s">
        <v>56</v>
      </c>
    </row>
    <row r="47" spans="1:13" x14ac:dyDescent="0.2">
      <c r="A47" s="32" t="s">
        <v>56</v>
      </c>
    </row>
    <row r="48" spans="1:13" x14ac:dyDescent="0.2">
      <c r="A48" s="32" t="s">
        <v>56</v>
      </c>
    </row>
    <row r="49" spans="1:1" x14ac:dyDescent="0.2">
      <c r="A49" s="32" t="s">
        <v>56</v>
      </c>
    </row>
  </sheetData>
  <mergeCells count="156">
    <mergeCell ref="L2:L9"/>
    <mergeCell ref="M2:M9"/>
    <mergeCell ref="H4:H5"/>
    <mergeCell ref="I4:I5"/>
    <mergeCell ref="K4:K5"/>
    <mergeCell ref="K6:K7"/>
    <mergeCell ref="B2:B3"/>
    <mergeCell ref="D2:D3"/>
    <mergeCell ref="E2:E3"/>
    <mergeCell ref="F2:F3"/>
    <mergeCell ref="G2:G9"/>
    <mergeCell ref="B4:B5"/>
    <mergeCell ref="D4:D5"/>
    <mergeCell ref="E4:E5"/>
    <mergeCell ref="F4:F5"/>
    <mergeCell ref="B6:B7"/>
    <mergeCell ref="D6:D7"/>
    <mergeCell ref="E6:E7"/>
    <mergeCell ref="F6:F7"/>
    <mergeCell ref="H6:H7"/>
    <mergeCell ref="I6:I7"/>
    <mergeCell ref="H2:H3"/>
    <mergeCell ref="I2:I3"/>
    <mergeCell ref="J2:J9"/>
    <mergeCell ref="I10:I11"/>
    <mergeCell ref="J10:J17"/>
    <mergeCell ref="K10:K11"/>
    <mergeCell ref="B8:B9"/>
    <mergeCell ref="D8:D9"/>
    <mergeCell ref="E8:E9"/>
    <mergeCell ref="F8:F9"/>
    <mergeCell ref="H8:H9"/>
    <mergeCell ref="I8:I9"/>
    <mergeCell ref="D14:D15"/>
    <mergeCell ref="E14:E15"/>
    <mergeCell ref="F14:F15"/>
    <mergeCell ref="H14:H15"/>
    <mergeCell ref="I14:I15"/>
    <mergeCell ref="K14:K15"/>
    <mergeCell ref="K2:K3"/>
    <mergeCell ref="L10:L17"/>
    <mergeCell ref="M10:M17"/>
    <mergeCell ref="B12:B13"/>
    <mergeCell ref="D12:D13"/>
    <mergeCell ref="E12:E13"/>
    <mergeCell ref="F12:F13"/>
    <mergeCell ref="H12:H13"/>
    <mergeCell ref="I12:I13"/>
    <mergeCell ref="K12:K13"/>
    <mergeCell ref="B14:B15"/>
    <mergeCell ref="K16:K17"/>
    <mergeCell ref="B16:B17"/>
    <mergeCell ref="D16:D17"/>
    <mergeCell ref="E16:E17"/>
    <mergeCell ref="F16:F17"/>
    <mergeCell ref="H16:H17"/>
    <mergeCell ref="I16:I17"/>
    <mergeCell ref="K8:K9"/>
    <mergeCell ref="B10:B11"/>
    <mergeCell ref="D10:D11"/>
    <mergeCell ref="E10:E11"/>
    <mergeCell ref="F10:F11"/>
    <mergeCell ref="H10:H11"/>
    <mergeCell ref="L18:L25"/>
    <mergeCell ref="M18:M25"/>
    <mergeCell ref="B20:B21"/>
    <mergeCell ref="D20:D21"/>
    <mergeCell ref="E20:E21"/>
    <mergeCell ref="F20:F21"/>
    <mergeCell ref="H20:H21"/>
    <mergeCell ref="I20:I21"/>
    <mergeCell ref="K20:K21"/>
    <mergeCell ref="B22:B23"/>
    <mergeCell ref="K24:K25"/>
    <mergeCell ref="B18:B19"/>
    <mergeCell ref="D18:D19"/>
    <mergeCell ref="E18:E19"/>
    <mergeCell ref="F18:F19"/>
    <mergeCell ref="H18:H19"/>
    <mergeCell ref="I18:I19"/>
    <mergeCell ref="J18:J25"/>
    <mergeCell ref="K18:K19"/>
    <mergeCell ref="K22:K23"/>
    <mergeCell ref="B24:B25"/>
    <mergeCell ref="D24:D25"/>
    <mergeCell ref="E24:E25"/>
    <mergeCell ref="F24:F25"/>
    <mergeCell ref="H24:H25"/>
    <mergeCell ref="I24:I25"/>
    <mergeCell ref="D30:D31"/>
    <mergeCell ref="E30:E31"/>
    <mergeCell ref="F30:F31"/>
    <mergeCell ref="H30:H31"/>
    <mergeCell ref="I30:I31"/>
    <mergeCell ref="D22:D23"/>
    <mergeCell ref="E22:E23"/>
    <mergeCell ref="F22:F23"/>
    <mergeCell ref="H22:H23"/>
    <mergeCell ref="I22:I23"/>
    <mergeCell ref="L26:L33"/>
    <mergeCell ref="M26:M33"/>
    <mergeCell ref="B28:B29"/>
    <mergeCell ref="D28:D29"/>
    <mergeCell ref="E28:E29"/>
    <mergeCell ref="F28:F29"/>
    <mergeCell ref="H28:H29"/>
    <mergeCell ref="I28:I29"/>
    <mergeCell ref="K28:K29"/>
    <mergeCell ref="B30:B31"/>
    <mergeCell ref="K32:K33"/>
    <mergeCell ref="B26:B27"/>
    <mergeCell ref="D26:D27"/>
    <mergeCell ref="E26:E27"/>
    <mergeCell ref="F26:F27"/>
    <mergeCell ref="H26:H27"/>
    <mergeCell ref="I26:I27"/>
    <mergeCell ref="J26:J33"/>
    <mergeCell ref="K26:K27"/>
    <mergeCell ref="K30:K31"/>
    <mergeCell ref="D34:D35"/>
    <mergeCell ref="E34:E35"/>
    <mergeCell ref="F34:F35"/>
    <mergeCell ref="H34:H35"/>
    <mergeCell ref="I34:I35"/>
    <mergeCell ref="J34:J41"/>
    <mergeCell ref="K34:K35"/>
    <mergeCell ref="B32:B33"/>
    <mergeCell ref="D32:D33"/>
    <mergeCell ref="E32:E33"/>
    <mergeCell ref="F32:F33"/>
    <mergeCell ref="H32:H33"/>
    <mergeCell ref="I32:I33"/>
    <mergeCell ref="L34:L41"/>
    <mergeCell ref="M34:M41"/>
    <mergeCell ref="B36:B37"/>
    <mergeCell ref="D36:D37"/>
    <mergeCell ref="E36:E37"/>
    <mergeCell ref="F36:F37"/>
    <mergeCell ref="H36:H37"/>
    <mergeCell ref="I36:I37"/>
    <mergeCell ref="K36:K37"/>
    <mergeCell ref="B38:B39"/>
    <mergeCell ref="K40:K41"/>
    <mergeCell ref="B40:B41"/>
    <mergeCell ref="D40:D41"/>
    <mergeCell ref="E40:E41"/>
    <mergeCell ref="F40:F41"/>
    <mergeCell ref="H40:H41"/>
    <mergeCell ref="I40:I41"/>
    <mergeCell ref="D38:D39"/>
    <mergeCell ref="E38:E39"/>
    <mergeCell ref="F38:F39"/>
    <mergeCell ref="H38:H39"/>
    <mergeCell ref="I38:I39"/>
    <mergeCell ref="K38:K39"/>
    <mergeCell ref="B34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7B82-D8AA-426A-AE38-A32A4AFFF6C6}">
  <sheetPr>
    <tabColor theme="5" tint="0.39997558519241921"/>
  </sheetPr>
  <dimension ref="A1:M52"/>
  <sheetViews>
    <sheetView topLeftCell="J12" workbookViewId="0">
      <selection activeCell="C58" sqref="C58"/>
    </sheetView>
  </sheetViews>
  <sheetFormatPr baseColWidth="10" defaultColWidth="8.83203125" defaultRowHeight="15" x14ac:dyDescent="0.2"/>
  <cols>
    <col min="1" max="1" width="16.1640625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2" max="12" width="9"/>
    <col min="13" max="13" width="13.6640625" customWidth="1"/>
  </cols>
  <sheetData>
    <row r="1" spans="1:13" ht="16" x14ac:dyDescent="0.2">
      <c r="A1" s="2" t="s">
        <v>51</v>
      </c>
      <c r="B1" s="6" t="s">
        <v>2</v>
      </c>
      <c r="C1" s="3" t="s">
        <v>40</v>
      </c>
      <c r="D1" s="2" t="s">
        <v>4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 ht="16" x14ac:dyDescent="0.2">
      <c r="A2" s="34" t="s">
        <v>64</v>
      </c>
      <c r="B2" s="39">
        <v>1</v>
      </c>
      <c r="C2" s="4">
        <v>27.7</v>
      </c>
      <c r="D2" s="37">
        <f>AVERAGE(C2:C3)</f>
        <v>28.195</v>
      </c>
      <c r="E2" s="37">
        <v>17.190287859484446</v>
      </c>
      <c r="F2" s="50">
        <f>D2-E2</f>
        <v>11.004712140515554</v>
      </c>
      <c r="G2" s="37">
        <f>AVERAGE(F2:F9)</f>
        <v>11.064815947634367</v>
      </c>
      <c r="H2" s="37">
        <f>F2-$G$2</f>
        <v>-6.0103807118812469E-2</v>
      </c>
      <c r="I2" s="49">
        <f>2^-(H2)</f>
        <v>1.0425407727163709</v>
      </c>
      <c r="J2" s="37">
        <f>AVERAGE(I2:I9)</f>
        <v>1.0278993786659953</v>
      </c>
      <c r="K2" s="35">
        <f>I2/$J$2</f>
        <v>1.0142439954282072</v>
      </c>
      <c r="L2" s="37">
        <f>AVERAGE(K2:K9)</f>
        <v>1</v>
      </c>
      <c r="M2" s="35">
        <f>STDEV(K2:K9)/4</f>
        <v>6.9782740775141724E-2</v>
      </c>
    </row>
    <row r="3" spans="1:13" ht="16" x14ac:dyDescent="0.2">
      <c r="A3" s="34" t="s">
        <v>64</v>
      </c>
      <c r="B3" s="39"/>
      <c r="C3" s="4">
        <v>28.69</v>
      </c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ht="16" x14ac:dyDescent="0.2">
      <c r="A4" s="34" t="s">
        <v>64</v>
      </c>
      <c r="B4" s="36" t="s">
        <v>9</v>
      </c>
      <c r="C4" s="4">
        <v>27.1</v>
      </c>
      <c r="D4" s="37">
        <f>AVERAGE(C4:C5)</f>
        <v>27.72</v>
      </c>
      <c r="E4" s="37">
        <v>17.164287644881519</v>
      </c>
      <c r="F4" s="50">
        <f t="shared" ref="F4" si="0">D4-E4</f>
        <v>10.55571235511848</v>
      </c>
      <c r="G4" s="37"/>
      <c r="H4" s="37">
        <f t="shared" ref="H4" si="1">F4-$G$2</f>
        <v>-0.50910359251588666</v>
      </c>
      <c r="I4" s="49">
        <f>2^-(H4)</f>
        <v>1.4231656477763481</v>
      </c>
      <c r="J4" s="37"/>
      <c r="K4" s="35">
        <f>I4/$J$2</f>
        <v>1.3845379006098126</v>
      </c>
      <c r="L4" s="37"/>
      <c r="M4" s="35"/>
    </row>
    <row r="5" spans="1:13" ht="16" x14ac:dyDescent="0.2">
      <c r="A5" s="34" t="s">
        <v>64</v>
      </c>
      <c r="B5" s="36"/>
      <c r="C5" s="4">
        <v>28.34</v>
      </c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ht="16" x14ac:dyDescent="0.2">
      <c r="A6" s="34" t="s">
        <v>64</v>
      </c>
      <c r="B6" s="36" t="s">
        <v>10</v>
      </c>
      <c r="C6" s="4">
        <v>27.34</v>
      </c>
      <c r="D6" s="37">
        <f>AVERAGE(C6:C7)</f>
        <v>27.155000000000001</v>
      </c>
      <c r="E6" s="37">
        <v>15.905719176330518</v>
      </c>
      <c r="F6" s="50">
        <f t="shared" ref="F6" si="2">D6-E6</f>
        <v>11.249280823669483</v>
      </c>
      <c r="G6" s="37"/>
      <c r="H6" s="37">
        <f t="shared" ref="H6" si="3">F6-$G$2</f>
        <v>0.18446487603511663</v>
      </c>
      <c r="I6" s="49">
        <f>2^-(H6)</f>
        <v>0.87997541558435921</v>
      </c>
      <c r="J6" s="37"/>
      <c r="K6" s="35">
        <f>I6/$J$2</f>
        <v>0.85609100836931007</v>
      </c>
      <c r="L6" s="37"/>
      <c r="M6" s="35"/>
    </row>
    <row r="7" spans="1:13" ht="16" x14ac:dyDescent="0.2">
      <c r="A7" s="34" t="s">
        <v>64</v>
      </c>
      <c r="B7" s="36"/>
      <c r="C7" s="4">
        <v>26.97</v>
      </c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ht="16" x14ac:dyDescent="0.2">
      <c r="A8" s="34" t="s">
        <v>64</v>
      </c>
      <c r="B8" s="36" t="s">
        <v>11</v>
      </c>
      <c r="C8" s="4">
        <v>27.09</v>
      </c>
      <c r="D8" s="37">
        <f>AVERAGE(C8:C9)</f>
        <v>27.5</v>
      </c>
      <c r="E8" s="37">
        <v>16.050441528766051</v>
      </c>
      <c r="F8" s="50">
        <f t="shared" ref="F8" si="4">D8-E8</f>
        <v>11.449558471233949</v>
      </c>
      <c r="G8" s="37"/>
      <c r="H8" s="37">
        <f t="shared" ref="H8:H48" si="5">F8-$G$2</f>
        <v>0.3847425235995825</v>
      </c>
      <c r="I8" s="49">
        <f>2^-(H8)</f>
        <v>0.7659156785869029</v>
      </c>
      <c r="J8" s="37"/>
      <c r="K8" s="35">
        <f>I8/$J$2</f>
        <v>0.74512709559266965</v>
      </c>
      <c r="L8" s="37"/>
      <c r="M8" s="35"/>
    </row>
    <row r="9" spans="1:13" ht="15" customHeight="1" x14ac:dyDescent="0.2">
      <c r="A9" s="34" t="s">
        <v>64</v>
      </c>
      <c r="B9" s="36"/>
      <c r="C9" s="4">
        <v>27.91</v>
      </c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4" t="s">
        <v>63</v>
      </c>
      <c r="B10" s="36" t="s">
        <v>13</v>
      </c>
      <c r="C10" s="4">
        <v>28.19</v>
      </c>
      <c r="D10" s="37">
        <f>AVERAGE(C10:C11)</f>
        <v>28.375</v>
      </c>
      <c r="E10" s="37">
        <v>17.143829345000096</v>
      </c>
      <c r="F10" s="50">
        <f t="shared" ref="F10" si="6">D10-E10</f>
        <v>11.231170654999904</v>
      </c>
      <c r="G10" s="8"/>
      <c r="H10" s="37">
        <f t="shared" si="5"/>
        <v>0.16635470736553692</v>
      </c>
      <c r="I10" s="49">
        <f>2^-(H10)</f>
        <v>0.89109138130480625</v>
      </c>
      <c r="J10" s="37"/>
      <c r="K10" s="35">
        <f>I10/$J$2</f>
        <v>0.86690526310197979</v>
      </c>
      <c r="L10" s="37">
        <f t="shared" ref="L10" si="7">AVERAGE(K10:K17)</f>
        <v>1.7073673098338116</v>
      </c>
      <c r="M10" s="35">
        <f t="shared" ref="M10" si="8">STDEV(K10:K17)/4</f>
        <v>0.2194345779483208</v>
      </c>
    </row>
    <row r="11" spans="1:13" ht="15" customHeight="1" x14ac:dyDescent="0.2">
      <c r="A11" s="34" t="s">
        <v>63</v>
      </c>
      <c r="B11" s="36"/>
      <c r="C11" s="4">
        <v>28.56</v>
      </c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4" t="s">
        <v>63</v>
      </c>
      <c r="B12" s="36" t="s">
        <v>14</v>
      </c>
      <c r="C12" s="4">
        <v>27.19</v>
      </c>
      <c r="D12" s="37">
        <f>AVERAGE(C12:C13)</f>
        <v>27.450000000000003</v>
      </c>
      <c r="E12" s="37">
        <v>17.978019717604003</v>
      </c>
      <c r="F12" s="50">
        <f t="shared" ref="F12" si="9">D12-E12</f>
        <v>9.4719802823960002</v>
      </c>
      <c r="G12" s="8"/>
      <c r="H12" s="37">
        <f t="shared" si="5"/>
        <v>-1.5928356652383666</v>
      </c>
      <c r="I12" s="49">
        <f>2^-(H12)</f>
        <v>3.0164165392951614</v>
      </c>
      <c r="J12" s="37"/>
      <c r="K12" s="35">
        <f>I12/$J$2</f>
        <v>2.9345445691482541</v>
      </c>
      <c r="L12" s="37"/>
      <c r="M12" s="35"/>
    </row>
    <row r="13" spans="1:13" ht="15" customHeight="1" x14ac:dyDescent="0.2">
      <c r="A13" s="34" t="s">
        <v>63</v>
      </c>
      <c r="B13" s="36"/>
      <c r="C13" s="4">
        <v>27.71</v>
      </c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4" t="s">
        <v>63</v>
      </c>
      <c r="B14" s="36" t="s">
        <v>15</v>
      </c>
      <c r="C14" s="4">
        <v>28.51</v>
      </c>
      <c r="D14" s="37">
        <f>AVERAGE(C14:C15)</f>
        <v>28.51</v>
      </c>
      <c r="E14" s="37">
        <v>17.974532197115273</v>
      </c>
      <c r="F14" s="50">
        <f t="shared" ref="F14" si="10">D14-E14</f>
        <v>10.535467802884728</v>
      </c>
      <c r="G14" s="8"/>
      <c r="H14" s="37">
        <f t="shared" si="5"/>
        <v>-0.52934814474963865</v>
      </c>
      <c r="I14" s="49">
        <f>2^-(H14)</f>
        <v>1.4432769300102275</v>
      </c>
      <c r="J14" s="37"/>
      <c r="K14" s="35">
        <f>I14/$J$2</f>
        <v>1.4041033198048118</v>
      </c>
      <c r="L14" s="37"/>
      <c r="M14" s="35"/>
    </row>
    <row r="15" spans="1:13" ht="15" customHeight="1" x14ac:dyDescent="0.2">
      <c r="A15" s="34" t="s">
        <v>63</v>
      </c>
      <c r="B15" s="36"/>
      <c r="C15" s="4">
        <v>28.51</v>
      </c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4" t="s">
        <v>63</v>
      </c>
      <c r="B16" s="36" t="s">
        <v>16</v>
      </c>
      <c r="C16" s="4">
        <v>27.9</v>
      </c>
      <c r="D16" s="37">
        <f>AVERAGE(C16:C17)</f>
        <v>27.645</v>
      </c>
      <c r="E16" s="37">
        <v>17.319360183997457</v>
      </c>
      <c r="F16" s="50">
        <f t="shared" ref="F16" si="11">D16-E16</f>
        <v>10.325639816002543</v>
      </c>
      <c r="G16" s="8"/>
      <c r="H16" s="37">
        <f t="shared" si="5"/>
        <v>-0.73917613163182416</v>
      </c>
      <c r="I16" s="49">
        <f>2^-(H16)</f>
        <v>1.6692223371210324</v>
      </c>
      <c r="J16" s="37"/>
      <c r="K16" s="35">
        <f>I16/$J$2</f>
        <v>1.6239160872802005</v>
      </c>
      <c r="L16" s="37"/>
      <c r="M16" s="35"/>
    </row>
    <row r="17" spans="1:13" ht="15" customHeight="1" x14ac:dyDescent="0.2">
      <c r="A17" s="34" t="s">
        <v>63</v>
      </c>
      <c r="B17" s="36"/>
      <c r="C17" s="4">
        <v>27.39</v>
      </c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19" t="s">
        <v>53</v>
      </c>
      <c r="B18" s="36" t="s">
        <v>18</v>
      </c>
      <c r="C18" s="4">
        <v>29.5</v>
      </c>
      <c r="D18" s="37">
        <f>AVERAGE(C18:C19)</f>
        <v>29.064999999999998</v>
      </c>
      <c r="E18" s="37">
        <v>19.205252186246113</v>
      </c>
      <c r="F18" s="50">
        <f t="shared" ref="F18" si="12">D18-E18</f>
        <v>9.8597478137538843</v>
      </c>
      <c r="G18" s="8"/>
      <c r="H18" s="37">
        <f t="shared" si="5"/>
        <v>-1.2050681338804825</v>
      </c>
      <c r="I18" s="49">
        <f>2^-(H18)</f>
        <v>2.3054815715603132</v>
      </c>
      <c r="J18" s="37"/>
      <c r="K18" s="35">
        <f>I18/$J$2</f>
        <v>2.2429058908006736</v>
      </c>
      <c r="L18" s="37">
        <f t="shared" ref="L18" si="13">AVERAGE(K18:K25)</f>
        <v>2.08983227278785</v>
      </c>
      <c r="M18" s="35">
        <f t="shared" ref="M18" si="14">STDEV(K18:K25)/4</f>
        <v>8.2140739777620222E-2</v>
      </c>
    </row>
    <row r="19" spans="1:13" ht="15" customHeight="1" x14ac:dyDescent="0.2">
      <c r="A19" s="19" t="s">
        <v>53</v>
      </c>
      <c r="B19" s="36"/>
      <c r="C19" s="4">
        <v>28.63</v>
      </c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19" t="s">
        <v>53</v>
      </c>
      <c r="B20" s="36" t="s">
        <v>19</v>
      </c>
      <c r="C20" s="4">
        <v>27.34</v>
      </c>
      <c r="D20" s="37">
        <f>AVERAGE(C20:C21)</f>
        <v>27.65</v>
      </c>
      <c r="E20" s="37">
        <v>17.51825332356341</v>
      </c>
      <c r="F20" s="50">
        <f t="shared" ref="F20" si="15">D20-E20</f>
        <v>10.131746676436588</v>
      </c>
      <c r="G20" s="8"/>
      <c r="H20" s="37">
        <f t="shared" si="5"/>
        <v>-0.9330692711977786</v>
      </c>
      <c r="I20" s="49">
        <f>2^-(H20)</f>
        <v>1.9093337029948676</v>
      </c>
      <c r="J20" s="37"/>
      <c r="K20" s="35">
        <f>I20/$J$2</f>
        <v>1.8575103192228748</v>
      </c>
      <c r="L20" s="37"/>
      <c r="M20" s="35"/>
    </row>
    <row r="21" spans="1:13" ht="15" customHeight="1" x14ac:dyDescent="0.2">
      <c r="A21" s="20" t="s">
        <v>53</v>
      </c>
      <c r="B21" s="36"/>
      <c r="C21" s="4">
        <v>27.96</v>
      </c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20" t="s">
        <v>53</v>
      </c>
      <c r="B22" s="36" t="s">
        <v>20</v>
      </c>
      <c r="C22" s="4">
        <v>27.23</v>
      </c>
      <c r="D22" s="37">
        <f>AVERAGE(C22:C23)</f>
        <v>27.164999999999999</v>
      </c>
      <c r="E22" s="37">
        <v>17.449205574599276</v>
      </c>
      <c r="F22" s="50">
        <f t="shared" ref="F22" si="16">D22-E22</f>
        <v>9.7157944254007234</v>
      </c>
      <c r="G22" s="8"/>
      <c r="H22" s="37">
        <f t="shared" si="5"/>
        <v>-1.3490215222336435</v>
      </c>
      <c r="I22" s="49">
        <f>2^-(H22)</f>
        <v>2.5473929525701116</v>
      </c>
      <c r="J22" s="37"/>
      <c r="K22" s="35">
        <f>I22/$J$2</f>
        <v>2.4782512816343076</v>
      </c>
      <c r="L22" s="37"/>
      <c r="M22" s="35"/>
    </row>
    <row r="23" spans="1:13" ht="15" customHeight="1" x14ac:dyDescent="0.2">
      <c r="A23" s="20" t="s">
        <v>53</v>
      </c>
      <c r="B23" s="36"/>
      <c r="C23" s="4">
        <v>27.1</v>
      </c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20" t="s">
        <v>53</v>
      </c>
      <c r="B24" s="36" t="s">
        <v>21</v>
      </c>
      <c r="C24" s="4">
        <v>27.52</v>
      </c>
      <c r="D24" s="37">
        <f>AVERAGE(C24:C25)</f>
        <v>27.085000000000001</v>
      </c>
      <c r="E24" s="37">
        <v>16.892296467846915</v>
      </c>
      <c r="F24" s="50">
        <f t="shared" ref="F24" si="17">D24-E24</f>
        <v>10.192703532153086</v>
      </c>
      <c r="G24" s="8"/>
      <c r="H24" s="37">
        <f t="shared" si="5"/>
        <v>-0.87211241548128093</v>
      </c>
      <c r="I24" s="49">
        <f>2^-(H24)</f>
        <v>1.8303409517338116</v>
      </c>
      <c r="J24" s="37"/>
      <c r="K24" s="35">
        <f>I24/$J$2</f>
        <v>1.7806615994935442</v>
      </c>
      <c r="L24" s="37"/>
      <c r="M24" s="35"/>
    </row>
    <row r="25" spans="1:13" ht="15" customHeight="1" x14ac:dyDescent="0.2">
      <c r="A25" s="20" t="s">
        <v>53</v>
      </c>
      <c r="B25" s="36"/>
      <c r="C25" s="4">
        <v>26.65</v>
      </c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19" t="s">
        <v>54</v>
      </c>
      <c r="B26" s="36" t="s">
        <v>23</v>
      </c>
      <c r="C26" s="4">
        <v>28.28</v>
      </c>
      <c r="D26" s="37">
        <f>AVERAGE(C26:C27)</f>
        <v>28.14</v>
      </c>
      <c r="E26" s="37">
        <v>17.460951826505497</v>
      </c>
      <c r="F26" s="50">
        <f t="shared" ref="F26" si="18">D26-E26</f>
        <v>10.679048173494504</v>
      </c>
      <c r="G26" s="8"/>
      <c r="H26" s="37">
        <f t="shared" si="5"/>
        <v>-0.38576777413986285</v>
      </c>
      <c r="I26" s="49">
        <f>2^-(H26)</f>
        <v>1.3065549251307265</v>
      </c>
      <c r="J26" s="37"/>
      <c r="K26" s="35">
        <f>I26/$J$2</f>
        <v>1.2710922413693542</v>
      </c>
      <c r="L26" s="37">
        <f t="shared" ref="L26" si="19">AVERAGE(K26:K33)</f>
        <v>1.5227856218048148</v>
      </c>
      <c r="M26" s="35">
        <f t="shared" ref="M26" si="20">STDEV(K26:K33)/4</f>
        <v>6.8913061865325684E-2</v>
      </c>
    </row>
    <row r="27" spans="1:13" ht="15" customHeight="1" x14ac:dyDescent="0.2">
      <c r="A27" s="19" t="s">
        <v>54</v>
      </c>
      <c r="B27" s="36"/>
      <c r="C27" s="4">
        <v>28</v>
      </c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19" t="s">
        <v>54</v>
      </c>
      <c r="B28" s="36" t="s">
        <v>24</v>
      </c>
      <c r="C28" s="4">
        <v>28.12</v>
      </c>
      <c r="D28" s="37">
        <f>AVERAGE(C28:C29)</f>
        <v>28.270000000000003</v>
      </c>
      <c r="E28" s="37">
        <v>17.810378746674107</v>
      </c>
      <c r="F28" s="50">
        <f t="shared" ref="F28" si="21">D28-E28</f>
        <v>10.459621253325896</v>
      </c>
      <c r="G28" s="8"/>
      <c r="H28" s="37">
        <f t="shared" si="5"/>
        <v>-0.60519469430847117</v>
      </c>
      <c r="I28" s="49">
        <f>2^-(H28)</f>
        <v>1.521184025928882</v>
      </c>
      <c r="J28" s="37"/>
      <c r="K28" s="35">
        <f>I28/$J$2</f>
        <v>1.4798958511902887</v>
      </c>
      <c r="L28" s="37"/>
      <c r="M28" s="35"/>
    </row>
    <row r="29" spans="1:13" ht="15" customHeight="1" x14ac:dyDescent="0.2">
      <c r="A29" s="19" t="s">
        <v>54</v>
      </c>
      <c r="B29" s="36"/>
      <c r="C29" s="4">
        <v>28.42</v>
      </c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19" t="s">
        <v>54</v>
      </c>
      <c r="B30" s="36" t="s">
        <v>25</v>
      </c>
      <c r="C30" s="4">
        <v>27.7</v>
      </c>
      <c r="D30" s="37">
        <f>AVERAGE(C30:C31)</f>
        <v>27.799999999999997</v>
      </c>
      <c r="E30" s="37">
        <v>17.636734292930214</v>
      </c>
      <c r="F30" s="50">
        <f t="shared" ref="F30" si="22">D30-E30</f>
        <v>10.163265707069783</v>
      </c>
      <c r="G30" s="8"/>
      <c r="H30" s="37">
        <f t="shared" si="5"/>
        <v>-0.90155024056458366</v>
      </c>
      <c r="I30" s="49">
        <f>2^-(H30)</f>
        <v>1.868072232424433</v>
      </c>
      <c r="J30" s="37"/>
      <c r="K30" s="35">
        <f>I30/$J$2</f>
        <v>1.8173687728548016</v>
      </c>
      <c r="L30" s="37"/>
      <c r="M30" s="35"/>
    </row>
    <row r="31" spans="1:13" ht="15" customHeight="1" x14ac:dyDescent="0.2">
      <c r="A31" s="19" t="s">
        <v>54</v>
      </c>
      <c r="B31" s="36"/>
      <c r="C31" s="4">
        <v>27.9</v>
      </c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19" t="s">
        <v>54</v>
      </c>
      <c r="B32" s="36" t="s">
        <v>26</v>
      </c>
      <c r="C32" s="14"/>
      <c r="D32" s="37" t="e">
        <f>AVERAGE(C32:C33)</f>
        <v>#DIV/0!</v>
      </c>
      <c r="E32" s="37">
        <v>18.397647607932122</v>
      </c>
      <c r="F32" s="50" t="e">
        <f t="shared" ref="F32" si="23">D32-E32</f>
        <v>#DIV/0!</v>
      </c>
      <c r="G32" s="8"/>
      <c r="H32" s="37" t="e">
        <f t="shared" si="5"/>
        <v>#DIV/0!</v>
      </c>
      <c r="I32" s="49" t="e">
        <f>2^-(H32)</f>
        <v>#DIV/0!</v>
      </c>
      <c r="J32" s="37"/>
      <c r="K32" s="35"/>
      <c r="L32" s="37"/>
      <c r="M32" s="35"/>
    </row>
    <row r="33" spans="1:13" ht="15" customHeight="1" x14ac:dyDescent="0.2">
      <c r="A33" s="19" t="s">
        <v>54</v>
      </c>
      <c r="B33" s="36"/>
      <c r="C33" s="14"/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19" t="s">
        <v>55</v>
      </c>
      <c r="B34" s="36" t="s">
        <v>28</v>
      </c>
      <c r="C34" s="4">
        <v>28.91</v>
      </c>
      <c r="D34" s="37">
        <f>AVERAGE(C34:C35)</f>
        <v>28.9</v>
      </c>
      <c r="E34" s="37">
        <v>16.509506697394823</v>
      </c>
      <c r="F34" s="50">
        <f t="shared" ref="F34" si="24">D34-E34</f>
        <v>12.390493302605176</v>
      </c>
      <c r="G34" s="8"/>
      <c r="H34" s="37">
        <f t="shared" si="5"/>
        <v>1.325677354970809</v>
      </c>
      <c r="I34" s="49">
        <f>2^-(H34)</f>
        <v>0.39896183394916368</v>
      </c>
      <c r="J34" s="37"/>
      <c r="K34" s="35">
        <f>I34/$J$2</f>
        <v>0.38813315994697373</v>
      </c>
      <c r="L34" s="37">
        <f t="shared" ref="L34" si="25">AVERAGE(K34:K41)</f>
        <v>2.394777064624154</v>
      </c>
      <c r="M34" s="35">
        <f t="shared" ref="M34" si="26">STDEV(K34:K41)/4</f>
        <v>0.39491963733912283</v>
      </c>
    </row>
    <row r="35" spans="1:13" ht="15" customHeight="1" x14ac:dyDescent="0.2">
      <c r="A35" s="19" t="s">
        <v>55</v>
      </c>
      <c r="B35" s="36"/>
      <c r="C35" s="4">
        <v>28.89</v>
      </c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19" t="s">
        <v>55</v>
      </c>
      <c r="B36" s="36" t="s">
        <v>29</v>
      </c>
      <c r="C36" s="4">
        <v>27.41</v>
      </c>
      <c r="D36" s="37">
        <f>AVERAGE(C36:C37)</f>
        <v>27.365000000000002</v>
      </c>
      <c r="E36" s="37">
        <v>18.343164352268513</v>
      </c>
      <c r="F36" s="50">
        <f t="shared" ref="F36" si="27">D36-E36</f>
        <v>9.0218356477314892</v>
      </c>
      <c r="G36" s="8"/>
      <c r="H36" s="37">
        <f t="shared" si="5"/>
        <v>-2.0429802999028777</v>
      </c>
      <c r="I36" s="49">
        <f>2^-(H36)</f>
        <v>4.1209595421183636</v>
      </c>
      <c r="J36" s="37"/>
      <c r="K36" s="35">
        <f>I36/$J$2</f>
        <v>4.0091079220872103</v>
      </c>
      <c r="L36" s="37"/>
      <c r="M36" s="35"/>
    </row>
    <row r="37" spans="1:13" ht="15" customHeight="1" x14ac:dyDescent="0.2">
      <c r="A37" s="19" t="s">
        <v>55</v>
      </c>
      <c r="B37" s="36"/>
      <c r="C37" s="4">
        <v>27.32</v>
      </c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19" t="s">
        <v>55</v>
      </c>
      <c r="B38" s="36" t="s">
        <v>30</v>
      </c>
      <c r="C38" s="4">
        <v>27.35</v>
      </c>
      <c r="D38" s="37">
        <f>AVERAGE(C38:C39)</f>
        <v>27.555</v>
      </c>
      <c r="E38" s="37">
        <v>17.506489233409525</v>
      </c>
      <c r="F38" s="50">
        <f t="shared" ref="F38" si="28">D38-E38</f>
        <v>10.048510766590475</v>
      </c>
      <c r="G38" s="8"/>
      <c r="H38" s="37">
        <f t="shared" si="5"/>
        <v>-1.0163051810438919</v>
      </c>
      <c r="I38" s="49">
        <f>2^-(H38)</f>
        <v>2.022731995831633</v>
      </c>
      <c r="J38" s="37"/>
      <c r="K38" s="35">
        <f>I38/$J$2</f>
        <v>1.9678307408422879</v>
      </c>
      <c r="L38" s="37"/>
      <c r="M38" s="35"/>
    </row>
    <row r="39" spans="1:13" ht="15" customHeight="1" x14ac:dyDescent="0.2">
      <c r="A39" s="19" t="s">
        <v>55</v>
      </c>
      <c r="B39" s="36"/>
      <c r="C39" s="4">
        <v>27.76</v>
      </c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19" t="s">
        <v>55</v>
      </c>
      <c r="B40" s="36" t="s">
        <v>31</v>
      </c>
      <c r="C40" s="4">
        <v>28.3</v>
      </c>
      <c r="D40" s="37">
        <f>AVERAGE(C40:C41)</f>
        <v>28.05</v>
      </c>
      <c r="E40" s="37">
        <v>18.70926938210307</v>
      </c>
      <c r="F40" s="50">
        <f t="shared" ref="F40" si="29">D40-E40</f>
        <v>9.3407306178969307</v>
      </c>
      <c r="G40" s="8"/>
      <c r="H40" s="37">
        <f t="shared" si="5"/>
        <v>-1.7240853297374361</v>
      </c>
      <c r="I40" s="49">
        <f>2^-(H40)</f>
        <v>3.3037060551838167</v>
      </c>
      <c r="J40" s="37"/>
      <c r="K40" s="35">
        <f>I40/$J$2</f>
        <v>3.2140364356201441</v>
      </c>
      <c r="L40" s="37"/>
      <c r="M40" s="35"/>
    </row>
    <row r="41" spans="1:13" ht="15" customHeight="1" x14ac:dyDescent="0.2">
      <c r="A41" s="19" t="s">
        <v>55</v>
      </c>
      <c r="B41" s="36"/>
      <c r="C41" s="4">
        <v>27.8</v>
      </c>
      <c r="D41" s="37"/>
      <c r="E41" s="37"/>
      <c r="F41" s="50"/>
      <c r="G41" s="8"/>
      <c r="H41" s="37"/>
      <c r="I41" s="49"/>
      <c r="J41" s="37"/>
      <c r="K41" s="35"/>
      <c r="L41" s="37"/>
      <c r="M41" s="35"/>
    </row>
    <row r="42" spans="1:13" s="29" customFormat="1" ht="16" x14ac:dyDescent="0.2">
      <c r="A42" s="33" t="s">
        <v>56</v>
      </c>
      <c r="B42" s="36" t="s">
        <v>57</v>
      </c>
      <c r="C42" s="31">
        <v>34.059857930093699</v>
      </c>
      <c r="D42" s="37">
        <f>AVERAGE(C42:C43)</f>
        <v>34.059857930093699</v>
      </c>
      <c r="E42" s="37">
        <v>17.216022097920472</v>
      </c>
      <c r="F42" s="50">
        <f>D42-E42</f>
        <v>16.843835832173227</v>
      </c>
      <c r="H42" s="37">
        <f t="shared" si="5"/>
        <v>5.7790198845388598</v>
      </c>
      <c r="I42" s="49">
        <f>2^-(H42)</f>
        <v>1.8211330213960097E-2</v>
      </c>
      <c r="K42" s="35">
        <f>I42/$J$2</f>
        <v>1.7717035919989275E-2</v>
      </c>
      <c r="L42" s="37">
        <f>AVERAGE(K42:K49)</f>
        <v>0.24440842704804835</v>
      </c>
      <c r="M42" s="35">
        <f t="shared" ref="M42" si="30">STDEV(K42:K49)/4</f>
        <v>6.6688418519326415E-2</v>
      </c>
    </row>
    <row r="43" spans="1:13" ht="16" x14ac:dyDescent="0.2">
      <c r="A43" s="32" t="s">
        <v>56</v>
      </c>
      <c r="B43" s="36"/>
      <c r="C43" s="4"/>
      <c r="D43" s="37"/>
      <c r="E43" s="37"/>
      <c r="F43" s="50"/>
      <c r="H43" s="37"/>
      <c r="I43" s="49"/>
      <c r="K43" s="35"/>
      <c r="L43" s="37"/>
      <c r="M43" s="35"/>
    </row>
    <row r="44" spans="1:13" ht="16" x14ac:dyDescent="0.2">
      <c r="A44" s="32" t="s">
        <v>56</v>
      </c>
      <c r="B44" s="36" t="s">
        <v>58</v>
      </c>
      <c r="C44" s="4">
        <v>31.647272083231499</v>
      </c>
      <c r="D44" s="37">
        <f>AVERAGE(C44:C45)</f>
        <v>31.647272083231499</v>
      </c>
      <c r="E44" s="37">
        <v>18.742090881478987</v>
      </c>
      <c r="F44" s="50">
        <f t="shared" ref="F44" si="31">D44-E44</f>
        <v>12.905181201752512</v>
      </c>
      <c r="H44" s="37">
        <f t="shared" si="5"/>
        <v>1.8403652541181454</v>
      </c>
      <c r="I44" s="49">
        <f>2^-(H44)</f>
        <v>0.27925107621491574</v>
      </c>
      <c r="K44" s="35">
        <f>I44/$J$2</f>
        <v>0.27167160717358046</v>
      </c>
      <c r="L44" s="37"/>
      <c r="M44" s="35"/>
    </row>
    <row r="45" spans="1:13" ht="16" x14ac:dyDescent="0.2">
      <c r="A45" s="32" t="s">
        <v>56</v>
      </c>
      <c r="B45" s="36"/>
      <c r="C45" s="4"/>
      <c r="D45" s="37"/>
      <c r="E45" s="37"/>
      <c r="F45" s="50"/>
      <c r="H45" s="37"/>
      <c r="I45" s="49"/>
      <c r="K45" s="35"/>
      <c r="L45" s="37"/>
      <c r="M45" s="35"/>
    </row>
    <row r="46" spans="1:13" ht="16" x14ac:dyDescent="0.2">
      <c r="A46" s="32" t="s">
        <v>56</v>
      </c>
      <c r="B46" s="36" t="s">
        <v>59</v>
      </c>
      <c r="C46" s="4">
        <v>33.166747189696402</v>
      </c>
      <c r="D46" s="37">
        <f>AVERAGE(C46:C47)</f>
        <v>33.166747189696402</v>
      </c>
      <c r="E46" s="37">
        <v>18.464510655682574</v>
      </c>
      <c r="F46" s="50">
        <f t="shared" ref="F46" si="32">D46-E46</f>
        <v>14.702236534013828</v>
      </c>
      <c r="H46" s="37">
        <f t="shared" si="5"/>
        <v>3.6374205863794611</v>
      </c>
      <c r="I46" s="49">
        <f>2^-(H46)</f>
        <v>8.0357662769478699E-2</v>
      </c>
      <c r="K46" s="35">
        <f>I46/$J$2</f>
        <v>7.817658463201585E-2</v>
      </c>
      <c r="L46" s="37"/>
      <c r="M46" s="35"/>
    </row>
    <row r="47" spans="1:13" ht="16" x14ac:dyDescent="0.2">
      <c r="A47" s="32" t="s">
        <v>56</v>
      </c>
      <c r="B47" s="36"/>
      <c r="C47" s="4"/>
      <c r="D47" s="37"/>
      <c r="E47" s="37"/>
      <c r="F47" s="50"/>
      <c r="H47" s="37"/>
      <c r="I47" s="49"/>
      <c r="K47" s="35"/>
      <c r="L47" s="37"/>
      <c r="M47" s="35"/>
    </row>
    <row r="48" spans="1:13" ht="16" x14ac:dyDescent="0.2">
      <c r="A48" s="32" t="s">
        <v>56</v>
      </c>
      <c r="B48" s="36" t="s">
        <v>60</v>
      </c>
      <c r="C48" s="4">
        <v>30.6120498093292</v>
      </c>
      <c r="D48" s="37">
        <f>AVERAGE(C48:C49)</f>
        <v>30.6120498093292</v>
      </c>
      <c r="E48" s="37">
        <v>18.873976007408302</v>
      </c>
      <c r="F48" s="50">
        <f t="shared" ref="F48" si="33">D48-E48</f>
        <v>11.738073801920898</v>
      </c>
      <c r="H48" s="37">
        <f t="shared" si="5"/>
        <v>0.67325785428653084</v>
      </c>
      <c r="I48" s="49">
        <f>2^-(H48)</f>
        <v>0.62708901201533407</v>
      </c>
      <c r="K48" s="35">
        <f>I48/$J$2</f>
        <v>0.61006848046660778</v>
      </c>
      <c r="L48" s="37"/>
      <c r="M48" s="35"/>
    </row>
    <row r="49" spans="1:13" ht="16" x14ac:dyDescent="0.2">
      <c r="A49" s="32" t="s">
        <v>56</v>
      </c>
      <c r="B49" s="36"/>
      <c r="C49" s="4"/>
      <c r="D49" s="37"/>
      <c r="E49" s="37"/>
      <c r="F49" s="50"/>
      <c r="H49" s="37"/>
      <c r="I49" s="49"/>
      <c r="K49" s="35"/>
      <c r="L49" s="37"/>
      <c r="M49" s="35"/>
    </row>
    <row r="50" spans="1:13" ht="16" x14ac:dyDescent="0.2">
      <c r="C50" s="4"/>
      <c r="D50" s="4"/>
    </row>
    <row r="51" spans="1:13" ht="16" x14ac:dyDescent="0.2">
      <c r="C51" s="4"/>
      <c r="D51" s="4"/>
    </row>
    <row r="52" spans="1:13" ht="16" x14ac:dyDescent="0.2">
      <c r="C52" s="4"/>
      <c r="D52" s="4"/>
    </row>
  </sheetData>
  <mergeCells count="186">
    <mergeCell ref="K42:K43"/>
    <mergeCell ref="K44:K45"/>
    <mergeCell ref="K46:K47"/>
    <mergeCell ref="K48:K49"/>
    <mergeCell ref="L42:L49"/>
    <mergeCell ref="M42:M49"/>
    <mergeCell ref="F42:F43"/>
    <mergeCell ref="F44:F45"/>
    <mergeCell ref="F46:F47"/>
    <mergeCell ref="F48:F49"/>
    <mergeCell ref="H42:H43"/>
    <mergeCell ref="H44:H45"/>
    <mergeCell ref="H46:H47"/>
    <mergeCell ref="H48:H49"/>
    <mergeCell ref="I42:I43"/>
    <mergeCell ref="I44:I45"/>
    <mergeCell ref="I46:I47"/>
    <mergeCell ref="I48:I49"/>
    <mergeCell ref="B42:B43"/>
    <mergeCell ref="B44:B45"/>
    <mergeCell ref="B46:B47"/>
    <mergeCell ref="B48:B49"/>
    <mergeCell ref="D42:D43"/>
    <mergeCell ref="D44:D45"/>
    <mergeCell ref="D46:D47"/>
    <mergeCell ref="D48:D49"/>
    <mergeCell ref="E42:E43"/>
    <mergeCell ref="E44:E45"/>
    <mergeCell ref="E46:E47"/>
    <mergeCell ref="E48:E49"/>
    <mergeCell ref="L2:L9"/>
    <mergeCell ref="M2:M9"/>
    <mergeCell ref="H4:H5"/>
    <mergeCell ref="I4:I5"/>
    <mergeCell ref="K4:K5"/>
    <mergeCell ref="K6:K7"/>
    <mergeCell ref="B2:B3"/>
    <mergeCell ref="D2:D3"/>
    <mergeCell ref="E2:E3"/>
    <mergeCell ref="F2:F3"/>
    <mergeCell ref="G2:G9"/>
    <mergeCell ref="B4:B5"/>
    <mergeCell ref="D4:D5"/>
    <mergeCell ref="E4:E5"/>
    <mergeCell ref="F4:F5"/>
    <mergeCell ref="B6:B7"/>
    <mergeCell ref="D6:D7"/>
    <mergeCell ref="E6:E7"/>
    <mergeCell ref="F6:F7"/>
    <mergeCell ref="H6:H7"/>
    <mergeCell ref="I6:I7"/>
    <mergeCell ref="H2:H3"/>
    <mergeCell ref="I2:I3"/>
    <mergeCell ref="J2:J9"/>
    <mergeCell ref="I10:I11"/>
    <mergeCell ref="J10:J17"/>
    <mergeCell ref="K10:K11"/>
    <mergeCell ref="B8:B9"/>
    <mergeCell ref="D8:D9"/>
    <mergeCell ref="E8:E9"/>
    <mergeCell ref="F8:F9"/>
    <mergeCell ref="H8:H9"/>
    <mergeCell ref="I8:I9"/>
    <mergeCell ref="D14:D15"/>
    <mergeCell ref="E14:E15"/>
    <mergeCell ref="F14:F15"/>
    <mergeCell ref="H14:H15"/>
    <mergeCell ref="I14:I15"/>
    <mergeCell ref="K14:K15"/>
    <mergeCell ref="K2:K3"/>
    <mergeCell ref="L10:L17"/>
    <mergeCell ref="M10:M17"/>
    <mergeCell ref="B12:B13"/>
    <mergeCell ref="D12:D13"/>
    <mergeCell ref="E12:E13"/>
    <mergeCell ref="F12:F13"/>
    <mergeCell ref="H12:H13"/>
    <mergeCell ref="I12:I13"/>
    <mergeCell ref="K12:K13"/>
    <mergeCell ref="B14:B15"/>
    <mergeCell ref="K16:K17"/>
    <mergeCell ref="B16:B17"/>
    <mergeCell ref="D16:D17"/>
    <mergeCell ref="E16:E17"/>
    <mergeCell ref="F16:F17"/>
    <mergeCell ref="H16:H17"/>
    <mergeCell ref="I16:I17"/>
    <mergeCell ref="K8:K9"/>
    <mergeCell ref="B10:B11"/>
    <mergeCell ref="D10:D11"/>
    <mergeCell ref="E10:E11"/>
    <mergeCell ref="F10:F11"/>
    <mergeCell ref="H10:H11"/>
    <mergeCell ref="L18:L25"/>
    <mergeCell ref="M18:M25"/>
    <mergeCell ref="B20:B21"/>
    <mergeCell ref="D20:D21"/>
    <mergeCell ref="E20:E21"/>
    <mergeCell ref="F20:F21"/>
    <mergeCell ref="H20:H21"/>
    <mergeCell ref="I20:I21"/>
    <mergeCell ref="K20:K21"/>
    <mergeCell ref="B22:B23"/>
    <mergeCell ref="K24:K25"/>
    <mergeCell ref="B18:B19"/>
    <mergeCell ref="D18:D19"/>
    <mergeCell ref="E18:E19"/>
    <mergeCell ref="F18:F19"/>
    <mergeCell ref="H18:H19"/>
    <mergeCell ref="I18:I19"/>
    <mergeCell ref="J18:J25"/>
    <mergeCell ref="K18:K19"/>
    <mergeCell ref="K22:K23"/>
    <mergeCell ref="B24:B25"/>
    <mergeCell ref="D24:D25"/>
    <mergeCell ref="E24:E25"/>
    <mergeCell ref="F24:F25"/>
    <mergeCell ref="H24:H25"/>
    <mergeCell ref="I24:I25"/>
    <mergeCell ref="D30:D31"/>
    <mergeCell ref="E30:E31"/>
    <mergeCell ref="F30:F31"/>
    <mergeCell ref="H30:H31"/>
    <mergeCell ref="I30:I31"/>
    <mergeCell ref="D22:D23"/>
    <mergeCell ref="E22:E23"/>
    <mergeCell ref="F22:F23"/>
    <mergeCell ref="H22:H23"/>
    <mergeCell ref="I22:I23"/>
    <mergeCell ref="L26:L33"/>
    <mergeCell ref="M26:M33"/>
    <mergeCell ref="B28:B29"/>
    <mergeCell ref="D28:D29"/>
    <mergeCell ref="E28:E29"/>
    <mergeCell ref="F28:F29"/>
    <mergeCell ref="H28:H29"/>
    <mergeCell ref="I28:I29"/>
    <mergeCell ref="K28:K29"/>
    <mergeCell ref="B30:B31"/>
    <mergeCell ref="K32:K33"/>
    <mergeCell ref="B26:B27"/>
    <mergeCell ref="D26:D27"/>
    <mergeCell ref="E26:E27"/>
    <mergeCell ref="F26:F27"/>
    <mergeCell ref="H26:H27"/>
    <mergeCell ref="I26:I27"/>
    <mergeCell ref="J26:J33"/>
    <mergeCell ref="K26:K27"/>
    <mergeCell ref="K30:K31"/>
    <mergeCell ref="D34:D35"/>
    <mergeCell ref="E34:E35"/>
    <mergeCell ref="F34:F35"/>
    <mergeCell ref="H34:H35"/>
    <mergeCell ref="I34:I35"/>
    <mergeCell ref="J34:J41"/>
    <mergeCell ref="K34:K35"/>
    <mergeCell ref="B32:B33"/>
    <mergeCell ref="D32:D33"/>
    <mergeCell ref="E32:E33"/>
    <mergeCell ref="F32:F33"/>
    <mergeCell ref="H32:H33"/>
    <mergeCell ref="I32:I33"/>
    <mergeCell ref="L34:L41"/>
    <mergeCell ref="M34:M41"/>
    <mergeCell ref="B36:B37"/>
    <mergeCell ref="D36:D37"/>
    <mergeCell ref="E36:E37"/>
    <mergeCell ref="F36:F37"/>
    <mergeCell ref="H36:H37"/>
    <mergeCell ref="I36:I37"/>
    <mergeCell ref="K36:K37"/>
    <mergeCell ref="B38:B39"/>
    <mergeCell ref="K40:K41"/>
    <mergeCell ref="B40:B41"/>
    <mergeCell ref="D40:D41"/>
    <mergeCell ref="E40:E41"/>
    <mergeCell ref="F40:F41"/>
    <mergeCell ref="H40:H41"/>
    <mergeCell ref="I40:I41"/>
    <mergeCell ref="D38:D39"/>
    <mergeCell ref="E38:E39"/>
    <mergeCell ref="F38:F39"/>
    <mergeCell ref="H38:H39"/>
    <mergeCell ref="I38:I39"/>
    <mergeCell ref="K38:K39"/>
    <mergeCell ref="B34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CEC2-3F37-4A66-BAAE-488C9A54049A}">
  <dimension ref="A1:M49"/>
  <sheetViews>
    <sheetView topLeftCell="I1" workbookViewId="0">
      <selection activeCell="M26" sqref="M26:M33"/>
    </sheetView>
  </sheetViews>
  <sheetFormatPr baseColWidth="10" defaultColWidth="8.83203125" defaultRowHeight="15" x14ac:dyDescent="0.2"/>
  <cols>
    <col min="1" max="1" width="16.1640625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2" max="12" width="9"/>
    <col min="13" max="13" width="13.6640625" customWidth="1"/>
  </cols>
  <sheetData>
    <row r="1" spans="1:13" ht="16" x14ac:dyDescent="0.2">
      <c r="A1" s="2" t="s">
        <v>51</v>
      </c>
      <c r="B1" s="6" t="s">
        <v>2</v>
      </c>
      <c r="C1" s="3" t="s">
        <v>40</v>
      </c>
      <c r="D1" s="2" t="s">
        <v>4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 x14ac:dyDescent="0.2">
      <c r="A2" s="34" t="s">
        <v>64</v>
      </c>
      <c r="B2" s="39">
        <v>1</v>
      </c>
      <c r="C2" s="17">
        <v>28.98</v>
      </c>
      <c r="D2" s="37">
        <f>AVERAGE(C2:C3)</f>
        <v>28.945</v>
      </c>
      <c r="E2" s="37">
        <v>17.190287859484446</v>
      </c>
      <c r="F2" s="50">
        <f>D2-E2</f>
        <v>11.754712140515554</v>
      </c>
      <c r="G2" s="37">
        <f>AVERAGE(F2:F9)</f>
        <v>14.067315947634366</v>
      </c>
      <c r="H2" s="37">
        <f>F2-$G$2</f>
        <v>-2.312603807118812</v>
      </c>
      <c r="I2" s="49">
        <f>2^-(H2)</f>
        <v>4.9677886857725584</v>
      </c>
      <c r="J2" s="37">
        <f>AVERAGE(I2:I9)</f>
        <v>2.2771684067217661</v>
      </c>
      <c r="K2" s="35">
        <f>I2/$J$2</f>
        <v>2.1815640297435164</v>
      </c>
      <c r="L2" s="37">
        <f>AVERAGE(K2:K9)</f>
        <v>1.0000000000000002</v>
      </c>
      <c r="M2" s="35">
        <f>STDEV(K2:K9)/4</f>
        <v>0.23624199808626162</v>
      </c>
    </row>
    <row r="3" spans="1:13" x14ac:dyDescent="0.2">
      <c r="A3" s="34" t="s">
        <v>64</v>
      </c>
      <c r="B3" s="39"/>
      <c r="C3" s="17">
        <v>28.91</v>
      </c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x14ac:dyDescent="0.2">
      <c r="A4" s="34" t="s">
        <v>64</v>
      </c>
      <c r="B4" s="36" t="s">
        <v>9</v>
      </c>
      <c r="C4" s="17">
        <v>29.51</v>
      </c>
      <c r="D4" s="37">
        <f>AVERAGE(C4:C5)</f>
        <v>29.675000000000001</v>
      </c>
      <c r="E4" s="37">
        <v>17.164287644881519</v>
      </c>
      <c r="F4" s="50">
        <f t="shared" ref="F4" si="0">D4-E4</f>
        <v>12.510712355118482</v>
      </c>
      <c r="G4" s="37"/>
      <c r="H4" s="37">
        <f t="shared" ref="H4" si="1">F4-$G$2</f>
        <v>-1.5566035925158843</v>
      </c>
      <c r="I4" s="49">
        <f>2^-(H4)</f>
        <v>2.9416051195560997</v>
      </c>
      <c r="J4" s="37"/>
      <c r="K4" s="35">
        <f>I4/$J$2</f>
        <v>1.2917819827787191</v>
      </c>
      <c r="L4" s="37"/>
      <c r="M4" s="35"/>
    </row>
    <row r="5" spans="1:13" x14ac:dyDescent="0.2">
      <c r="A5" s="34" t="s">
        <v>64</v>
      </c>
      <c r="B5" s="36"/>
      <c r="C5" s="17">
        <v>29.84</v>
      </c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x14ac:dyDescent="0.2">
      <c r="A6" s="34" t="s">
        <v>64</v>
      </c>
      <c r="B6" s="36" t="s">
        <v>10</v>
      </c>
      <c r="C6" s="17">
        <v>29.81</v>
      </c>
      <c r="D6" s="37">
        <f>AVERAGE(C6:C7)</f>
        <v>29.785</v>
      </c>
      <c r="E6" s="37">
        <v>15.905719176330518</v>
      </c>
      <c r="F6" s="50">
        <f t="shared" ref="F6" si="2">D6-E6</f>
        <v>13.879280823669482</v>
      </c>
      <c r="G6" s="37"/>
      <c r="H6" s="37">
        <f t="shared" ref="H6" si="3">F6-$G$2</f>
        <v>-0.18803512396488387</v>
      </c>
      <c r="I6" s="49">
        <f>2^-(H6)</f>
        <v>1.1392111122062127</v>
      </c>
      <c r="J6" s="37"/>
      <c r="K6" s="35">
        <f>I6/$J$2</f>
        <v>0.5002753019247409</v>
      </c>
      <c r="L6" s="37"/>
      <c r="M6" s="35"/>
    </row>
    <row r="7" spans="1:13" x14ac:dyDescent="0.2">
      <c r="A7" s="34" t="s">
        <v>64</v>
      </c>
      <c r="B7" s="36"/>
      <c r="C7" s="17">
        <v>29.76</v>
      </c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x14ac:dyDescent="0.2">
      <c r="A8" s="34" t="s">
        <v>64</v>
      </c>
      <c r="B8" s="36" t="s">
        <v>11</v>
      </c>
      <c r="C8" s="17">
        <v>34.950000000000003</v>
      </c>
      <c r="D8" s="37">
        <f>AVERAGE(C8:C9)</f>
        <v>34.174999999999997</v>
      </c>
      <c r="E8" s="37">
        <v>16.050441528766051</v>
      </c>
      <c r="F8" s="50">
        <f t="shared" ref="F8" si="4">D8-E8</f>
        <v>18.124558471233946</v>
      </c>
      <c r="G8" s="37"/>
      <c r="H8" s="37">
        <f t="shared" ref="H8:H40" si="5">F8-$G$2</f>
        <v>4.0572425235995802</v>
      </c>
      <c r="I8" s="49">
        <f>2^-(H8)</f>
        <v>6.0068709352194244E-2</v>
      </c>
      <c r="J8" s="37"/>
      <c r="K8" s="35">
        <f>I8/$J$2</f>
        <v>2.6378685553024049E-2</v>
      </c>
      <c r="L8" s="37"/>
      <c r="M8" s="35"/>
    </row>
    <row r="9" spans="1:13" ht="15" customHeight="1" x14ac:dyDescent="0.2">
      <c r="A9" s="34" t="s">
        <v>64</v>
      </c>
      <c r="B9" s="36"/>
      <c r="C9" s="17">
        <v>33.4</v>
      </c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4" t="s">
        <v>63</v>
      </c>
      <c r="B10" s="36" t="s">
        <v>13</v>
      </c>
      <c r="C10" s="17">
        <v>30.12</v>
      </c>
      <c r="D10" s="37">
        <f>AVERAGE(C10:C11)</f>
        <v>29.925000000000001</v>
      </c>
      <c r="E10" s="37">
        <v>17.143829345000096</v>
      </c>
      <c r="F10" s="50">
        <f t="shared" ref="F10" si="6">D10-E10</f>
        <v>12.781170654999904</v>
      </c>
      <c r="G10" s="8"/>
      <c r="H10" s="37">
        <f t="shared" si="5"/>
        <v>-1.2861452926344619</v>
      </c>
      <c r="I10" s="49">
        <f>2^-(H10)</f>
        <v>2.4387557808804279</v>
      </c>
      <c r="J10" s="37"/>
      <c r="K10" s="35">
        <f>I10/$J$2</f>
        <v>1.0709597821933972</v>
      </c>
      <c r="L10" s="37">
        <f t="shared" ref="L10" si="7">AVERAGE(K10:K17)</f>
        <v>2.5154237763088885</v>
      </c>
      <c r="M10" s="35">
        <f t="shared" ref="M10" si="8">STDEV(K10:K17)/4</f>
        <v>0.25474822607157949</v>
      </c>
    </row>
    <row r="11" spans="1:13" ht="15" customHeight="1" x14ac:dyDescent="0.2">
      <c r="A11" s="34" t="s">
        <v>63</v>
      </c>
      <c r="B11" s="36"/>
      <c r="C11" s="17">
        <v>29.73</v>
      </c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4" t="s">
        <v>63</v>
      </c>
      <c r="B12" s="36" t="s">
        <v>14</v>
      </c>
      <c r="C12" s="17">
        <v>28.57</v>
      </c>
      <c r="D12" s="37">
        <f>AVERAGE(C12:C13)</f>
        <v>29.14</v>
      </c>
      <c r="E12" s="37">
        <v>17.978019717604003</v>
      </c>
      <c r="F12" s="50">
        <f t="shared" ref="F12" si="9">D12-E12</f>
        <v>11.161980282395998</v>
      </c>
      <c r="G12" s="8"/>
      <c r="H12" s="37">
        <f t="shared" si="5"/>
        <v>-2.9053356652383684</v>
      </c>
      <c r="I12" s="49">
        <f>2^-(H12)</f>
        <v>7.4919208875827277</v>
      </c>
      <c r="J12" s="37"/>
      <c r="K12" s="35">
        <f>I12/$J$2</f>
        <v>3.2900161733616224</v>
      </c>
      <c r="L12" s="37"/>
      <c r="M12" s="35"/>
    </row>
    <row r="13" spans="1:13" ht="15" customHeight="1" x14ac:dyDescent="0.2">
      <c r="A13" s="34" t="s">
        <v>63</v>
      </c>
      <c r="B13" s="36"/>
      <c r="C13" s="17">
        <v>29.71</v>
      </c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4" t="s">
        <v>63</v>
      </c>
      <c r="B14" s="36" t="s">
        <v>15</v>
      </c>
      <c r="C14" s="17">
        <v>29.82</v>
      </c>
      <c r="D14" s="37">
        <f>AVERAGE(C14:C15)</f>
        <v>29.515000000000001</v>
      </c>
      <c r="E14" s="37">
        <v>17.974532197115273</v>
      </c>
      <c r="F14" s="50">
        <f t="shared" ref="F14" si="10">D14-E14</f>
        <v>11.540467802884727</v>
      </c>
      <c r="G14" s="8"/>
      <c r="H14" s="37">
        <f t="shared" si="5"/>
        <v>-2.5268481447496391</v>
      </c>
      <c r="I14" s="49">
        <f>2^-(H14)</f>
        <v>5.7631123495226912</v>
      </c>
      <c r="J14" s="37"/>
      <c r="K14" s="35">
        <f>I14/$J$2</f>
        <v>2.5308239533409496</v>
      </c>
      <c r="L14" s="37"/>
      <c r="M14" s="35"/>
    </row>
    <row r="15" spans="1:13" ht="15" customHeight="1" x14ac:dyDescent="0.2">
      <c r="A15" s="34" t="s">
        <v>63</v>
      </c>
      <c r="B15" s="36"/>
      <c r="C15" s="17">
        <v>29.21</v>
      </c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4" t="s">
        <v>63</v>
      </c>
      <c r="B16" s="36" t="s">
        <v>16</v>
      </c>
      <c r="C16" s="17">
        <v>27.71</v>
      </c>
      <c r="D16" s="37">
        <f>AVERAGE(C16:C17)</f>
        <v>28.535</v>
      </c>
      <c r="E16" s="37">
        <v>17.319360183997457</v>
      </c>
      <c r="F16" s="50">
        <f t="shared" ref="F16" si="11">D16-E16</f>
        <v>11.215639816002543</v>
      </c>
      <c r="G16" s="8"/>
      <c r="H16" s="37">
        <f t="shared" si="5"/>
        <v>-2.8516761316318231</v>
      </c>
      <c r="I16" s="49">
        <f>2^-(H16)</f>
        <v>7.2183851937235932</v>
      </c>
      <c r="J16" s="37"/>
      <c r="K16" s="35">
        <f>I16/$J$2</f>
        <v>3.1698951963395854</v>
      </c>
      <c r="L16" s="37"/>
      <c r="M16" s="35"/>
    </row>
    <row r="17" spans="1:13" ht="15" customHeight="1" x14ac:dyDescent="0.2">
      <c r="A17" s="34" t="s">
        <v>63</v>
      </c>
      <c r="B17" s="36"/>
      <c r="C17" s="17">
        <v>29.36</v>
      </c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19" t="s">
        <v>53</v>
      </c>
      <c r="B18" s="36" t="s">
        <v>18</v>
      </c>
      <c r="C18" s="17">
        <v>30.21</v>
      </c>
      <c r="D18" s="37">
        <f>AVERAGE(C18:C19)</f>
        <v>30.27</v>
      </c>
      <c r="E18" s="37">
        <v>19.205252186246113</v>
      </c>
      <c r="F18" s="50">
        <f t="shared" ref="F18" si="12">D18-E18</f>
        <v>11.064747813753886</v>
      </c>
      <c r="G18" s="8"/>
      <c r="H18" s="37">
        <f t="shared" si="5"/>
        <v>-3.0025681338804802</v>
      </c>
      <c r="I18" s="49">
        <f>2^-(H18)</f>
        <v>8.014253440542058</v>
      </c>
      <c r="J18" s="37"/>
      <c r="K18" s="35">
        <f>I18/$J$2</f>
        <v>3.5193942691658258</v>
      </c>
      <c r="L18" s="37">
        <f t="shared" ref="L18" si="13">AVERAGE(K18:K25)</f>
        <v>1.7843129612855195</v>
      </c>
      <c r="M18" s="35">
        <f t="shared" ref="M18" si="14">STDEV(K18:K25)/4</f>
        <v>0.39163907330615078</v>
      </c>
    </row>
    <row r="19" spans="1:13" ht="15" customHeight="1" x14ac:dyDescent="0.2">
      <c r="A19" s="19" t="s">
        <v>53</v>
      </c>
      <c r="B19" s="36"/>
      <c r="C19" s="17">
        <v>30.33</v>
      </c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19" t="s">
        <v>53</v>
      </c>
      <c r="B20" s="36" t="s">
        <v>19</v>
      </c>
      <c r="C20" s="17">
        <v>30.21</v>
      </c>
      <c r="D20" s="37">
        <f>AVERAGE(C20:C21)</f>
        <v>29.954999999999998</v>
      </c>
      <c r="E20" s="37">
        <v>17.51825332356341</v>
      </c>
      <c r="F20" s="50">
        <f t="shared" ref="F20" si="15">D20-E20</f>
        <v>12.436746676436588</v>
      </c>
      <c r="G20" s="8"/>
      <c r="H20" s="37">
        <f t="shared" si="5"/>
        <v>-1.6305692711977784</v>
      </c>
      <c r="I20" s="49">
        <f>2^-(H20)</f>
        <v>3.0963515314702743</v>
      </c>
      <c r="J20" s="37"/>
      <c r="K20" s="35">
        <f>I20/$J$2</f>
        <v>1.3597376119967395</v>
      </c>
      <c r="L20" s="37"/>
      <c r="M20" s="35"/>
    </row>
    <row r="21" spans="1:13" ht="15" customHeight="1" x14ac:dyDescent="0.2">
      <c r="A21" s="20" t="s">
        <v>53</v>
      </c>
      <c r="B21" s="36"/>
      <c r="C21" s="17">
        <v>29.7</v>
      </c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20" t="s">
        <v>53</v>
      </c>
      <c r="B22" s="36" t="s">
        <v>20</v>
      </c>
      <c r="C22" s="21"/>
      <c r="D22" s="37" t="e">
        <f>AVERAGE(C22:C23)</f>
        <v>#DIV/0!</v>
      </c>
      <c r="E22" s="37">
        <v>17.449205574599276</v>
      </c>
      <c r="F22" s="50" t="e">
        <f t="shared" ref="F22" si="16">D22-E22</f>
        <v>#DIV/0!</v>
      </c>
      <c r="G22" s="8"/>
      <c r="H22" s="37" t="e">
        <f t="shared" si="5"/>
        <v>#DIV/0!</v>
      </c>
      <c r="I22" s="49" t="e">
        <f>2^-(H22)</f>
        <v>#DIV/0!</v>
      </c>
      <c r="J22" s="37"/>
      <c r="K22" s="35"/>
      <c r="L22" s="37"/>
      <c r="M22" s="35"/>
    </row>
    <row r="23" spans="1:13" ht="15" customHeight="1" x14ac:dyDescent="0.2">
      <c r="A23" s="20" t="s">
        <v>53</v>
      </c>
      <c r="B23" s="36"/>
      <c r="C23" s="21"/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20" t="s">
        <v>53</v>
      </c>
      <c r="B24" s="36" t="s">
        <v>21</v>
      </c>
      <c r="C24" s="17">
        <v>29.69</v>
      </c>
      <c r="D24" s="37">
        <f>AVERAGE(C24:C25)</f>
        <v>30.85</v>
      </c>
      <c r="E24" s="37">
        <v>16.892296467846915</v>
      </c>
      <c r="F24" s="50">
        <f t="shared" ref="F24" si="17">D24-E24</f>
        <v>13.957703532153086</v>
      </c>
      <c r="G24" s="8"/>
      <c r="H24" s="37">
        <f t="shared" si="5"/>
        <v>-0.10961241548127987</v>
      </c>
      <c r="I24" s="49">
        <f>2^-(H24)</f>
        <v>1.0789383374182955</v>
      </c>
      <c r="J24" s="37"/>
      <c r="K24" s="35">
        <f>I24/$J$2</f>
        <v>0.47380700269399295</v>
      </c>
      <c r="L24" s="37"/>
      <c r="M24" s="35"/>
    </row>
    <row r="25" spans="1:13" ht="15" customHeight="1" x14ac:dyDescent="0.2">
      <c r="A25" s="20" t="s">
        <v>53</v>
      </c>
      <c r="B25" s="36"/>
      <c r="C25" s="17">
        <v>32.01</v>
      </c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19" t="s">
        <v>54</v>
      </c>
      <c r="B26" s="36" t="s">
        <v>23</v>
      </c>
      <c r="C26" s="17">
        <v>29.85</v>
      </c>
      <c r="D26" s="37">
        <f>AVERAGE(C26:C27)</f>
        <v>29.26</v>
      </c>
      <c r="E26" s="37">
        <v>17.460951826505497</v>
      </c>
      <c r="F26" s="50">
        <f t="shared" ref="F26" si="18">D26-E26</f>
        <v>11.799048173494505</v>
      </c>
      <c r="G26" s="8"/>
      <c r="H26" s="37">
        <f t="shared" si="5"/>
        <v>-2.2682677741398614</v>
      </c>
      <c r="I26" s="49">
        <f>2^-(H26)</f>
        <v>4.8174435926738619</v>
      </c>
      <c r="J26" s="37"/>
      <c r="K26" s="35">
        <f>I26/$J$2</f>
        <v>2.1155412039152171</v>
      </c>
      <c r="L26" s="37">
        <f t="shared" ref="L26" si="19">AVERAGE(K26:K33)</f>
        <v>2.1155412039152171</v>
      </c>
      <c r="M26" s="35" t="e">
        <f t="shared" ref="M26" si="20">STDEV(K26:K33)/4</f>
        <v>#DIV/0!</v>
      </c>
    </row>
    <row r="27" spans="1:13" ht="15" customHeight="1" x14ac:dyDescent="0.2">
      <c r="A27" s="19" t="s">
        <v>54</v>
      </c>
      <c r="B27" s="36"/>
      <c r="C27" s="17">
        <v>28.67</v>
      </c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19" t="s">
        <v>54</v>
      </c>
      <c r="B28" s="36" t="s">
        <v>24</v>
      </c>
      <c r="C28" s="21"/>
      <c r="D28" s="37" t="e">
        <f>AVERAGE(C28:C29)</f>
        <v>#DIV/0!</v>
      </c>
      <c r="E28" s="37">
        <v>17.810378746674107</v>
      </c>
      <c r="F28" s="50" t="e">
        <f t="shared" ref="F28" si="21">D28-E28</f>
        <v>#DIV/0!</v>
      </c>
      <c r="G28" s="8"/>
      <c r="H28" s="37" t="e">
        <f t="shared" si="5"/>
        <v>#DIV/0!</v>
      </c>
      <c r="I28" s="49" t="e">
        <f>2^-(H28)</f>
        <v>#DIV/0!</v>
      </c>
      <c r="J28" s="37"/>
      <c r="K28" s="35"/>
      <c r="L28" s="37"/>
      <c r="M28" s="35"/>
    </row>
    <row r="29" spans="1:13" ht="15" customHeight="1" x14ac:dyDescent="0.2">
      <c r="A29" s="19" t="s">
        <v>54</v>
      </c>
      <c r="B29" s="36"/>
      <c r="C29" s="21"/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19" t="s">
        <v>54</v>
      </c>
      <c r="B30" s="36" t="s">
        <v>25</v>
      </c>
      <c r="C30" s="21"/>
      <c r="D30" s="37" t="e">
        <f>AVERAGE(C30:C31)</f>
        <v>#DIV/0!</v>
      </c>
      <c r="E30" s="37">
        <v>17.636734292930214</v>
      </c>
      <c r="F30" s="50" t="e">
        <f t="shared" ref="F30" si="22">D30-E30</f>
        <v>#DIV/0!</v>
      </c>
      <c r="G30" s="8"/>
      <c r="H30" s="37" t="e">
        <f t="shared" si="5"/>
        <v>#DIV/0!</v>
      </c>
      <c r="I30" s="49" t="e">
        <f>2^-(H30)</f>
        <v>#DIV/0!</v>
      </c>
      <c r="J30" s="37"/>
      <c r="K30" s="35"/>
      <c r="L30" s="37"/>
      <c r="M30" s="35"/>
    </row>
    <row r="31" spans="1:13" ht="15" customHeight="1" x14ac:dyDescent="0.2">
      <c r="A31" s="19" t="s">
        <v>54</v>
      </c>
      <c r="B31" s="36"/>
      <c r="C31" s="21"/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19" t="s">
        <v>54</v>
      </c>
      <c r="B32" s="36" t="s">
        <v>26</v>
      </c>
      <c r="C32" s="21"/>
      <c r="D32" s="37" t="e">
        <f>AVERAGE(C32:C33)</f>
        <v>#DIV/0!</v>
      </c>
      <c r="E32" s="37">
        <v>18.397647607932122</v>
      </c>
      <c r="F32" s="50" t="e">
        <f t="shared" ref="F32" si="23">D32-E32</f>
        <v>#DIV/0!</v>
      </c>
      <c r="G32" s="8"/>
      <c r="H32" s="37" t="e">
        <f t="shared" si="5"/>
        <v>#DIV/0!</v>
      </c>
      <c r="I32" s="49" t="e">
        <f>2^-(H32)</f>
        <v>#DIV/0!</v>
      </c>
      <c r="J32" s="37"/>
      <c r="K32" s="35"/>
      <c r="L32" s="37"/>
      <c r="M32" s="35"/>
    </row>
    <row r="33" spans="1:13" ht="15" customHeight="1" x14ac:dyDescent="0.2">
      <c r="A33" s="19" t="s">
        <v>54</v>
      </c>
      <c r="B33" s="36"/>
      <c r="C33" s="21"/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19" t="s">
        <v>55</v>
      </c>
      <c r="B34" s="36" t="s">
        <v>28</v>
      </c>
      <c r="C34" s="21"/>
      <c r="D34" s="37" t="e">
        <f>AVERAGE(C34:C35)</f>
        <v>#DIV/0!</v>
      </c>
      <c r="E34" s="37">
        <v>16.509506697394823</v>
      </c>
      <c r="F34" s="50" t="e">
        <f t="shared" ref="F34" si="24">D34-E34</f>
        <v>#DIV/0!</v>
      </c>
      <c r="G34" s="8"/>
      <c r="H34" s="37" t="e">
        <f t="shared" si="5"/>
        <v>#DIV/0!</v>
      </c>
      <c r="I34" s="49" t="e">
        <f>2^-(H34)</f>
        <v>#DIV/0!</v>
      </c>
      <c r="J34" s="37"/>
      <c r="K34" s="35"/>
      <c r="L34" s="37">
        <f t="shared" ref="L34" si="25">AVERAGE(K34:K41)</f>
        <v>3.6832853903651155</v>
      </c>
      <c r="M34" s="35">
        <f t="shared" ref="M34" si="26">STDEV(K34:K41)/4</f>
        <v>0.19182261422248417</v>
      </c>
    </row>
    <row r="35" spans="1:13" ht="15" customHeight="1" x14ac:dyDescent="0.2">
      <c r="A35" s="19" t="s">
        <v>55</v>
      </c>
      <c r="B35" s="36"/>
      <c r="C35" s="21"/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19" t="s">
        <v>55</v>
      </c>
      <c r="B36" s="36" t="s">
        <v>29</v>
      </c>
      <c r="C36" s="17">
        <v>30.14</v>
      </c>
      <c r="D36" s="37">
        <f>AVERAGE(C36:C37)</f>
        <v>29.734999999999999</v>
      </c>
      <c r="E36" s="37">
        <v>18.343164352268513</v>
      </c>
      <c r="F36" s="50">
        <f t="shared" ref="F36" si="27">D36-E36</f>
        <v>11.391835647731487</v>
      </c>
      <c r="G36" s="8"/>
      <c r="H36" s="37">
        <f t="shared" si="5"/>
        <v>-2.6754802999028797</v>
      </c>
      <c r="I36" s="49">
        <f>2^-(H36)</f>
        <v>6.388513591370077</v>
      </c>
      <c r="J36" s="37"/>
      <c r="K36" s="35">
        <f>I36/$J$2</f>
        <v>2.8054638262644103</v>
      </c>
      <c r="L36" s="37"/>
      <c r="M36" s="35"/>
    </row>
    <row r="37" spans="1:13" ht="15" customHeight="1" x14ac:dyDescent="0.2">
      <c r="A37" s="19" t="s">
        <v>55</v>
      </c>
      <c r="B37" s="36"/>
      <c r="C37" s="17">
        <v>29.33</v>
      </c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19" t="s">
        <v>55</v>
      </c>
      <c r="B38" s="36" t="s">
        <v>30</v>
      </c>
      <c r="C38" s="17">
        <v>28.41</v>
      </c>
      <c r="D38" s="37">
        <f>AVERAGE(C38:C39)</f>
        <v>28.380000000000003</v>
      </c>
      <c r="E38" s="37">
        <v>17.506489233409525</v>
      </c>
      <c r="F38" s="50">
        <f t="shared" ref="F38" si="28">D38-E38</f>
        <v>10.873510766590478</v>
      </c>
      <c r="G38" s="8"/>
      <c r="H38" s="37">
        <f t="shared" si="5"/>
        <v>-3.1938051810438886</v>
      </c>
      <c r="I38" s="49">
        <f>2^-(H38)</f>
        <v>9.150212073937249</v>
      </c>
      <c r="J38" s="37"/>
      <c r="K38" s="35">
        <f>I38/$J$2</f>
        <v>4.0182412714525508</v>
      </c>
      <c r="L38" s="37"/>
      <c r="M38" s="35"/>
    </row>
    <row r="39" spans="1:13" ht="15" customHeight="1" x14ac:dyDescent="0.2">
      <c r="A39" s="19" t="s">
        <v>55</v>
      </c>
      <c r="B39" s="36"/>
      <c r="C39" s="17">
        <v>28.35</v>
      </c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19" t="s">
        <v>55</v>
      </c>
      <c r="B40" s="36" t="s">
        <v>31</v>
      </c>
      <c r="C40" s="17">
        <v>29.29</v>
      </c>
      <c r="D40" s="37">
        <f>AVERAGE(C40:C41)</f>
        <v>29.509999999999998</v>
      </c>
      <c r="E40" s="37">
        <v>18.70926938210307</v>
      </c>
      <c r="F40" s="50">
        <f t="shared" ref="F40" si="29">D40-E40</f>
        <v>10.800730617896928</v>
      </c>
      <c r="G40" s="8"/>
      <c r="H40" s="37">
        <f t="shared" si="5"/>
        <v>-3.2665853297374383</v>
      </c>
      <c r="I40" s="49">
        <f>2^-(H40)</f>
        <v>9.6236577063305386</v>
      </c>
      <c r="J40" s="37"/>
      <c r="K40" s="35">
        <f>I40/$J$2</f>
        <v>4.2261510733783849</v>
      </c>
      <c r="L40" s="37"/>
      <c r="M40" s="35"/>
    </row>
    <row r="41" spans="1:13" ht="15" customHeight="1" x14ac:dyDescent="0.2">
      <c r="A41" s="19" t="s">
        <v>55</v>
      </c>
      <c r="B41" s="36"/>
      <c r="C41" s="17">
        <v>29.73</v>
      </c>
      <c r="D41" s="37"/>
      <c r="E41" s="37"/>
      <c r="F41" s="50"/>
      <c r="G41" s="8"/>
      <c r="H41" s="37"/>
      <c r="I41" s="49"/>
      <c r="J41" s="37"/>
      <c r="K41" s="35"/>
      <c r="L41" s="37"/>
      <c r="M41" s="35"/>
    </row>
    <row r="42" spans="1:13" x14ac:dyDescent="0.2">
      <c r="A42" s="33" t="s">
        <v>56</v>
      </c>
    </row>
    <row r="43" spans="1:13" x14ac:dyDescent="0.2">
      <c r="A43" s="32" t="s">
        <v>56</v>
      </c>
    </row>
    <row r="44" spans="1:13" x14ac:dyDescent="0.2">
      <c r="A44" s="32" t="s">
        <v>56</v>
      </c>
    </row>
    <row r="45" spans="1:13" x14ac:dyDescent="0.2">
      <c r="A45" s="32" t="s">
        <v>56</v>
      </c>
    </row>
    <row r="46" spans="1:13" x14ac:dyDescent="0.2">
      <c r="A46" s="32" t="s">
        <v>56</v>
      </c>
    </row>
    <row r="47" spans="1:13" x14ac:dyDescent="0.2">
      <c r="A47" s="32" t="s">
        <v>56</v>
      </c>
    </row>
    <row r="48" spans="1:13" x14ac:dyDescent="0.2">
      <c r="A48" s="32" t="s">
        <v>56</v>
      </c>
    </row>
    <row r="49" spans="1:1" x14ac:dyDescent="0.2">
      <c r="A49" s="32" t="s">
        <v>56</v>
      </c>
    </row>
  </sheetData>
  <mergeCells count="156">
    <mergeCell ref="L2:L9"/>
    <mergeCell ref="M2:M9"/>
    <mergeCell ref="H4:H5"/>
    <mergeCell ref="I4:I5"/>
    <mergeCell ref="K4:K5"/>
    <mergeCell ref="K6:K7"/>
    <mergeCell ref="B2:B3"/>
    <mergeCell ref="D2:D3"/>
    <mergeCell ref="E2:E3"/>
    <mergeCell ref="F2:F3"/>
    <mergeCell ref="G2:G9"/>
    <mergeCell ref="B4:B5"/>
    <mergeCell ref="D4:D5"/>
    <mergeCell ref="E4:E5"/>
    <mergeCell ref="F4:F5"/>
    <mergeCell ref="B6:B7"/>
    <mergeCell ref="D6:D7"/>
    <mergeCell ref="E6:E7"/>
    <mergeCell ref="F6:F7"/>
    <mergeCell ref="H6:H7"/>
    <mergeCell ref="I6:I7"/>
    <mergeCell ref="H2:H3"/>
    <mergeCell ref="I2:I3"/>
    <mergeCell ref="J2:J9"/>
    <mergeCell ref="I10:I11"/>
    <mergeCell ref="J10:J17"/>
    <mergeCell ref="K10:K11"/>
    <mergeCell ref="B8:B9"/>
    <mergeCell ref="D8:D9"/>
    <mergeCell ref="E8:E9"/>
    <mergeCell ref="F8:F9"/>
    <mergeCell ref="H8:H9"/>
    <mergeCell ref="I8:I9"/>
    <mergeCell ref="D14:D15"/>
    <mergeCell ref="E14:E15"/>
    <mergeCell ref="F14:F15"/>
    <mergeCell ref="H14:H15"/>
    <mergeCell ref="I14:I15"/>
    <mergeCell ref="K14:K15"/>
    <mergeCell ref="K2:K3"/>
    <mergeCell ref="L10:L17"/>
    <mergeCell ref="M10:M17"/>
    <mergeCell ref="B12:B13"/>
    <mergeCell ref="D12:D13"/>
    <mergeCell ref="E12:E13"/>
    <mergeCell ref="F12:F13"/>
    <mergeCell ref="H12:H13"/>
    <mergeCell ref="I12:I13"/>
    <mergeCell ref="K12:K13"/>
    <mergeCell ref="B14:B15"/>
    <mergeCell ref="K16:K17"/>
    <mergeCell ref="B16:B17"/>
    <mergeCell ref="D16:D17"/>
    <mergeCell ref="E16:E17"/>
    <mergeCell ref="F16:F17"/>
    <mergeCell ref="H16:H17"/>
    <mergeCell ref="I16:I17"/>
    <mergeCell ref="K8:K9"/>
    <mergeCell ref="B10:B11"/>
    <mergeCell ref="D10:D11"/>
    <mergeCell ref="E10:E11"/>
    <mergeCell ref="F10:F11"/>
    <mergeCell ref="H10:H11"/>
    <mergeCell ref="L18:L25"/>
    <mergeCell ref="M18:M25"/>
    <mergeCell ref="B20:B21"/>
    <mergeCell ref="D20:D21"/>
    <mergeCell ref="E20:E21"/>
    <mergeCell ref="F20:F21"/>
    <mergeCell ref="H20:H21"/>
    <mergeCell ref="I20:I21"/>
    <mergeCell ref="K20:K21"/>
    <mergeCell ref="B22:B23"/>
    <mergeCell ref="K24:K25"/>
    <mergeCell ref="B18:B19"/>
    <mergeCell ref="D18:D19"/>
    <mergeCell ref="E18:E19"/>
    <mergeCell ref="F18:F19"/>
    <mergeCell ref="H18:H19"/>
    <mergeCell ref="I18:I19"/>
    <mergeCell ref="J18:J25"/>
    <mergeCell ref="K18:K19"/>
    <mergeCell ref="K22:K23"/>
    <mergeCell ref="B24:B25"/>
    <mergeCell ref="D24:D25"/>
    <mergeCell ref="E24:E25"/>
    <mergeCell ref="F24:F25"/>
    <mergeCell ref="H24:H25"/>
    <mergeCell ref="I24:I25"/>
    <mergeCell ref="D30:D31"/>
    <mergeCell ref="E30:E31"/>
    <mergeCell ref="F30:F31"/>
    <mergeCell ref="H30:H31"/>
    <mergeCell ref="I30:I31"/>
    <mergeCell ref="D22:D23"/>
    <mergeCell ref="E22:E23"/>
    <mergeCell ref="F22:F23"/>
    <mergeCell ref="H22:H23"/>
    <mergeCell ref="I22:I23"/>
    <mergeCell ref="L26:L33"/>
    <mergeCell ref="M26:M33"/>
    <mergeCell ref="B28:B29"/>
    <mergeCell ref="D28:D29"/>
    <mergeCell ref="E28:E29"/>
    <mergeCell ref="F28:F29"/>
    <mergeCell ref="H28:H29"/>
    <mergeCell ref="I28:I29"/>
    <mergeCell ref="K28:K29"/>
    <mergeCell ref="B30:B31"/>
    <mergeCell ref="K32:K33"/>
    <mergeCell ref="B26:B27"/>
    <mergeCell ref="D26:D27"/>
    <mergeCell ref="E26:E27"/>
    <mergeCell ref="F26:F27"/>
    <mergeCell ref="H26:H27"/>
    <mergeCell ref="I26:I27"/>
    <mergeCell ref="J26:J33"/>
    <mergeCell ref="K26:K27"/>
    <mergeCell ref="K30:K31"/>
    <mergeCell ref="D34:D35"/>
    <mergeCell ref="E34:E35"/>
    <mergeCell ref="F34:F35"/>
    <mergeCell ref="H34:H35"/>
    <mergeCell ref="I34:I35"/>
    <mergeCell ref="J34:J41"/>
    <mergeCell ref="K34:K35"/>
    <mergeCell ref="B32:B33"/>
    <mergeCell ref="D32:D33"/>
    <mergeCell ref="E32:E33"/>
    <mergeCell ref="F32:F33"/>
    <mergeCell ref="H32:H33"/>
    <mergeCell ref="I32:I33"/>
    <mergeCell ref="L34:L41"/>
    <mergeCell ref="M34:M41"/>
    <mergeCell ref="B36:B37"/>
    <mergeCell ref="D36:D37"/>
    <mergeCell ref="E36:E37"/>
    <mergeCell ref="F36:F37"/>
    <mergeCell ref="H36:H37"/>
    <mergeCell ref="I36:I37"/>
    <mergeCell ref="K36:K37"/>
    <mergeCell ref="B38:B39"/>
    <mergeCell ref="K40:K41"/>
    <mergeCell ref="B40:B41"/>
    <mergeCell ref="D40:D41"/>
    <mergeCell ref="E40:E41"/>
    <mergeCell ref="F40:F41"/>
    <mergeCell ref="H40:H41"/>
    <mergeCell ref="I40:I41"/>
    <mergeCell ref="D38:D39"/>
    <mergeCell ref="E38:E39"/>
    <mergeCell ref="F38:F39"/>
    <mergeCell ref="H38:H39"/>
    <mergeCell ref="I38:I39"/>
    <mergeCell ref="K38:K39"/>
    <mergeCell ref="B34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9E9E-42E6-4467-8389-64718A5DCF5D}">
  <sheetPr>
    <tabColor theme="5" tint="0.39997558519241921"/>
  </sheetPr>
  <dimension ref="A1:M49"/>
  <sheetViews>
    <sheetView topLeftCell="J8" workbookViewId="0">
      <selection activeCell="M18" sqref="M18:M25"/>
    </sheetView>
  </sheetViews>
  <sheetFormatPr baseColWidth="10" defaultColWidth="8.83203125" defaultRowHeight="15" x14ac:dyDescent="0.2"/>
  <cols>
    <col min="1" max="1" width="16.1640625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2" max="12" width="9"/>
    <col min="13" max="13" width="13.6640625" customWidth="1"/>
  </cols>
  <sheetData>
    <row r="1" spans="1:13" ht="16" x14ac:dyDescent="0.2">
      <c r="A1" s="2" t="s">
        <v>51</v>
      </c>
      <c r="B1" s="6" t="s">
        <v>2</v>
      </c>
      <c r="C1" s="3" t="s">
        <v>40</v>
      </c>
      <c r="D1" s="2" t="s">
        <v>4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 x14ac:dyDescent="0.2">
      <c r="A2" s="34" t="s">
        <v>64</v>
      </c>
      <c r="B2" s="39">
        <v>1</v>
      </c>
      <c r="C2" s="17">
        <v>26.08</v>
      </c>
      <c r="D2" s="37">
        <f>AVERAGE(C2:C3)</f>
        <v>26.085000000000001</v>
      </c>
      <c r="E2" s="37">
        <v>17.190287859484446</v>
      </c>
      <c r="F2" s="50">
        <f>D2-E2</f>
        <v>8.8947121405155549</v>
      </c>
      <c r="G2" s="37">
        <f>AVERAGE(F2:F9)</f>
        <v>10.587315947634366</v>
      </c>
      <c r="H2" s="37">
        <f>F2-$G$2</f>
        <v>-1.692603807118811</v>
      </c>
      <c r="I2" s="49">
        <f>2^-(H2)</f>
        <v>3.2323956728933512</v>
      </c>
      <c r="J2" s="37">
        <f>AVERAGE(I2:I9)</f>
        <v>2.1418450297273748</v>
      </c>
      <c r="K2" s="35">
        <f>I2/$J$2</f>
        <v>1.5091641216007059</v>
      </c>
      <c r="L2" s="37">
        <f>AVERAGE(K2:K9)</f>
        <v>1</v>
      </c>
      <c r="M2" s="35">
        <f>STDEV(K2:K9)/4</f>
        <v>0.21123175602592803</v>
      </c>
    </row>
    <row r="3" spans="1:13" x14ac:dyDescent="0.2">
      <c r="A3" s="34" t="s">
        <v>64</v>
      </c>
      <c r="B3" s="39"/>
      <c r="C3" s="17">
        <v>26.09</v>
      </c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x14ac:dyDescent="0.2">
      <c r="A4" s="34" t="s">
        <v>64</v>
      </c>
      <c r="B4" s="36" t="s">
        <v>9</v>
      </c>
      <c r="C4" s="17">
        <v>25.7</v>
      </c>
      <c r="D4" s="37">
        <f>AVERAGE(C4:C5)</f>
        <v>25.744999999999997</v>
      </c>
      <c r="E4" s="37">
        <v>17.164287644881519</v>
      </c>
      <c r="F4" s="50">
        <f t="shared" ref="F4" si="0">D4-E4</f>
        <v>8.5807123551184787</v>
      </c>
      <c r="G4" s="37"/>
      <c r="H4" s="37">
        <f t="shared" ref="H4" si="1">F4-$G$2</f>
        <v>-2.0066035925158872</v>
      </c>
      <c r="I4" s="49">
        <f>2^-(H4)</f>
        <v>4.0183510127884663</v>
      </c>
      <c r="J4" s="37"/>
      <c r="K4" s="35">
        <f>I4/$J$2</f>
        <v>1.8761165990146089</v>
      </c>
      <c r="L4" s="37"/>
      <c r="M4" s="35"/>
    </row>
    <row r="5" spans="1:13" x14ac:dyDescent="0.2">
      <c r="A5" s="34" t="s">
        <v>64</v>
      </c>
      <c r="B5" s="36"/>
      <c r="C5" s="17">
        <v>25.79</v>
      </c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x14ac:dyDescent="0.2">
      <c r="A6" s="34" t="s">
        <v>64</v>
      </c>
      <c r="B6" s="36" t="s">
        <v>10</v>
      </c>
      <c r="C6" s="17">
        <v>26.21</v>
      </c>
      <c r="D6" s="37">
        <f>AVERAGE(C6:C7)</f>
        <v>26.164999999999999</v>
      </c>
      <c r="E6" s="37">
        <v>15.905719176330518</v>
      </c>
      <c r="F6" s="50">
        <f t="shared" ref="F6" si="2">D6-E6</f>
        <v>10.259280823669481</v>
      </c>
      <c r="G6" s="37"/>
      <c r="H6" s="37">
        <f t="shared" ref="H6" si="3">F6-$G$2</f>
        <v>-0.32803512396488443</v>
      </c>
      <c r="I6" s="49">
        <f>2^-(H6)</f>
        <v>1.25530255260351</v>
      </c>
      <c r="J6" s="37"/>
      <c r="K6" s="35">
        <f>I6/$J$2</f>
        <v>0.5860846770801581</v>
      </c>
      <c r="L6" s="37"/>
      <c r="M6" s="35"/>
    </row>
    <row r="7" spans="1:13" x14ac:dyDescent="0.2">
      <c r="A7" s="34" t="s">
        <v>64</v>
      </c>
      <c r="B7" s="36"/>
      <c r="C7" s="17">
        <v>26.12</v>
      </c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x14ac:dyDescent="0.2">
      <c r="A8" s="34" t="s">
        <v>64</v>
      </c>
      <c r="B8" s="36" t="s">
        <v>11</v>
      </c>
      <c r="C8" s="17">
        <v>30.24</v>
      </c>
      <c r="D8" s="37">
        <f>AVERAGE(C8:C9)</f>
        <v>30.664999999999999</v>
      </c>
      <c r="E8" s="37">
        <v>16.050441528766051</v>
      </c>
      <c r="F8" s="50">
        <f t="shared" ref="F8" si="4">D8-E8</f>
        <v>14.614558471233948</v>
      </c>
      <c r="G8" s="37"/>
      <c r="H8" s="37">
        <f t="shared" ref="H8:H40" si="5">F8-$G$2</f>
        <v>4.0272425235995826</v>
      </c>
      <c r="I8" s="49">
        <f>2^-(H8)</f>
        <v>6.1330880624171288E-2</v>
      </c>
      <c r="J8" s="37"/>
      <c r="K8" s="35">
        <f>I8/$J$2</f>
        <v>2.8634602304527048E-2</v>
      </c>
      <c r="L8" s="37"/>
      <c r="M8" s="35"/>
    </row>
    <row r="9" spans="1:13" ht="15" customHeight="1" x14ac:dyDescent="0.2">
      <c r="A9" s="34" t="s">
        <v>64</v>
      </c>
      <c r="B9" s="36"/>
      <c r="C9" s="17">
        <v>31.09</v>
      </c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4" t="s">
        <v>63</v>
      </c>
      <c r="B10" s="36" t="s">
        <v>13</v>
      </c>
      <c r="C10" s="17">
        <v>26.55</v>
      </c>
      <c r="D10" s="37">
        <f>AVERAGE(C10:C11)</f>
        <v>26.880000000000003</v>
      </c>
      <c r="E10" s="37">
        <v>17.143829345000096</v>
      </c>
      <c r="F10" s="50">
        <f t="shared" ref="F10" si="6">D10-E10</f>
        <v>9.7361706549999063</v>
      </c>
      <c r="G10" s="8"/>
      <c r="H10" s="37">
        <f t="shared" si="5"/>
        <v>-0.85114529263445959</v>
      </c>
      <c r="I10" s="49">
        <f>2^-(H10)</f>
        <v>1.8039324201714471</v>
      </c>
      <c r="J10" s="37"/>
      <c r="K10" s="35">
        <f>I10/$J$2</f>
        <v>0.84223293241764596</v>
      </c>
      <c r="L10" s="37">
        <f t="shared" ref="L10" si="7">AVERAGE(K10:K17)</f>
        <v>1.527743619971929</v>
      </c>
      <c r="M10" s="35">
        <f t="shared" ref="M10" si="8">STDEV(K10:K17)/4</f>
        <v>0.22437848791036744</v>
      </c>
    </row>
    <row r="11" spans="1:13" ht="15" customHeight="1" x14ac:dyDescent="0.2">
      <c r="A11" s="34" t="s">
        <v>63</v>
      </c>
      <c r="B11" s="36"/>
      <c r="C11" s="17">
        <v>27.21</v>
      </c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4" t="s">
        <v>63</v>
      </c>
      <c r="B12" s="36" t="s">
        <v>14</v>
      </c>
      <c r="C12" s="17">
        <v>26.04</v>
      </c>
      <c r="D12" s="37">
        <f>AVERAGE(C12:C13)</f>
        <v>25.975000000000001</v>
      </c>
      <c r="E12" s="37">
        <v>17.978019717604003</v>
      </c>
      <c r="F12" s="50">
        <f t="shared" ref="F12" si="9">D12-E12</f>
        <v>7.9969802823959988</v>
      </c>
      <c r="G12" s="8"/>
      <c r="H12" s="37">
        <f t="shared" si="5"/>
        <v>-2.5903356652383671</v>
      </c>
      <c r="I12" s="49">
        <f>2^-(H12)</f>
        <v>6.0223880280526805</v>
      </c>
      <c r="J12" s="37"/>
      <c r="K12" s="35">
        <f>I12/$J$2</f>
        <v>2.8117758028550002</v>
      </c>
      <c r="L12" s="37"/>
      <c r="M12" s="35"/>
    </row>
    <row r="13" spans="1:13" ht="15" customHeight="1" x14ac:dyDescent="0.2">
      <c r="A13" s="34" t="s">
        <v>63</v>
      </c>
      <c r="B13" s="36"/>
      <c r="C13" s="17">
        <v>25.91</v>
      </c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4" t="s">
        <v>63</v>
      </c>
      <c r="B14" s="36" t="s">
        <v>15</v>
      </c>
      <c r="C14" s="17">
        <v>27.12</v>
      </c>
      <c r="D14" s="37">
        <f>AVERAGE(C14:C15)</f>
        <v>26.905000000000001</v>
      </c>
      <c r="E14" s="37">
        <v>17.974532197115273</v>
      </c>
      <c r="F14" s="50">
        <f t="shared" ref="F14" si="10">D14-E14</f>
        <v>8.9304678028847277</v>
      </c>
      <c r="G14" s="8"/>
      <c r="H14" s="37">
        <f t="shared" si="5"/>
        <v>-1.6568481447496382</v>
      </c>
      <c r="I14" s="49">
        <f>2^-(H14)</f>
        <v>3.1532687718703292</v>
      </c>
      <c r="J14" s="37"/>
      <c r="K14" s="35">
        <f>I14/$J$2</f>
        <v>1.4722207854000033</v>
      </c>
      <c r="L14" s="37"/>
      <c r="M14" s="35"/>
    </row>
    <row r="15" spans="1:13" ht="15" customHeight="1" x14ac:dyDescent="0.2">
      <c r="A15" s="34" t="s">
        <v>63</v>
      </c>
      <c r="B15" s="36"/>
      <c r="C15" s="17">
        <v>26.69</v>
      </c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4" t="s">
        <v>63</v>
      </c>
      <c r="B16" s="36" t="s">
        <v>16</v>
      </c>
      <c r="C16" s="17">
        <v>27.34</v>
      </c>
      <c r="D16" s="37">
        <f>AVERAGE(C16:C17)</f>
        <v>26.83</v>
      </c>
      <c r="E16" s="37">
        <v>17.319360183997457</v>
      </c>
      <c r="F16" s="50">
        <f t="shared" ref="F16" si="11">D16-E16</f>
        <v>9.5106398160025414</v>
      </c>
      <c r="G16" s="8"/>
      <c r="H16" s="37">
        <f t="shared" si="5"/>
        <v>-1.0766761316318245</v>
      </c>
      <c r="I16" s="49">
        <f>2^-(H16)</f>
        <v>2.1091710964438759</v>
      </c>
      <c r="J16" s="37"/>
      <c r="K16" s="35">
        <f>I16/$J$2</f>
        <v>0.98474495921506622</v>
      </c>
      <c r="L16" s="37"/>
      <c r="M16" s="35"/>
    </row>
    <row r="17" spans="1:13" ht="15" customHeight="1" x14ac:dyDescent="0.2">
      <c r="A17" s="34" t="s">
        <v>63</v>
      </c>
      <c r="B17" s="36"/>
      <c r="C17" s="17">
        <v>26.32</v>
      </c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19" t="s">
        <v>53</v>
      </c>
      <c r="B18" s="36" t="s">
        <v>18</v>
      </c>
      <c r="C18" s="17">
        <v>27.07</v>
      </c>
      <c r="D18" s="37">
        <f>AVERAGE(C18:C19)</f>
        <v>27.105</v>
      </c>
      <c r="E18" s="37">
        <v>19.205252186246113</v>
      </c>
      <c r="F18" s="50">
        <f t="shared" ref="F18" si="12">D18-E18</f>
        <v>7.899747813753887</v>
      </c>
      <c r="G18" s="8"/>
      <c r="H18" s="37">
        <f t="shared" si="5"/>
        <v>-2.6875681338804789</v>
      </c>
      <c r="I18" s="49">
        <f>2^-(H18)</f>
        <v>6.4422655682464374</v>
      </c>
      <c r="J18" s="37"/>
      <c r="K18" s="35">
        <f>I18/$J$2</f>
        <v>3.0078112463003182</v>
      </c>
      <c r="L18" s="37">
        <f t="shared" ref="L18" si="13">AVERAGE(K18:K25)</f>
        <v>1.3333935740369234</v>
      </c>
      <c r="M18" s="35">
        <f t="shared" ref="M18" si="14">STDEV(K18:K25)/4</f>
        <v>0.31893645192174541</v>
      </c>
    </row>
    <row r="19" spans="1:13" ht="15" customHeight="1" x14ac:dyDescent="0.2">
      <c r="A19" s="19" t="s">
        <v>53</v>
      </c>
      <c r="B19" s="36"/>
      <c r="C19" s="17">
        <v>27.14</v>
      </c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19" t="s">
        <v>53</v>
      </c>
      <c r="B20" s="36" t="s">
        <v>19</v>
      </c>
      <c r="C20" s="17">
        <v>26.31</v>
      </c>
      <c r="D20" s="37">
        <f>AVERAGE(C20:C21)</f>
        <v>26.41</v>
      </c>
      <c r="E20" s="37">
        <v>17.51825332356341</v>
      </c>
      <c r="F20" s="50">
        <f t="shared" ref="F20" si="15">D20-E20</f>
        <v>8.8917466764365898</v>
      </c>
      <c r="G20" s="8"/>
      <c r="H20" s="37">
        <f t="shared" si="5"/>
        <v>-1.6955692711977761</v>
      </c>
      <c r="I20" s="49">
        <f>2^-(H20)</f>
        <v>3.2390467053745828</v>
      </c>
      <c r="J20" s="37"/>
      <c r="K20" s="35">
        <f>I20/$J$2</f>
        <v>1.5122694034436588</v>
      </c>
      <c r="L20" s="37"/>
      <c r="M20" s="35"/>
    </row>
    <row r="21" spans="1:13" ht="15" customHeight="1" x14ac:dyDescent="0.2">
      <c r="A21" s="20" t="s">
        <v>53</v>
      </c>
      <c r="B21" s="36"/>
      <c r="C21" s="17">
        <v>26.51</v>
      </c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20" t="s">
        <v>53</v>
      </c>
      <c r="B22" s="36" t="s">
        <v>20</v>
      </c>
      <c r="C22" s="17">
        <v>35.31</v>
      </c>
      <c r="D22" s="37">
        <f>AVERAGE(C22:C23)</f>
        <v>37.200000000000003</v>
      </c>
      <c r="E22" s="37">
        <v>17.449205574599276</v>
      </c>
      <c r="F22" s="50">
        <f t="shared" ref="F22" si="16">D22-E22</f>
        <v>19.750794425400727</v>
      </c>
      <c r="G22" s="8"/>
      <c r="H22" s="37">
        <f t="shared" si="5"/>
        <v>9.1634784777663612</v>
      </c>
      <c r="I22" s="49">
        <f>2^-(H22)</f>
        <v>1.7438860900173881E-3</v>
      </c>
      <c r="J22" s="37"/>
      <c r="K22" s="35">
        <f>I22/$J$2</f>
        <v>8.1419807026811785E-4</v>
      </c>
      <c r="L22" s="37"/>
      <c r="M22" s="35"/>
    </row>
    <row r="23" spans="1:13" ht="15" customHeight="1" x14ac:dyDescent="0.2">
      <c r="A23" s="20" t="s">
        <v>53</v>
      </c>
      <c r="B23" s="36"/>
      <c r="C23" s="17">
        <v>39.090000000000003</v>
      </c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20" t="s">
        <v>53</v>
      </c>
      <c r="B24" s="36" t="s">
        <v>21</v>
      </c>
      <c r="C24" s="17">
        <v>26.64</v>
      </c>
      <c r="D24" s="37">
        <f>AVERAGE(C24:C25)</f>
        <v>26.68</v>
      </c>
      <c r="E24" s="37">
        <v>16.892296467846915</v>
      </c>
      <c r="F24" s="50">
        <f t="shared" ref="F24" si="17">D24-E24</f>
        <v>9.7877035321530848</v>
      </c>
      <c r="G24" s="8"/>
      <c r="H24" s="37">
        <f t="shared" si="5"/>
        <v>-0.79961241548128115</v>
      </c>
      <c r="I24" s="49">
        <f>2^-(H24)</f>
        <v>1.7406334371745817</v>
      </c>
      <c r="J24" s="37"/>
      <c r="K24" s="35">
        <f>I24/$J$2</f>
        <v>0.81267944833344863</v>
      </c>
      <c r="L24" s="37"/>
      <c r="M24" s="35"/>
    </row>
    <row r="25" spans="1:13" ht="15" customHeight="1" x14ac:dyDescent="0.2">
      <c r="A25" s="20" t="s">
        <v>53</v>
      </c>
      <c r="B25" s="36"/>
      <c r="C25" s="17">
        <v>26.72</v>
      </c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19" t="s">
        <v>54</v>
      </c>
      <c r="B26" s="36" t="s">
        <v>23</v>
      </c>
      <c r="C26" s="17">
        <v>25.92</v>
      </c>
      <c r="D26" s="37">
        <f>AVERAGE(C26:C27)</f>
        <v>26.11</v>
      </c>
      <c r="E26" s="37">
        <v>17.460951826505497</v>
      </c>
      <c r="F26" s="50">
        <f t="shared" ref="F26" si="18">D26-E26</f>
        <v>8.6490481734945028</v>
      </c>
      <c r="G26" s="8"/>
      <c r="H26" s="37">
        <f t="shared" si="5"/>
        <v>-1.9382677741398631</v>
      </c>
      <c r="I26" s="49">
        <f>2^-(H26)</f>
        <v>3.8324521364034307</v>
      </c>
      <c r="J26" s="37"/>
      <c r="K26" s="35">
        <f>I26/$J$2</f>
        <v>1.7893227956325324</v>
      </c>
      <c r="L26" s="37">
        <f t="shared" ref="L26" si="19">AVERAGE(K26:K33)</f>
        <v>0.59771868009686979</v>
      </c>
      <c r="M26" s="35">
        <f t="shared" ref="M26" si="20">STDEV(K26:K33)/4</f>
        <v>0.25799019590711708</v>
      </c>
    </row>
    <row r="27" spans="1:13" ht="15" customHeight="1" x14ac:dyDescent="0.2">
      <c r="A27" s="19" t="s">
        <v>54</v>
      </c>
      <c r="B27" s="36"/>
      <c r="C27" s="17">
        <v>26.3</v>
      </c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19" t="s">
        <v>54</v>
      </c>
      <c r="B28" s="36" t="s">
        <v>24</v>
      </c>
      <c r="C28" s="21"/>
      <c r="D28" s="37" t="e">
        <f>AVERAGE(C28:C29)</f>
        <v>#DIV/0!</v>
      </c>
      <c r="E28" s="37">
        <v>17.810378746674107</v>
      </c>
      <c r="F28" s="50" t="e">
        <f t="shared" ref="F28" si="21">D28-E28</f>
        <v>#DIV/0!</v>
      </c>
      <c r="G28" s="8"/>
      <c r="H28" s="37" t="e">
        <f t="shared" si="5"/>
        <v>#DIV/0!</v>
      </c>
      <c r="I28" s="49" t="e">
        <f>2^-(H28)</f>
        <v>#DIV/0!</v>
      </c>
      <c r="J28" s="37"/>
      <c r="K28" s="35"/>
      <c r="L28" s="37"/>
      <c r="M28" s="35"/>
    </row>
    <row r="29" spans="1:13" ht="15" customHeight="1" x14ac:dyDescent="0.2">
      <c r="A29" s="19" t="s">
        <v>54</v>
      </c>
      <c r="B29" s="36"/>
      <c r="C29" s="21"/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19" t="s">
        <v>54</v>
      </c>
      <c r="B30" s="36" t="s">
        <v>25</v>
      </c>
      <c r="C30" s="17">
        <v>39.1</v>
      </c>
      <c r="D30" s="37">
        <f>AVERAGE(C30:C31)</f>
        <v>39.1</v>
      </c>
      <c r="E30" s="37">
        <v>17.636734292930214</v>
      </c>
      <c r="F30" s="50">
        <f t="shared" ref="F30" si="22">D30-E30</f>
        <v>21.463265707069787</v>
      </c>
      <c r="G30" s="8"/>
      <c r="H30" s="37">
        <f t="shared" si="5"/>
        <v>10.875949759435422</v>
      </c>
      <c r="I30" s="49">
        <f>2^-(H30)</f>
        <v>5.3212405396330391E-4</v>
      </c>
      <c r="J30" s="37"/>
      <c r="K30" s="35">
        <f>I30/$J$2</f>
        <v>2.4844190246155922E-4</v>
      </c>
      <c r="L30" s="37"/>
      <c r="M30" s="35"/>
    </row>
    <row r="31" spans="1:13" ht="15" customHeight="1" x14ac:dyDescent="0.2">
      <c r="A31" s="19" t="s">
        <v>54</v>
      </c>
      <c r="B31" s="36"/>
      <c r="C31" s="17"/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19" t="s">
        <v>54</v>
      </c>
      <c r="B32" s="36" t="s">
        <v>26</v>
      </c>
      <c r="C32" s="17">
        <v>35.96</v>
      </c>
      <c r="D32" s="37">
        <f>AVERAGE(C32:C33)</f>
        <v>36.010000000000005</v>
      </c>
      <c r="E32" s="37">
        <v>18.397647607932122</v>
      </c>
      <c r="F32" s="50">
        <f t="shared" ref="F32" si="23">D32-E32</f>
        <v>17.612352392067883</v>
      </c>
      <c r="G32" s="8"/>
      <c r="H32" s="37">
        <f t="shared" si="5"/>
        <v>7.0250364444335176</v>
      </c>
      <c r="I32" s="49">
        <f>2^-(H32)</f>
        <v>7.678091964667789E-3</v>
      </c>
      <c r="J32" s="37"/>
      <c r="K32" s="35">
        <f>I32/$J$2</f>
        <v>3.5848027556153756E-3</v>
      </c>
      <c r="L32" s="37"/>
      <c r="M32" s="35"/>
    </row>
    <row r="33" spans="1:13" ht="15" customHeight="1" x14ac:dyDescent="0.2">
      <c r="A33" s="19" t="s">
        <v>54</v>
      </c>
      <c r="B33" s="36"/>
      <c r="C33" s="17">
        <v>36.06</v>
      </c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19" t="s">
        <v>55</v>
      </c>
      <c r="B34" s="36" t="s">
        <v>28</v>
      </c>
      <c r="C34" s="17">
        <v>36.68</v>
      </c>
      <c r="D34" s="37">
        <f>AVERAGE(C34:C35)</f>
        <v>36.68</v>
      </c>
      <c r="E34" s="37">
        <v>16.509506697394823</v>
      </c>
      <c r="F34" s="50">
        <f t="shared" ref="F34" si="24">D34-E34</f>
        <v>20.170493302605177</v>
      </c>
      <c r="G34" s="8"/>
      <c r="H34" s="37">
        <f t="shared" si="5"/>
        <v>9.583177354970811</v>
      </c>
      <c r="I34" s="49">
        <f>2^-(H34)</f>
        <v>1.3036954877608004E-3</v>
      </c>
      <c r="J34" s="37"/>
      <c r="K34" s="35">
        <f>I34/$J$2</f>
        <v>6.0867871842564707E-4</v>
      </c>
      <c r="L34" s="37">
        <f t="shared" ref="L34" si="25">AVERAGE(K34:K41)</f>
        <v>2.2575251782837897</v>
      </c>
      <c r="M34" s="35">
        <f t="shared" ref="M34" si="26">STDEV(K34:K41)/4</f>
        <v>0.38730324468653726</v>
      </c>
    </row>
    <row r="35" spans="1:13" ht="15" customHeight="1" x14ac:dyDescent="0.2">
      <c r="A35" s="19" t="s">
        <v>55</v>
      </c>
      <c r="B35" s="36"/>
      <c r="C35" s="17"/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19" t="s">
        <v>55</v>
      </c>
      <c r="B36" s="36" t="s">
        <v>29</v>
      </c>
      <c r="C36" s="17">
        <v>26.39</v>
      </c>
      <c r="D36" s="37">
        <f>AVERAGE(C36:C37)</f>
        <v>26.515000000000001</v>
      </c>
      <c r="E36" s="37">
        <v>18.343164352268513</v>
      </c>
      <c r="F36" s="50">
        <f t="shared" ref="F36" si="27">D36-E36</f>
        <v>8.1718356477314877</v>
      </c>
      <c r="G36" s="8"/>
      <c r="H36" s="37">
        <f t="shared" si="5"/>
        <v>-2.4154802999028782</v>
      </c>
      <c r="I36" s="49">
        <f>2^-(H36)</f>
        <v>5.334970523257093</v>
      </c>
      <c r="J36" s="37"/>
      <c r="K36" s="35">
        <f>I36/$J$2</f>
        <v>2.4908293780414898</v>
      </c>
      <c r="L36" s="37"/>
      <c r="M36" s="35"/>
    </row>
    <row r="37" spans="1:13" ht="15" customHeight="1" x14ac:dyDescent="0.2">
      <c r="A37" s="19" t="s">
        <v>55</v>
      </c>
      <c r="B37" s="36"/>
      <c r="C37" s="17">
        <v>26.64</v>
      </c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19" t="s">
        <v>55</v>
      </c>
      <c r="B38" s="36" t="s">
        <v>30</v>
      </c>
      <c r="C38" s="17">
        <v>25.32</v>
      </c>
      <c r="D38" s="37">
        <f>AVERAGE(C38:C39)</f>
        <v>25.265000000000001</v>
      </c>
      <c r="E38" s="37">
        <v>17.506489233409525</v>
      </c>
      <c r="F38" s="50">
        <f t="shared" ref="F38" si="28">D38-E38</f>
        <v>7.7585107665904758</v>
      </c>
      <c r="G38" s="8"/>
      <c r="H38" s="37">
        <f t="shared" si="5"/>
        <v>-2.8288051810438901</v>
      </c>
      <c r="I38" s="49">
        <f>2^-(H38)</f>
        <v>7.1048548750709939</v>
      </c>
      <c r="J38" s="37"/>
      <c r="K38" s="35">
        <f>I38/$J$2</f>
        <v>3.3171657036155118</v>
      </c>
      <c r="L38" s="37"/>
      <c r="M38" s="35"/>
    </row>
    <row r="39" spans="1:13" ht="15" customHeight="1" x14ac:dyDescent="0.2">
      <c r="A39" s="19" t="s">
        <v>55</v>
      </c>
      <c r="B39" s="36"/>
      <c r="C39" s="17">
        <v>25.21</v>
      </c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19" t="s">
        <v>55</v>
      </c>
      <c r="B40" s="36" t="s">
        <v>31</v>
      </c>
      <c r="C40" s="17">
        <v>26.61</v>
      </c>
      <c r="D40" s="37">
        <f>AVERAGE(C40:C41)</f>
        <v>26.509999999999998</v>
      </c>
      <c r="E40" s="37">
        <v>18.70926938210307</v>
      </c>
      <c r="F40" s="50">
        <f t="shared" ref="F40" si="29">D40-E40</f>
        <v>7.800730617896928</v>
      </c>
      <c r="G40" s="8"/>
      <c r="H40" s="37">
        <f t="shared" si="5"/>
        <v>-2.7865853297374379</v>
      </c>
      <c r="I40" s="49">
        <f>2^-(H40)</f>
        <v>6.8999472365503163</v>
      </c>
      <c r="J40" s="37"/>
      <c r="K40" s="35">
        <f>I40/$J$2</f>
        <v>3.2214969527597326</v>
      </c>
      <c r="L40" s="37"/>
      <c r="M40" s="35"/>
    </row>
    <row r="41" spans="1:13" ht="15" customHeight="1" x14ac:dyDescent="0.2">
      <c r="A41" s="19" t="s">
        <v>55</v>
      </c>
      <c r="B41" s="36"/>
      <c r="C41" s="17">
        <v>26.41</v>
      </c>
      <c r="D41" s="37"/>
      <c r="E41" s="37"/>
      <c r="F41" s="50"/>
      <c r="G41" s="8"/>
      <c r="H41" s="37"/>
      <c r="I41" s="49"/>
      <c r="J41" s="37"/>
      <c r="K41" s="35"/>
      <c r="L41" s="37"/>
      <c r="M41" s="35"/>
    </row>
    <row r="42" spans="1:13" x14ac:dyDescent="0.2">
      <c r="A42" s="33" t="s">
        <v>56</v>
      </c>
    </row>
    <row r="43" spans="1:13" x14ac:dyDescent="0.2">
      <c r="A43" s="32" t="s">
        <v>56</v>
      </c>
    </row>
    <row r="44" spans="1:13" x14ac:dyDescent="0.2">
      <c r="A44" s="32" t="s">
        <v>56</v>
      </c>
    </row>
    <row r="45" spans="1:13" x14ac:dyDescent="0.2">
      <c r="A45" s="32" t="s">
        <v>56</v>
      </c>
    </row>
    <row r="46" spans="1:13" x14ac:dyDescent="0.2">
      <c r="A46" s="32" t="s">
        <v>56</v>
      </c>
    </row>
    <row r="47" spans="1:13" x14ac:dyDescent="0.2">
      <c r="A47" s="32" t="s">
        <v>56</v>
      </c>
    </row>
    <row r="48" spans="1:13" x14ac:dyDescent="0.2">
      <c r="A48" s="32" t="s">
        <v>56</v>
      </c>
    </row>
    <row r="49" spans="1:1" x14ac:dyDescent="0.2">
      <c r="A49" s="32" t="s">
        <v>56</v>
      </c>
    </row>
  </sheetData>
  <mergeCells count="156">
    <mergeCell ref="L2:L9"/>
    <mergeCell ref="M2:M9"/>
    <mergeCell ref="H4:H5"/>
    <mergeCell ref="I4:I5"/>
    <mergeCell ref="K4:K5"/>
    <mergeCell ref="K6:K7"/>
    <mergeCell ref="B2:B3"/>
    <mergeCell ref="D2:D3"/>
    <mergeCell ref="E2:E3"/>
    <mergeCell ref="F2:F3"/>
    <mergeCell ref="G2:G9"/>
    <mergeCell ref="B4:B5"/>
    <mergeCell ref="D4:D5"/>
    <mergeCell ref="E4:E5"/>
    <mergeCell ref="F4:F5"/>
    <mergeCell ref="B6:B7"/>
    <mergeCell ref="D6:D7"/>
    <mergeCell ref="E6:E7"/>
    <mergeCell ref="F6:F7"/>
    <mergeCell ref="H6:H7"/>
    <mergeCell ref="I6:I7"/>
    <mergeCell ref="H2:H3"/>
    <mergeCell ref="I2:I3"/>
    <mergeCell ref="J2:J9"/>
    <mergeCell ref="I10:I11"/>
    <mergeCell ref="J10:J17"/>
    <mergeCell ref="K10:K11"/>
    <mergeCell ref="B8:B9"/>
    <mergeCell ref="D8:D9"/>
    <mergeCell ref="E8:E9"/>
    <mergeCell ref="F8:F9"/>
    <mergeCell ref="H8:H9"/>
    <mergeCell ref="I8:I9"/>
    <mergeCell ref="D14:D15"/>
    <mergeCell ref="E14:E15"/>
    <mergeCell ref="F14:F15"/>
    <mergeCell ref="H14:H15"/>
    <mergeCell ref="I14:I15"/>
    <mergeCell ref="K14:K15"/>
    <mergeCell ref="K2:K3"/>
    <mergeCell ref="L10:L17"/>
    <mergeCell ref="M10:M17"/>
    <mergeCell ref="B12:B13"/>
    <mergeCell ref="D12:D13"/>
    <mergeCell ref="E12:E13"/>
    <mergeCell ref="F12:F13"/>
    <mergeCell ref="H12:H13"/>
    <mergeCell ref="I12:I13"/>
    <mergeCell ref="K12:K13"/>
    <mergeCell ref="B14:B15"/>
    <mergeCell ref="K16:K17"/>
    <mergeCell ref="B16:B17"/>
    <mergeCell ref="D16:D17"/>
    <mergeCell ref="E16:E17"/>
    <mergeCell ref="F16:F17"/>
    <mergeCell ref="H16:H17"/>
    <mergeCell ref="I16:I17"/>
    <mergeCell ref="K8:K9"/>
    <mergeCell ref="B10:B11"/>
    <mergeCell ref="D10:D11"/>
    <mergeCell ref="E10:E11"/>
    <mergeCell ref="F10:F11"/>
    <mergeCell ref="H10:H11"/>
    <mergeCell ref="L18:L25"/>
    <mergeCell ref="M18:M25"/>
    <mergeCell ref="B20:B21"/>
    <mergeCell ref="D20:D21"/>
    <mergeCell ref="E20:E21"/>
    <mergeCell ref="F20:F21"/>
    <mergeCell ref="H20:H21"/>
    <mergeCell ref="I20:I21"/>
    <mergeCell ref="K20:K21"/>
    <mergeCell ref="B22:B23"/>
    <mergeCell ref="K24:K25"/>
    <mergeCell ref="B18:B19"/>
    <mergeCell ref="D18:D19"/>
    <mergeCell ref="E18:E19"/>
    <mergeCell ref="F18:F19"/>
    <mergeCell ref="H18:H19"/>
    <mergeCell ref="I18:I19"/>
    <mergeCell ref="J18:J25"/>
    <mergeCell ref="K18:K19"/>
    <mergeCell ref="K22:K23"/>
    <mergeCell ref="B24:B25"/>
    <mergeCell ref="D24:D25"/>
    <mergeCell ref="E24:E25"/>
    <mergeCell ref="F24:F25"/>
    <mergeCell ref="H24:H25"/>
    <mergeCell ref="I24:I25"/>
    <mergeCell ref="D30:D31"/>
    <mergeCell ref="E30:E31"/>
    <mergeCell ref="F30:F31"/>
    <mergeCell ref="H30:H31"/>
    <mergeCell ref="I30:I31"/>
    <mergeCell ref="D22:D23"/>
    <mergeCell ref="E22:E23"/>
    <mergeCell ref="F22:F23"/>
    <mergeCell ref="H22:H23"/>
    <mergeCell ref="I22:I23"/>
    <mergeCell ref="L26:L33"/>
    <mergeCell ref="M26:M33"/>
    <mergeCell ref="B28:B29"/>
    <mergeCell ref="D28:D29"/>
    <mergeCell ref="E28:E29"/>
    <mergeCell ref="F28:F29"/>
    <mergeCell ref="H28:H29"/>
    <mergeCell ref="I28:I29"/>
    <mergeCell ref="K28:K29"/>
    <mergeCell ref="B30:B31"/>
    <mergeCell ref="K32:K33"/>
    <mergeCell ref="B26:B27"/>
    <mergeCell ref="D26:D27"/>
    <mergeCell ref="E26:E27"/>
    <mergeCell ref="F26:F27"/>
    <mergeCell ref="H26:H27"/>
    <mergeCell ref="I26:I27"/>
    <mergeCell ref="J26:J33"/>
    <mergeCell ref="K26:K27"/>
    <mergeCell ref="K30:K31"/>
    <mergeCell ref="D34:D35"/>
    <mergeCell ref="E34:E35"/>
    <mergeCell ref="F34:F35"/>
    <mergeCell ref="H34:H35"/>
    <mergeCell ref="I34:I35"/>
    <mergeCell ref="J34:J41"/>
    <mergeCell ref="K34:K35"/>
    <mergeCell ref="B32:B33"/>
    <mergeCell ref="D32:D33"/>
    <mergeCell ref="E32:E33"/>
    <mergeCell ref="F32:F33"/>
    <mergeCell ref="H32:H33"/>
    <mergeCell ref="I32:I33"/>
    <mergeCell ref="L34:L41"/>
    <mergeCell ref="M34:M41"/>
    <mergeCell ref="B36:B37"/>
    <mergeCell ref="D36:D37"/>
    <mergeCell ref="E36:E37"/>
    <mergeCell ref="F36:F37"/>
    <mergeCell ref="H36:H37"/>
    <mergeCell ref="I36:I37"/>
    <mergeCell ref="K36:K37"/>
    <mergeCell ref="B38:B39"/>
    <mergeCell ref="K40:K41"/>
    <mergeCell ref="B40:B41"/>
    <mergeCell ref="D40:D41"/>
    <mergeCell ref="E40:E41"/>
    <mergeCell ref="F40:F41"/>
    <mergeCell ref="H40:H41"/>
    <mergeCell ref="I40:I41"/>
    <mergeCell ref="D38:D39"/>
    <mergeCell ref="E38:E39"/>
    <mergeCell ref="F38:F39"/>
    <mergeCell ref="H38:H39"/>
    <mergeCell ref="I38:I39"/>
    <mergeCell ref="K38:K39"/>
    <mergeCell ref="B34:B3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5E6E-BAEA-A44C-AE66-746426864D57}">
  <sheetPr>
    <tabColor theme="5" tint="0.39997558519241921"/>
  </sheetPr>
  <dimension ref="A1:M49"/>
  <sheetViews>
    <sheetView topLeftCell="J8" zoomScaleNormal="100" workbookViewId="0">
      <selection activeCell="K32" sqref="K32:K33"/>
    </sheetView>
  </sheetViews>
  <sheetFormatPr baseColWidth="10" defaultColWidth="8.83203125" defaultRowHeight="15" x14ac:dyDescent="0.2"/>
  <cols>
    <col min="1" max="1" width="16.1640625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3" max="13" width="13.6640625" customWidth="1"/>
  </cols>
  <sheetData>
    <row r="1" spans="1:13" ht="16" x14ac:dyDescent="0.2">
      <c r="A1" s="2" t="s">
        <v>51</v>
      </c>
      <c r="B1" s="6" t="s">
        <v>2</v>
      </c>
      <c r="C1" s="3" t="s">
        <v>40</v>
      </c>
      <c r="D1" s="2" t="s">
        <v>4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 x14ac:dyDescent="0.2">
      <c r="A2" s="34" t="s">
        <v>64</v>
      </c>
      <c r="B2" s="39">
        <v>1</v>
      </c>
      <c r="C2" s="23">
        <v>25.06</v>
      </c>
      <c r="D2" s="37">
        <f>AVERAGE(C2:C3)</f>
        <v>26.064999999999998</v>
      </c>
      <c r="E2" s="37">
        <v>17.190287859484446</v>
      </c>
      <c r="F2" s="50">
        <f>D2-E2</f>
        <v>8.8747121405155518</v>
      </c>
      <c r="G2" s="37">
        <f>AVERAGE(F2:F9)</f>
        <v>8.3423159476343667</v>
      </c>
      <c r="H2" s="37">
        <f>F2-$G$2</f>
        <v>0.53239619288118512</v>
      </c>
      <c r="I2" s="49">
        <f>2^-(H2)</f>
        <v>0.69140541469138161</v>
      </c>
      <c r="J2" s="37">
        <f>AVERAGE(I2:I9)</f>
        <v>1.0965929068017404</v>
      </c>
      <c r="K2" s="35">
        <f>I2/$J$2</f>
        <v>0.63050327099770764</v>
      </c>
      <c r="L2" s="37">
        <f>AVERAGE(K2:K9)</f>
        <v>0.99999999999999989</v>
      </c>
      <c r="M2" s="35">
        <f>STDEV(K2:K9)/4</f>
        <v>0.13203452364868981</v>
      </c>
    </row>
    <row r="3" spans="1:13" x14ac:dyDescent="0.2">
      <c r="A3" s="34" t="s">
        <v>64</v>
      </c>
      <c r="B3" s="39"/>
      <c r="C3" s="23">
        <v>27.07</v>
      </c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x14ac:dyDescent="0.2">
      <c r="A4" s="34" t="s">
        <v>64</v>
      </c>
      <c r="B4" s="36" t="s">
        <v>9</v>
      </c>
      <c r="C4" s="23">
        <v>24.29</v>
      </c>
      <c r="D4" s="37">
        <f>AVERAGE(C4:C5)</f>
        <v>24.56</v>
      </c>
      <c r="E4" s="37">
        <v>17.164287644881519</v>
      </c>
      <c r="F4" s="50">
        <f t="shared" ref="F4" si="0">D4-E4</f>
        <v>7.39571235511848</v>
      </c>
      <c r="G4" s="37"/>
      <c r="H4" s="37">
        <f t="shared" ref="H4" si="1">F4-$G$2</f>
        <v>-0.94660359251588666</v>
      </c>
      <c r="I4" s="49">
        <f>2^-(H4)</f>
        <v>1.9273299727111557</v>
      </c>
      <c r="J4" s="37"/>
      <c r="K4" s="35">
        <f>I4/$J$2</f>
        <v>1.7575619546293575</v>
      </c>
      <c r="L4" s="37"/>
      <c r="M4" s="35"/>
    </row>
    <row r="5" spans="1:13" x14ac:dyDescent="0.2">
      <c r="A5" s="34" t="s">
        <v>64</v>
      </c>
      <c r="B5" s="36"/>
      <c r="C5" s="23">
        <v>24.83</v>
      </c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x14ac:dyDescent="0.2">
      <c r="A6" s="34" t="s">
        <v>64</v>
      </c>
      <c r="B6" s="36" t="s">
        <v>10</v>
      </c>
      <c r="C6" s="23">
        <v>24.42</v>
      </c>
      <c r="D6" s="37">
        <f>AVERAGE(C6:C7)</f>
        <v>24.745000000000001</v>
      </c>
      <c r="E6" s="37">
        <v>15.905719176330518</v>
      </c>
      <c r="F6" s="50">
        <f t="shared" ref="F6" si="2">D6-E6</f>
        <v>8.8392808236694833</v>
      </c>
      <c r="G6" s="37"/>
      <c r="H6" s="37">
        <f t="shared" ref="H6" si="3">F6-$G$2</f>
        <v>0.49696487603511663</v>
      </c>
      <c r="I6" s="49">
        <f>2^-(H6)</f>
        <v>0.70859594957581895</v>
      </c>
      <c r="J6" s="37"/>
      <c r="K6" s="35">
        <f>I6/$J$2</f>
        <v>0.64617958513197848</v>
      </c>
      <c r="L6" s="37"/>
      <c r="M6" s="35"/>
    </row>
    <row r="7" spans="1:13" x14ac:dyDescent="0.2">
      <c r="A7" s="34" t="s">
        <v>64</v>
      </c>
      <c r="B7" s="36"/>
      <c r="C7" s="23">
        <v>25.07</v>
      </c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x14ac:dyDescent="0.2">
      <c r="A8" s="34" t="s">
        <v>64</v>
      </c>
      <c r="B8" s="36" t="s">
        <v>11</v>
      </c>
      <c r="C8" s="23">
        <v>24.3</v>
      </c>
      <c r="D8" s="37">
        <f>AVERAGE(C8:C9)</f>
        <v>24.310000000000002</v>
      </c>
      <c r="E8" s="37">
        <v>16.050441528766051</v>
      </c>
      <c r="F8" s="50">
        <f t="shared" ref="F8" si="4">D8-E8</f>
        <v>8.2595584712339516</v>
      </c>
      <c r="G8" s="37"/>
      <c r="H8" s="37">
        <f t="shared" ref="H8:H40" si="5">F8-$G$2</f>
        <v>-8.2757476400415086E-2</v>
      </c>
      <c r="I8" s="49">
        <f>2^-(H8)</f>
        <v>1.0590402902286049</v>
      </c>
      <c r="J8" s="37"/>
      <c r="K8" s="35">
        <f>I8/$J$2</f>
        <v>0.96575518924095605</v>
      </c>
      <c r="L8" s="37"/>
      <c r="M8" s="35"/>
    </row>
    <row r="9" spans="1:13" ht="15" customHeight="1" x14ac:dyDescent="0.2">
      <c r="A9" s="34" t="s">
        <v>64</v>
      </c>
      <c r="B9" s="36"/>
      <c r="C9" s="23">
        <v>24.32</v>
      </c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4" t="s">
        <v>63</v>
      </c>
      <c r="B10" s="36" t="s">
        <v>13</v>
      </c>
      <c r="C10" s="23">
        <v>26.58</v>
      </c>
      <c r="D10" s="37">
        <f>AVERAGE(C10:C11)</f>
        <v>26.564999999999998</v>
      </c>
      <c r="E10" s="37">
        <v>17.143829345000096</v>
      </c>
      <c r="F10" s="50">
        <f t="shared" ref="F10" si="6">D10-E10</f>
        <v>9.4211706549999015</v>
      </c>
      <c r="G10" s="8"/>
      <c r="H10" s="37">
        <f t="shared" si="5"/>
        <v>1.0788547073655348</v>
      </c>
      <c r="I10" s="49">
        <f>2^-(H10)</f>
        <v>0.47340448939562807</v>
      </c>
      <c r="J10" s="37"/>
      <c r="K10" s="35">
        <f>I10/$J$2</f>
        <v>0.43170486190388763</v>
      </c>
      <c r="L10" s="37">
        <f t="shared" ref="L10" si="7">AVERAGE(K10:K17)</f>
        <v>1.9982651848903885</v>
      </c>
      <c r="M10" s="35">
        <f t="shared" ref="M10" si="8">STDEV(K10:K17)/4</f>
        <v>0.36218125806318691</v>
      </c>
    </row>
    <row r="11" spans="1:13" ht="15" customHeight="1" x14ac:dyDescent="0.2">
      <c r="A11" s="34" t="s">
        <v>63</v>
      </c>
      <c r="B11" s="36"/>
      <c r="C11" s="23">
        <v>26.55</v>
      </c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4" t="s">
        <v>63</v>
      </c>
      <c r="B12" s="36" t="s">
        <v>14</v>
      </c>
      <c r="C12" s="23">
        <v>24.3</v>
      </c>
      <c r="D12" s="37">
        <f>AVERAGE(C12:C13)</f>
        <v>24.225000000000001</v>
      </c>
      <c r="E12" s="37">
        <v>17.978019717604003</v>
      </c>
      <c r="F12" s="50">
        <f t="shared" ref="F12" si="9">D12-E12</f>
        <v>6.2469802823959988</v>
      </c>
      <c r="G12" s="8"/>
      <c r="H12" s="37">
        <f t="shared" si="5"/>
        <v>-2.0953356652383679</v>
      </c>
      <c r="I12" s="49">
        <f>2^-(H12)</f>
        <v>4.2732557553555646</v>
      </c>
      <c r="J12" s="37"/>
      <c r="K12" s="35">
        <f>I12/$J$2</f>
        <v>3.8968478902701422</v>
      </c>
      <c r="L12" s="37"/>
      <c r="M12" s="35"/>
    </row>
    <row r="13" spans="1:13" ht="15" customHeight="1" x14ac:dyDescent="0.2">
      <c r="A13" s="34" t="s">
        <v>63</v>
      </c>
      <c r="B13" s="36"/>
      <c r="C13" s="23">
        <v>24.15</v>
      </c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4" t="s">
        <v>63</v>
      </c>
      <c r="B14" s="36" t="s">
        <v>15</v>
      </c>
      <c r="C14" s="23">
        <v>25.13</v>
      </c>
      <c r="D14" s="37">
        <f>AVERAGE(C14:C15)</f>
        <v>25.09</v>
      </c>
      <c r="E14" s="37">
        <v>17.974532197115273</v>
      </c>
      <c r="F14" s="50">
        <f t="shared" ref="F14" si="10">D14-E14</f>
        <v>7.1154678028847265</v>
      </c>
      <c r="G14" s="8"/>
      <c r="H14" s="37">
        <f t="shared" si="5"/>
        <v>-1.2268481447496402</v>
      </c>
      <c r="I14" s="49">
        <f>2^-(H14)</f>
        <v>2.3405509081850124</v>
      </c>
      <c r="J14" s="37"/>
      <c r="K14" s="35">
        <f>I14/$J$2</f>
        <v>2.1343845046484282</v>
      </c>
      <c r="L14" s="37"/>
      <c r="M14" s="35"/>
    </row>
    <row r="15" spans="1:13" ht="15" customHeight="1" x14ac:dyDescent="0.2">
      <c r="A15" s="34" t="s">
        <v>63</v>
      </c>
      <c r="B15" s="36"/>
      <c r="C15" s="23">
        <v>25.05</v>
      </c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4" t="s">
        <v>63</v>
      </c>
      <c r="B16" s="36" t="s">
        <v>16</v>
      </c>
      <c r="C16" s="23">
        <v>24.8</v>
      </c>
      <c r="D16" s="37">
        <f>AVERAGE(C16:C17)</f>
        <v>24.914999999999999</v>
      </c>
      <c r="E16" s="37">
        <v>17.319360183997457</v>
      </c>
      <c r="F16" s="50">
        <f t="shared" ref="F16" si="11">D16-E16</f>
        <v>7.5956398160025422</v>
      </c>
      <c r="G16" s="8"/>
      <c r="H16" s="37">
        <f t="shared" si="5"/>
        <v>-0.74667613163182445</v>
      </c>
      <c r="I16" s="49">
        <f>2^-(H16)</f>
        <v>1.6779225577024672</v>
      </c>
      <c r="J16" s="37"/>
      <c r="K16" s="35">
        <f>I16/$J$2</f>
        <v>1.5301234827390955</v>
      </c>
      <c r="L16" s="37"/>
      <c r="M16" s="35"/>
    </row>
    <row r="17" spans="1:13" ht="15" customHeight="1" x14ac:dyDescent="0.2">
      <c r="A17" s="34" t="s">
        <v>63</v>
      </c>
      <c r="B17" s="36"/>
      <c r="C17" s="23">
        <v>25.03</v>
      </c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19" t="s">
        <v>53</v>
      </c>
      <c r="B18" s="36" t="s">
        <v>18</v>
      </c>
      <c r="C18" s="23">
        <v>26.08</v>
      </c>
      <c r="D18" s="37">
        <f>AVERAGE(C18:C19)</f>
        <v>25.909999999999997</v>
      </c>
      <c r="E18" s="37">
        <v>19.205252186246113</v>
      </c>
      <c r="F18" s="50">
        <f t="shared" ref="F18" si="12">D18-E18</f>
        <v>6.7047478137538832</v>
      </c>
      <c r="G18" s="8"/>
      <c r="H18" s="37">
        <f t="shared" si="5"/>
        <v>-1.6375681338804835</v>
      </c>
      <c r="I18" s="49">
        <f>2^-(H18)</f>
        <v>3.1114091764754588</v>
      </c>
      <c r="J18" s="37"/>
      <c r="K18" s="35">
        <f>I18/$J$2</f>
        <v>2.8373420593700676</v>
      </c>
      <c r="L18" s="37">
        <f t="shared" ref="L18" si="13">AVERAGE(K18:K25)</f>
        <v>1.8623565915398355</v>
      </c>
      <c r="M18" s="35">
        <f t="shared" ref="M18" si="14">STDEV(K18:K25)/4</f>
        <v>0.20641957959936441</v>
      </c>
    </row>
    <row r="19" spans="1:13" ht="15" customHeight="1" x14ac:dyDescent="0.2">
      <c r="A19" s="19" t="s">
        <v>53</v>
      </c>
      <c r="B19" s="36"/>
      <c r="C19" s="23">
        <v>25.74</v>
      </c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19" t="s">
        <v>53</v>
      </c>
      <c r="B20" s="36" t="s">
        <v>19</v>
      </c>
      <c r="C20" s="23">
        <v>25.28</v>
      </c>
      <c r="D20" s="37">
        <f>AVERAGE(C20:C21)</f>
        <v>25.060000000000002</v>
      </c>
      <c r="E20" s="37">
        <v>17.51825332356341</v>
      </c>
      <c r="F20" s="50">
        <f t="shared" ref="F20" si="15">D20-E20</f>
        <v>7.5417466764365919</v>
      </c>
      <c r="G20" s="8"/>
      <c r="H20" s="37">
        <f t="shared" si="5"/>
        <v>-0.80056927119777477</v>
      </c>
      <c r="I20" s="49">
        <f>2^-(H20)</f>
        <v>1.7417882810299063</v>
      </c>
      <c r="J20" s="37"/>
      <c r="K20" s="35">
        <f>I20/$J$2</f>
        <v>1.5883636217472039</v>
      </c>
      <c r="L20" s="37"/>
      <c r="M20" s="35"/>
    </row>
    <row r="21" spans="1:13" ht="15" customHeight="1" x14ac:dyDescent="0.2">
      <c r="A21" s="20" t="s">
        <v>53</v>
      </c>
      <c r="B21" s="36"/>
      <c r="C21" s="23">
        <v>24.84</v>
      </c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20" t="s">
        <v>53</v>
      </c>
      <c r="B22" s="36" t="s">
        <v>20</v>
      </c>
      <c r="C22" s="23">
        <v>24.6</v>
      </c>
      <c r="D22" s="37">
        <f>AVERAGE(C22:C23)</f>
        <v>24.565000000000001</v>
      </c>
      <c r="E22" s="37">
        <v>17.449205574599276</v>
      </c>
      <c r="F22" s="50">
        <f t="shared" ref="F22" si="16">D22-E22</f>
        <v>7.1157944254007255</v>
      </c>
      <c r="G22" s="8"/>
      <c r="H22" s="37">
        <f t="shared" si="5"/>
        <v>-1.2265215222336412</v>
      </c>
      <c r="I22" s="49">
        <f>2^-(H22)</f>
        <v>2.340021073345679</v>
      </c>
      <c r="J22" s="37"/>
      <c r="K22" s="35">
        <f>I22/$J$2</f>
        <v>2.1339013400792912</v>
      </c>
      <c r="L22" s="37"/>
      <c r="M22" s="35"/>
    </row>
    <row r="23" spans="1:13" ht="15" customHeight="1" x14ac:dyDescent="0.2">
      <c r="A23" s="20" t="s">
        <v>53</v>
      </c>
      <c r="B23" s="36"/>
      <c r="C23" s="23">
        <v>24.53</v>
      </c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20" t="s">
        <v>53</v>
      </c>
      <c r="B24" s="36" t="s">
        <v>21</v>
      </c>
      <c r="C24" s="23">
        <v>25.33</v>
      </c>
      <c r="D24" s="37">
        <f>AVERAGE(C24:C25)</f>
        <v>25.27</v>
      </c>
      <c r="E24" s="37">
        <v>16.892296467846915</v>
      </c>
      <c r="F24" s="50">
        <f t="shared" ref="F24" si="17">D24-E24</f>
        <v>8.3777035321530846</v>
      </c>
      <c r="G24" s="8"/>
      <c r="H24" s="37">
        <f t="shared" si="5"/>
        <v>3.5387584518717929E-2</v>
      </c>
      <c r="I24" s="49">
        <f>2^-(H24)</f>
        <v>0.97576958202115494</v>
      </c>
      <c r="J24" s="37"/>
      <c r="K24" s="35">
        <f>I24/$J$2</f>
        <v>0.88981934496277948</v>
      </c>
      <c r="L24" s="37"/>
      <c r="M24" s="35"/>
    </row>
    <row r="25" spans="1:13" ht="15" customHeight="1" x14ac:dyDescent="0.2">
      <c r="A25" s="20" t="s">
        <v>53</v>
      </c>
      <c r="B25" s="36"/>
      <c r="C25" s="23">
        <v>25.21</v>
      </c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19" t="s">
        <v>54</v>
      </c>
      <c r="B26" s="36" t="s">
        <v>23</v>
      </c>
      <c r="C26" s="23">
        <v>24.88</v>
      </c>
      <c r="D26" s="37">
        <f>AVERAGE(C26:C27)</f>
        <v>24.655000000000001</v>
      </c>
      <c r="E26" s="37">
        <v>17.460951826505497</v>
      </c>
      <c r="F26" s="50">
        <f t="shared" ref="F26" si="18">D26-E26</f>
        <v>7.1940481734945045</v>
      </c>
      <c r="G26" s="8"/>
      <c r="H26" s="37">
        <f t="shared" si="5"/>
        <v>-1.1482677741398621</v>
      </c>
      <c r="I26" s="49">
        <f>2^-(H26)</f>
        <v>2.2164760507802104</v>
      </c>
      <c r="J26" s="37"/>
      <c r="K26" s="35">
        <f>I26/$J$2</f>
        <v>2.0212387268167333</v>
      </c>
      <c r="L26" s="37">
        <f t="shared" ref="L26" si="19">AVERAGE(K26:K33)</f>
        <v>2.0653538036246868</v>
      </c>
      <c r="M26" s="35">
        <f t="shared" ref="M26" si="20">STDEV(K26:K33)/4</f>
        <v>4.985672504771408E-2</v>
      </c>
    </row>
    <row r="27" spans="1:13" ht="15" customHeight="1" x14ac:dyDescent="0.2">
      <c r="A27" s="19" t="s">
        <v>54</v>
      </c>
      <c r="B27" s="36"/>
      <c r="C27" s="23">
        <v>24.43</v>
      </c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19" t="s">
        <v>54</v>
      </c>
      <c r="B28" s="36" t="s">
        <v>24</v>
      </c>
      <c r="C28" s="23">
        <v>25.38</v>
      </c>
      <c r="D28" s="37">
        <f>AVERAGE(C28:C29)</f>
        <v>25.1</v>
      </c>
      <c r="E28" s="37">
        <v>17.810378746674107</v>
      </c>
      <c r="F28" s="50">
        <f t="shared" ref="F28" si="21">D28-E28</f>
        <v>7.2896212533258939</v>
      </c>
      <c r="G28" s="8"/>
      <c r="H28" s="37">
        <f t="shared" si="5"/>
        <v>-1.0526946943084727</v>
      </c>
      <c r="I28" s="49">
        <f>2^-(H28)</f>
        <v>2.0744008382818331</v>
      </c>
      <c r="J28" s="37"/>
      <c r="K28" s="35">
        <f>I28/$J$2</f>
        <v>1.8916781473007251</v>
      </c>
      <c r="L28" s="37"/>
      <c r="M28" s="35"/>
    </row>
    <row r="29" spans="1:13" ht="15" customHeight="1" x14ac:dyDescent="0.2">
      <c r="A29" s="19" t="s">
        <v>54</v>
      </c>
      <c r="B29" s="36"/>
      <c r="C29" s="23">
        <v>24.82</v>
      </c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19" t="s">
        <v>54</v>
      </c>
      <c r="B30" s="36" t="s">
        <v>25</v>
      </c>
      <c r="C30" s="23">
        <v>24.46</v>
      </c>
      <c r="D30" s="37">
        <f>AVERAGE(C30:C31)</f>
        <v>24.655000000000001</v>
      </c>
      <c r="E30" s="37">
        <v>17.636734292930214</v>
      </c>
      <c r="F30" s="50">
        <f t="shared" ref="F30" si="22">D30-E30</f>
        <v>7.0182657070697871</v>
      </c>
      <c r="G30" s="8"/>
      <c r="H30" s="37">
        <f t="shared" si="5"/>
        <v>-1.3240502405645795</v>
      </c>
      <c r="I30" s="49">
        <f>2^-(H30)</f>
        <v>2.5036801042104351</v>
      </c>
      <c r="J30" s="37"/>
      <c r="K30" s="35">
        <f>I30/$J$2</f>
        <v>2.2831445367566019</v>
      </c>
      <c r="L30" s="37"/>
      <c r="M30" s="35"/>
    </row>
    <row r="31" spans="1:13" ht="15" customHeight="1" x14ac:dyDescent="0.2">
      <c r="A31" s="19" t="s">
        <v>54</v>
      </c>
      <c r="B31" s="36"/>
      <c r="C31" s="23">
        <v>24.85</v>
      </c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19" t="s">
        <v>54</v>
      </c>
      <c r="B32" s="36" t="s">
        <v>26</v>
      </c>
      <c r="C32" s="24"/>
      <c r="D32" s="37" t="e">
        <f>AVERAGE(C32:C33)</f>
        <v>#DIV/0!</v>
      </c>
      <c r="E32" s="37">
        <v>18.397647607932122</v>
      </c>
      <c r="F32" s="50" t="e">
        <f t="shared" ref="F32" si="23">D32-E32</f>
        <v>#DIV/0!</v>
      </c>
      <c r="G32" s="8"/>
      <c r="H32" s="37" t="e">
        <f t="shared" si="5"/>
        <v>#DIV/0!</v>
      </c>
      <c r="I32" s="49" t="e">
        <f>2^-(H32)</f>
        <v>#DIV/0!</v>
      </c>
      <c r="J32" s="37"/>
      <c r="K32" s="35"/>
      <c r="L32" s="37"/>
      <c r="M32" s="35"/>
    </row>
    <row r="33" spans="1:13" ht="15" customHeight="1" x14ac:dyDescent="0.2">
      <c r="A33" s="19" t="s">
        <v>54</v>
      </c>
      <c r="B33" s="36"/>
      <c r="C33" s="24"/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19" t="s">
        <v>55</v>
      </c>
      <c r="B34" s="36" t="s">
        <v>28</v>
      </c>
      <c r="C34" s="23">
        <v>26.43</v>
      </c>
      <c r="D34" s="37">
        <f>AVERAGE(C34:C35)</f>
        <v>26.7</v>
      </c>
      <c r="E34" s="37">
        <v>16.509506697394823</v>
      </c>
      <c r="F34" s="50">
        <f t="shared" ref="F34" si="24">D34-E34</f>
        <v>10.190493302605176</v>
      </c>
      <c r="G34" s="8"/>
      <c r="H34" s="37">
        <f t="shared" si="5"/>
        <v>1.8481773549708098</v>
      </c>
      <c r="I34" s="49">
        <f>2^-(H34)</f>
        <v>0.27774303625309749</v>
      </c>
      <c r="J34" s="37"/>
      <c r="K34" s="35">
        <f>I34/$J$2</f>
        <v>0.25327816232474709</v>
      </c>
      <c r="L34" s="37">
        <f t="shared" ref="L34" si="25">AVERAGE(K34:K41)</f>
        <v>2.6505192648188878</v>
      </c>
      <c r="M34" s="35">
        <f t="shared" ref="M34" si="26">STDEV(K34:K41)/4</f>
        <v>0.45056658753417145</v>
      </c>
    </row>
    <row r="35" spans="1:13" ht="15" customHeight="1" x14ac:dyDescent="0.2">
      <c r="A35" s="19" t="s">
        <v>55</v>
      </c>
      <c r="B35" s="36"/>
      <c r="C35" s="23">
        <v>26.97</v>
      </c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19" t="s">
        <v>55</v>
      </c>
      <c r="B36" s="36" t="s">
        <v>29</v>
      </c>
      <c r="C36" s="23">
        <v>25.03</v>
      </c>
      <c r="D36" s="37">
        <f>AVERAGE(C36:C37)</f>
        <v>25.274999999999999</v>
      </c>
      <c r="E36" s="37">
        <v>18.343164352268513</v>
      </c>
      <c r="F36" s="50">
        <f t="shared" ref="F36" si="27">D36-E36</f>
        <v>6.9318356477314858</v>
      </c>
      <c r="G36" s="8"/>
      <c r="H36" s="37">
        <f t="shared" si="5"/>
        <v>-1.4104802999028809</v>
      </c>
      <c r="I36" s="49">
        <f>2^-(H36)</f>
        <v>2.6582564637127803</v>
      </c>
      <c r="J36" s="37"/>
      <c r="K36" s="35">
        <f>I36/$J$2</f>
        <v>2.4241051052078184</v>
      </c>
      <c r="L36" s="37"/>
      <c r="M36" s="35"/>
    </row>
    <row r="37" spans="1:13" ht="15" customHeight="1" x14ac:dyDescent="0.2">
      <c r="A37" s="19" t="s">
        <v>55</v>
      </c>
      <c r="B37" s="36"/>
      <c r="C37" s="23">
        <v>25.52</v>
      </c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19" t="s">
        <v>55</v>
      </c>
      <c r="B38" s="36" t="s">
        <v>30</v>
      </c>
      <c r="C38" s="23">
        <v>24.3</v>
      </c>
      <c r="D38" s="37">
        <f>AVERAGE(C38:C39)</f>
        <v>23.925000000000001</v>
      </c>
      <c r="E38" s="37">
        <v>17.506489233409525</v>
      </c>
      <c r="F38" s="50">
        <f t="shared" ref="F38" si="28">D38-E38</f>
        <v>6.4185107665904759</v>
      </c>
      <c r="G38" s="8"/>
      <c r="H38" s="37">
        <f t="shared" si="5"/>
        <v>-1.9238051810438908</v>
      </c>
      <c r="I38" s="49">
        <f>2^-(H38)</f>
        <v>3.7942248606317359</v>
      </c>
      <c r="J38" s="37"/>
      <c r="K38" s="35">
        <f>I38/$J$2</f>
        <v>3.4600122224917116</v>
      </c>
      <c r="L38" s="37"/>
      <c r="M38" s="35"/>
    </row>
    <row r="39" spans="1:13" ht="15" customHeight="1" x14ac:dyDescent="0.2">
      <c r="A39" s="19" t="s">
        <v>55</v>
      </c>
      <c r="B39" s="36"/>
      <c r="C39" s="23">
        <v>23.55</v>
      </c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19" t="s">
        <v>55</v>
      </c>
      <c r="B40" s="36" t="s">
        <v>31</v>
      </c>
      <c r="C40" s="23">
        <v>24.76</v>
      </c>
      <c r="D40" s="37">
        <f>AVERAGE(C40:C41)</f>
        <v>24.76</v>
      </c>
      <c r="E40" s="37">
        <v>18.70926938210307</v>
      </c>
      <c r="F40" s="50">
        <f t="shared" ref="F40" si="29">D40-E40</f>
        <v>6.0507306178969316</v>
      </c>
      <c r="G40" s="8"/>
      <c r="H40" s="37">
        <f t="shared" si="5"/>
        <v>-2.2915853297374351</v>
      </c>
      <c r="I40" s="49">
        <f>2^-(H40)</f>
        <v>4.8959381399694104</v>
      </c>
      <c r="J40" s="37"/>
      <c r="K40" s="35">
        <f>I40/$J$2</f>
        <v>4.4646815692512742</v>
      </c>
      <c r="L40" s="37"/>
      <c r="M40" s="35"/>
    </row>
    <row r="41" spans="1:13" ht="15" customHeight="1" x14ac:dyDescent="0.2">
      <c r="A41" s="19" t="s">
        <v>55</v>
      </c>
      <c r="B41" s="36"/>
      <c r="C41" s="23"/>
      <c r="D41" s="37"/>
      <c r="E41" s="37"/>
      <c r="F41" s="50"/>
      <c r="G41" s="8"/>
      <c r="H41" s="37"/>
      <c r="I41" s="49"/>
      <c r="J41" s="37"/>
      <c r="K41" s="35"/>
      <c r="L41" s="37"/>
      <c r="M41" s="35"/>
    </row>
    <row r="42" spans="1:13" x14ac:dyDescent="0.2">
      <c r="A42" s="33" t="s">
        <v>56</v>
      </c>
    </row>
    <row r="43" spans="1:13" x14ac:dyDescent="0.2">
      <c r="A43" s="32" t="s">
        <v>56</v>
      </c>
    </row>
    <row r="44" spans="1:13" x14ac:dyDescent="0.2">
      <c r="A44" s="32" t="s">
        <v>56</v>
      </c>
    </row>
    <row r="45" spans="1:13" x14ac:dyDescent="0.2">
      <c r="A45" s="32" t="s">
        <v>56</v>
      </c>
    </row>
    <row r="46" spans="1:13" x14ac:dyDescent="0.2">
      <c r="A46" s="32" t="s">
        <v>56</v>
      </c>
    </row>
    <row r="47" spans="1:13" x14ac:dyDescent="0.2">
      <c r="A47" s="32" t="s">
        <v>56</v>
      </c>
    </row>
    <row r="48" spans="1:13" x14ac:dyDescent="0.2">
      <c r="A48" s="32" t="s">
        <v>56</v>
      </c>
    </row>
    <row r="49" spans="1:1" x14ac:dyDescent="0.2">
      <c r="A49" s="32" t="s">
        <v>56</v>
      </c>
    </row>
  </sheetData>
  <mergeCells count="156">
    <mergeCell ref="B38:B39"/>
    <mergeCell ref="K40:K41"/>
    <mergeCell ref="B40:B41"/>
    <mergeCell ref="D40:D41"/>
    <mergeCell ref="E40:E41"/>
    <mergeCell ref="F40:F41"/>
    <mergeCell ref="H40:H41"/>
    <mergeCell ref="I40:I41"/>
    <mergeCell ref="D38:D39"/>
    <mergeCell ref="E38:E39"/>
    <mergeCell ref="F38:F39"/>
    <mergeCell ref="H38:H39"/>
    <mergeCell ref="I38:I39"/>
    <mergeCell ref="K38:K39"/>
    <mergeCell ref="J34:J41"/>
    <mergeCell ref="K34:K35"/>
    <mergeCell ref="B34:B35"/>
    <mergeCell ref="D34:D35"/>
    <mergeCell ref="B36:B37"/>
    <mergeCell ref="D36:D37"/>
    <mergeCell ref="E36:E37"/>
    <mergeCell ref="F36:F37"/>
    <mergeCell ref="H36:H37"/>
    <mergeCell ref="I36:I37"/>
    <mergeCell ref="D32:D33"/>
    <mergeCell ref="E32:E33"/>
    <mergeCell ref="F32:F33"/>
    <mergeCell ref="H32:H33"/>
    <mergeCell ref="I32:I33"/>
    <mergeCell ref="K32:K33"/>
    <mergeCell ref="L34:L41"/>
    <mergeCell ref="L26:L33"/>
    <mergeCell ref="M26:M33"/>
    <mergeCell ref="M34:M41"/>
    <mergeCell ref="D28:D29"/>
    <mergeCell ref="E28:E29"/>
    <mergeCell ref="F28:F29"/>
    <mergeCell ref="H28:H29"/>
    <mergeCell ref="I28:I29"/>
    <mergeCell ref="K28:K29"/>
    <mergeCell ref="K36:K37"/>
    <mergeCell ref="E34:E35"/>
    <mergeCell ref="F34:F35"/>
    <mergeCell ref="H34:H35"/>
    <mergeCell ref="I34:I35"/>
    <mergeCell ref="K24:K25"/>
    <mergeCell ref="B26:B27"/>
    <mergeCell ref="D26:D27"/>
    <mergeCell ref="E26:E27"/>
    <mergeCell ref="F26:F27"/>
    <mergeCell ref="H26:H27"/>
    <mergeCell ref="I26:I27"/>
    <mergeCell ref="J26:J33"/>
    <mergeCell ref="K26:K27"/>
    <mergeCell ref="D30:D31"/>
    <mergeCell ref="B24:B25"/>
    <mergeCell ref="D24:D25"/>
    <mergeCell ref="E24:E25"/>
    <mergeCell ref="F24:F25"/>
    <mergeCell ref="H24:H25"/>
    <mergeCell ref="I24:I25"/>
    <mergeCell ref="B28:B29"/>
    <mergeCell ref="B30:B31"/>
    <mergeCell ref="E30:E31"/>
    <mergeCell ref="F30:F31"/>
    <mergeCell ref="H30:H31"/>
    <mergeCell ref="I30:I31"/>
    <mergeCell ref="K30:K31"/>
    <mergeCell ref="B32:B33"/>
    <mergeCell ref="L18:L25"/>
    <mergeCell ref="M18:M25"/>
    <mergeCell ref="B20:B21"/>
    <mergeCell ref="D20:D21"/>
    <mergeCell ref="E20:E21"/>
    <mergeCell ref="F20:F21"/>
    <mergeCell ref="H20:H21"/>
    <mergeCell ref="I20:I21"/>
    <mergeCell ref="B18:B19"/>
    <mergeCell ref="D18:D19"/>
    <mergeCell ref="E18:E19"/>
    <mergeCell ref="F18:F19"/>
    <mergeCell ref="H18:H19"/>
    <mergeCell ref="I18:I19"/>
    <mergeCell ref="K20:K21"/>
    <mergeCell ref="B22:B23"/>
    <mergeCell ref="D22:D23"/>
    <mergeCell ref="E22:E23"/>
    <mergeCell ref="F22:F23"/>
    <mergeCell ref="H22:H23"/>
    <mergeCell ref="I22:I23"/>
    <mergeCell ref="K22:K23"/>
    <mergeCell ref="J18:J25"/>
    <mergeCell ref="K18:K19"/>
    <mergeCell ref="L10:L17"/>
    <mergeCell ref="M10:M17"/>
    <mergeCell ref="B12:B13"/>
    <mergeCell ref="D12:D13"/>
    <mergeCell ref="E12:E13"/>
    <mergeCell ref="F12:F13"/>
    <mergeCell ref="H12:H13"/>
    <mergeCell ref="I12:I13"/>
    <mergeCell ref="K12:K13"/>
    <mergeCell ref="K14:K15"/>
    <mergeCell ref="B16:B17"/>
    <mergeCell ref="D16:D17"/>
    <mergeCell ref="E16:E17"/>
    <mergeCell ref="F16:F17"/>
    <mergeCell ref="H16:H17"/>
    <mergeCell ref="I16:I17"/>
    <mergeCell ref="K16:K17"/>
    <mergeCell ref="B14:B15"/>
    <mergeCell ref="D14:D15"/>
    <mergeCell ref="E14:E15"/>
    <mergeCell ref="F14:F15"/>
    <mergeCell ref="H14:H15"/>
    <mergeCell ref="I14:I15"/>
    <mergeCell ref="E6:E7"/>
    <mergeCell ref="F6:F7"/>
    <mergeCell ref="H6:H7"/>
    <mergeCell ref="I6:I7"/>
    <mergeCell ref="K6:K7"/>
    <mergeCell ref="H8:H9"/>
    <mergeCell ref="I8:I9"/>
    <mergeCell ref="K8:K9"/>
    <mergeCell ref="B10:B11"/>
    <mergeCell ref="D10:D11"/>
    <mergeCell ref="E10:E11"/>
    <mergeCell ref="F10:F11"/>
    <mergeCell ref="H10:H11"/>
    <mergeCell ref="I10:I11"/>
    <mergeCell ref="J10:J17"/>
    <mergeCell ref="K10:K11"/>
    <mergeCell ref="I2:I3"/>
    <mergeCell ref="J2:J9"/>
    <mergeCell ref="K2:K3"/>
    <mergeCell ref="L2:L9"/>
    <mergeCell ref="M2:M9"/>
    <mergeCell ref="B4:B5"/>
    <mergeCell ref="D4:D5"/>
    <mergeCell ref="E4:E5"/>
    <mergeCell ref="F4:F5"/>
    <mergeCell ref="H4:H5"/>
    <mergeCell ref="B2:B3"/>
    <mergeCell ref="D2:D3"/>
    <mergeCell ref="E2:E3"/>
    <mergeCell ref="F2:F3"/>
    <mergeCell ref="G2:G9"/>
    <mergeCell ref="H2:H3"/>
    <mergeCell ref="B8:B9"/>
    <mergeCell ref="D8:D9"/>
    <mergeCell ref="E8:E9"/>
    <mergeCell ref="F8:F9"/>
    <mergeCell ref="I4:I5"/>
    <mergeCell ref="K4:K5"/>
    <mergeCell ref="B6:B7"/>
    <mergeCell ref="D6:D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C2308-B8AE-9847-93DB-1C91FD9E34C7}">
  <sheetPr>
    <tabColor theme="5" tint="0.39997558519241921"/>
  </sheetPr>
  <dimension ref="A1:M49"/>
  <sheetViews>
    <sheetView topLeftCell="A7" zoomScaleNormal="100" workbookViewId="0">
      <selection activeCell="K34" sqref="K34:K35"/>
    </sheetView>
  </sheetViews>
  <sheetFormatPr baseColWidth="10" defaultColWidth="8.83203125" defaultRowHeight="15" x14ac:dyDescent="0.2"/>
  <cols>
    <col min="1" max="1" width="16.1640625" customWidth="1"/>
    <col min="2" max="2" width="7.6640625" style="7" bestFit="1" customWidth="1"/>
    <col min="3" max="3" width="14.83203125" style="5" customWidth="1"/>
    <col min="4" max="4" width="12" bestFit="1" customWidth="1"/>
    <col min="5" max="5" width="21.1640625" style="1" customWidth="1"/>
    <col min="6" max="6" width="17.1640625" bestFit="1" customWidth="1"/>
    <col min="7" max="7" width="19.6640625" customWidth="1"/>
    <col min="8" max="8" width="17.1640625" bestFit="1" customWidth="1"/>
    <col min="9" max="9" width="23" customWidth="1"/>
    <col min="10" max="10" width="15.1640625" customWidth="1"/>
    <col min="11" max="11" width="17.6640625" customWidth="1"/>
    <col min="13" max="13" width="13.6640625" customWidth="1"/>
  </cols>
  <sheetData>
    <row r="1" spans="1:13" ht="16" x14ac:dyDescent="0.2">
      <c r="A1" s="2" t="s">
        <v>51</v>
      </c>
      <c r="B1" s="6" t="s">
        <v>2</v>
      </c>
      <c r="C1" s="3" t="s">
        <v>40</v>
      </c>
      <c r="D1" s="2" t="s">
        <v>4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 x14ac:dyDescent="0.2">
      <c r="A2" s="34" t="s">
        <v>64</v>
      </c>
      <c r="B2" s="39">
        <v>1</v>
      </c>
      <c r="C2" s="17">
        <v>27.21</v>
      </c>
      <c r="D2" s="37">
        <f>AVERAGE(C2:C3)</f>
        <v>27.11</v>
      </c>
      <c r="E2" s="37">
        <v>17.190287859484446</v>
      </c>
      <c r="F2" s="50">
        <f>D2-E2</f>
        <v>9.9197121405155535</v>
      </c>
      <c r="G2" s="37">
        <f>AVERAGE(F2:F9)</f>
        <v>11.767315947634366</v>
      </c>
      <c r="H2" s="37">
        <f>F2-$G$2</f>
        <v>-1.8476038071188121</v>
      </c>
      <c r="I2" s="49">
        <f>2^-(H2)</f>
        <v>3.5990192208683216</v>
      </c>
      <c r="J2" s="37">
        <f>AVERAGE(I2:I9)</f>
        <v>2.0454231413645352</v>
      </c>
      <c r="K2" s="35">
        <f>I2/$J$2</f>
        <v>1.7595475225079136</v>
      </c>
      <c r="L2" s="37">
        <f>AVERAGE(K2:K9)</f>
        <v>1.0000000000000002</v>
      </c>
      <c r="M2" s="35">
        <f>STDEV(K2:K9)/4</f>
        <v>0.21015014079363406</v>
      </c>
    </row>
    <row r="3" spans="1:13" x14ac:dyDescent="0.2">
      <c r="A3" s="34" t="s">
        <v>64</v>
      </c>
      <c r="B3" s="39"/>
      <c r="C3" s="17">
        <v>27.01</v>
      </c>
      <c r="D3" s="37"/>
      <c r="E3" s="37"/>
      <c r="F3" s="50"/>
      <c r="G3" s="37"/>
      <c r="H3" s="37"/>
      <c r="I3" s="49"/>
      <c r="J3" s="37"/>
      <c r="K3" s="35"/>
      <c r="L3" s="37"/>
      <c r="M3" s="35"/>
    </row>
    <row r="4" spans="1:13" x14ac:dyDescent="0.2">
      <c r="A4" s="34" t="s">
        <v>64</v>
      </c>
      <c r="B4" s="36" t="s">
        <v>9</v>
      </c>
      <c r="C4" s="17">
        <v>27.56</v>
      </c>
      <c r="D4" s="37">
        <f>AVERAGE(C4:C5)</f>
        <v>27.18</v>
      </c>
      <c r="E4" s="37">
        <v>17.164287644881519</v>
      </c>
      <c r="F4" s="50">
        <f t="shared" ref="F4" si="0">D4-E4</f>
        <v>10.015712355118481</v>
      </c>
      <c r="G4" s="37"/>
      <c r="H4" s="37">
        <f t="shared" ref="H4" si="1">F4-$G$2</f>
        <v>-1.7516035925158846</v>
      </c>
      <c r="I4" s="49">
        <f>2^-(H4)</f>
        <v>3.3673264512966501</v>
      </c>
      <c r="J4" s="37"/>
      <c r="K4" s="35">
        <f>I4/$J$2</f>
        <v>1.6462737627238595</v>
      </c>
      <c r="L4" s="37"/>
      <c r="M4" s="35"/>
    </row>
    <row r="5" spans="1:13" x14ac:dyDescent="0.2">
      <c r="A5" s="34" t="s">
        <v>64</v>
      </c>
      <c r="B5" s="36"/>
      <c r="C5" s="17">
        <v>26.8</v>
      </c>
      <c r="D5" s="37"/>
      <c r="E5" s="37"/>
      <c r="F5" s="50"/>
      <c r="G5" s="37"/>
      <c r="H5" s="37"/>
      <c r="I5" s="49"/>
      <c r="J5" s="37"/>
      <c r="K5" s="35"/>
      <c r="L5" s="37"/>
      <c r="M5" s="35"/>
    </row>
    <row r="6" spans="1:13" x14ac:dyDescent="0.2">
      <c r="A6" s="34" t="s">
        <v>64</v>
      </c>
      <c r="B6" s="36" t="s">
        <v>10</v>
      </c>
      <c r="C6" s="17">
        <v>27.39</v>
      </c>
      <c r="D6" s="37">
        <f>AVERAGE(C6:C7)</f>
        <v>27.48</v>
      </c>
      <c r="E6" s="37">
        <v>15.905719176330518</v>
      </c>
      <c r="F6" s="50">
        <f t="shared" ref="F6" si="2">D6-E6</f>
        <v>11.574280823669483</v>
      </c>
      <c r="G6" s="37"/>
      <c r="H6" s="37">
        <f t="shared" ref="H6" si="3">F6-$G$2</f>
        <v>-0.19303512396488287</v>
      </c>
      <c r="I6" s="49">
        <f>2^-(H6)</f>
        <v>1.143166166687023</v>
      </c>
      <c r="J6" s="37"/>
      <c r="K6" s="35">
        <f>I6/$J$2</f>
        <v>0.55888981774421409</v>
      </c>
      <c r="L6" s="37"/>
      <c r="M6" s="35"/>
    </row>
    <row r="7" spans="1:13" x14ac:dyDescent="0.2">
      <c r="A7" s="34" t="s">
        <v>64</v>
      </c>
      <c r="B7" s="36"/>
      <c r="C7" s="17">
        <v>27.57</v>
      </c>
      <c r="D7" s="37"/>
      <c r="E7" s="37"/>
      <c r="F7" s="50"/>
      <c r="G7" s="37"/>
      <c r="H7" s="37"/>
      <c r="I7" s="49"/>
      <c r="J7" s="37"/>
      <c r="K7" s="35"/>
      <c r="L7" s="37"/>
      <c r="M7" s="35"/>
    </row>
    <row r="8" spans="1:13" x14ac:dyDescent="0.2">
      <c r="A8" s="34" t="s">
        <v>64</v>
      </c>
      <c r="B8" s="36" t="s">
        <v>11</v>
      </c>
      <c r="C8" s="17">
        <v>31.33</v>
      </c>
      <c r="D8" s="37">
        <f>AVERAGE(C8:C9)</f>
        <v>31.61</v>
      </c>
      <c r="E8" s="37">
        <v>16.050441528766051</v>
      </c>
      <c r="F8" s="50">
        <f t="shared" ref="F8" si="4">D8-E8</f>
        <v>15.559558471233949</v>
      </c>
      <c r="G8" s="37"/>
      <c r="H8" s="37">
        <f t="shared" ref="H8:H40" si="5">F8-$G$2</f>
        <v>3.7922425235995831</v>
      </c>
      <c r="I8" s="49">
        <f>2^-(H8)</f>
        <v>7.2180726606147119E-2</v>
      </c>
      <c r="J8" s="37"/>
      <c r="K8" s="35">
        <f>I8/$J$2</f>
        <v>3.5288897024013416E-2</v>
      </c>
      <c r="L8" s="37"/>
      <c r="M8" s="35"/>
    </row>
    <row r="9" spans="1:13" ht="15" customHeight="1" x14ac:dyDescent="0.2">
      <c r="A9" s="34" t="s">
        <v>64</v>
      </c>
      <c r="B9" s="36"/>
      <c r="C9" s="17">
        <v>31.89</v>
      </c>
      <c r="D9" s="37"/>
      <c r="E9" s="37"/>
      <c r="F9" s="50"/>
      <c r="G9" s="37"/>
      <c r="H9" s="37"/>
      <c r="I9" s="49"/>
      <c r="J9" s="37"/>
      <c r="K9" s="35"/>
      <c r="L9" s="37"/>
      <c r="M9" s="35"/>
    </row>
    <row r="10" spans="1:13" ht="15" customHeight="1" x14ac:dyDescent="0.2">
      <c r="A10" s="34" t="s">
        <v>63</v>
      </c>
      <c r="B10" s="36" t="s">
        <v>13</v>
      </c>
      <c r="C10" s="17">
        <v>28.3</v>
      </c>
      <c r="D10" s="37">
        <f>AVERAGE(C10:C11)</f>
        <v>28.195</v>
      </c>
      <c r="E10" s="37">
        <v>17.143829345000096</v>
      </c>
      <c r="F10" s="50">
        <f t="shared" ref="F10" si="6">D10-E10</f>
        <v>11.051170654999904</v>
      </c>
      <c r="G10" s="8"/>
      <c r="H10" s="37">
        <f t="shared" si="5"/>
        <v>-0.71614529263446158</v>
      </c>
      <c r="I10" s="49">
        <f>2^-(H10)</f>
        <v>1.6427868368887089</v>
      </c>
      <c r="J10" s="37"/>
      <c r="K10" s="35">
        <f>I10/$J$2</f>
        <v>0.80315256225798781</v>
      </c>
      <c r="L10" s="37">
        <f t="shared" ref="L10" si="7">AVERAGE(K10:K17)</f>
        <v>2.2096230396691592</v>
      </c>
      <c r="M10" s="35">
        <f t="shared" ref="M10" si="8">STDEV(K10:K17)/4</f>
        <v>0.48464039110463236</v>
      </c>
    </row>
    <row r="11" spans="1:13" ht="15" customHeight="1" x14ac:dyDescent="0.2">
      <c r="A11" s="34" t="s">
        <v>63</v>
      </c>
      <c r="B11" s="36"/>
      <c r="C11" s="17">
        <v>28.09</v>
      </c>
      <c r="D11" s="37"/>
      <c r="E11" s="37"/>
      <c r="F11" s="50"/>
      <c r="G11" s="8"/>
      <c r="H11" s="37"/>
      <c r="I11" s="49"/>
      <c r="J11" s="37"/>
      <c r="K11" s="35"/>
      <c r="L11" s="37"/>
      <c r="M11" s="35"/>
    </row>
    <row r="12" spans="1:13" ht="15" customHeight="1" x14ac:dyDescent="0.2">
      <c r="A12" s="34" t="s">
        <v>63</v>
      </c>
      <c r="B12" s="36" t="s">
        <v>14</v>
      </c>
      <c r="C12" s="17">
        <v>26.31</v>
      </c>
      <c r="D12" s="37">
        <f>AVERAGE(C12:C13)</f>
        <v>26.384999999999998</v>
      </c>
      <c r="E12" s="37">
        <v>17.978019717604003</v>
      </c>
      <c r="F12" s="50">
        <f t="shared" ref="F12" si="9">D12-E12</f>
        <v>8.4069802823959954</v>
      </c>
      <c r="G12" s="8"/>
      <c r="H12" s="37">
        <f t="shared" si="5"/>
        <v>-3.3603356652383702</v>
      </c>
      <c r="I12" s="49">
        <f>2^-(H12)</f>
        <v>10.269796328966695</v>
      </c>
      <c r="J12" s="37"/>
      <c r="K12" s="35">
        <f>I12/$J$2</f>
        <v>5.0208664023012597</v>
      </c>
      <c r="L12" s="37"/>
      <c r="M12" s="35"/>
    </row>
    <row r="13" spans="1:13" ht="15" customHeight="1" x14ac:dyDescent="0.2">
      <c r="A13" s="34" t="s">
        <v>63</v>
      </c>
      <c r="B13" s="36"/>
      <c r="C13" s="17">
        <v>26.46</v>
      </c>
      <c r="D13" s="37"/>
      <c r="E13" s="37"/>
      <c r="F13" s="50"/>
      <c r="G13" s="8"/>
      <c r="H13" s="37"/>
      <c r="I13" s="49"/>
      <c r="J13" s="37"/>
      <c r="K13" s="35"/>
      <c r="L13" s="37"/>
      <c r="M13" s="35"/>
    </row>
    <row r="14" spans="1:13" ht="15" customHeight="1" x14ac:dyDescent="0.2">
      <c r="A14" s="34" t="s">
        <v>63</v>
      </c>
      <c r="B14" s="36" t="s">
        <v>15</v>
      </c>
      <c r="C14" s="17">
        <v>28.88</v>
      </c>
      <c r="D14" s="37">
        <f>AVERAGE(C14:C15)</f>
        <v>28.63</v>
      </c>
      <c r="E14" s="37">
        <v>17.974532197115273</v>
      </c>
      <c r="F14" s="50">
        <f t="shared" ref="F14" si="10">D14-E14</f>
        <v>10.655467802884726</v>
      </c>
      <c r="G14" s="8"/>
      <c r="H14" s="37">
        <f t="shared" si="5"/>
        <v>-1.11184814474964</v>
      </c>
      <c r="I14" s="49">
        <f>2^-(H14)</f>
        <v>2.1612233059796599</v>
      </c>
      <c r="J14" s="37"/>
      <c r="K14" s="35">
        <f>I14/$J$2</f>
        <v>1.0566142830171916</v>
      </c>
      <c r="L14" s="37"/>
      <c r="M14" s="35"/>
    </row>
    <row r="15" spans="1:13" ht="15" customHeight="1" x14ac:dyDescent="0.2">
      <c r="A15" s="34" t="s">
        <v>63</v>
      </c>
      <c r="B15" s="36"/>
      <c r="C15" s="17">
        <v>28.38</v>
      </c>
      <c r="D15" s="37"/>
      <c r="E15" s="37"/>
      <c r="F15" s="50"/>
      <c r="G15" s="8"/>
      <c r="H15" s="37"/>
      <c r="I15" s="49"/>
      <c r="J15" s="37"/>
      <c r="K15" s="35"/>
      <c r="L15" s="37"/>
      <c r="M15" s="35"/>
    </row>
    <row r="16" spans="1:13" ht="15" customHeight="1" x14ac:dyDescent="0.2">
      <c r="A16" s="34" t="s">
        <v>63</v>
      </c>
      <c r="B16" s="36" t="s">
        <v>16</v>
      </c>
      <c r="C16" s="17">
        <v>27.16</v>
      </c>
      <c r="D16" s="37">
        <f>AVERAGE(C16:C17)</f>
        <v>27.085000000000001</v>
      </c>
      <c r="E16" s="37">
        <v>17.319360183997457</v>
      </c>
      <c r="F16" s="50">
        <f t="shared" ref="F16" si="11">D16-E16</f>
        <v>9.7656398160025439</v>
      </c>
      <c r="G16" s="8"/>
      <c r="H16" s="37">
        <f t="shared" si="5"/>
        <v>-2.0016761316318217</v>
      </c>
      <c r="I16" s="49">
        <f>2^-(H16)</f>
        <v>4.0046499242911144</v>
      </c>
      <c r="J16" s="37"/>
      <c r="K16" s="35">
        <f>I16/$J$2</f>
        <v>1.9578589111001976</v>
      </c>
      <c r="L16" s="37"/>
      <c r="M16" s="35"/>
    </row>
    <row r="17" spans="1:13" ht="15" customHeight="1" x14ac:dyDescent="0.2">
      <c r="A17" s="34" t="s">
        <v>63</v>
      </c>
      <c r="B17" s="36"/>
      <c r="C17" s="17">
        <v>27.01</v>
      </c>
      <c r="D17" s="37"/>
      <c r="E17" s="37"/>
      <c r="F17" s="50"/>
      <c r="G17" s="8"/>
      <c r="H17" s="37"/>
      <c r="I17" s="49"/>
      <c r="J17" s="37"/>
      <c r="K17" s="35"/>
      <c r="L17" s="37"/>
      <c r="M17" s="35"/>
    </row>
    <row r="18" spans="1:13" ht="15" customHeight="1" x14ac:dyDescent="0.2">
      <c r="A18" s="19" t="s">
        <v>53</v>
      </c>
      <c r="B18" s="36" t="s">
        <v>18</v>
      </c>
      <c r="C18" s="17">
        <v>28.83</v>
      </c>
      <c r="D18" s="37">
        <f>AVERAGE(C18:C19)</f>
        <v>28.445</v>
      </c>
      <c r="E18" s="37">
        <v>19.205252186246113</v>
      </c>
      <c r="F18" s="50">
        <f t="shared" ref="F18" si="12">D18-E18</f>
        <v>9.2397478137538869</v>
      </c>
      <c r="G18" s="8"/>
      <c r="H18" s="37">
        <f t="shared" si="5"/>
        <v>-2.5275681338804787</v>
      </c>
      <c r="I18" s="49">
        <f>2^-(H18)</f>
        <v>5.7659891971566015</v>
      </c>
      <c r="J18" s="37"/>
      <c r="K18" s="35">
        <f>I18/$J$2</f>
        <v>2.8189713319220666</v>
      </c>
      <c r="L18" s="37">
        <f t="shared" ref="L18" si="13">AVERAGE(K18:K25)</f>
        <v>1.7561916251658269</v>
      </c>
      <c r="M18" s="35">
        <f t="shared" ref="M18" si="14">STDEV(K18:K25)/4</f>
        <v>0.37273660307570905</v>
      </c>
    </row>
    <row r="19" spans="1:13" ht="15" customHeight="1" x14ac:dyDescent="0.2">
      <c r="A19" s="19" t="s">
        <v>53</v>
      </c>
      <c r="B19" s="36"/>
      <c r="C19" s="17">
        <v>28.06</v>
      </c>
      <c r="D19" s="37"/>
      <c r="E19" s="37"/>
      <c r="F19" s="50"/>
      <c r="G19" s="8"/>
      <c r="H19" s="37"/>
      <c r="I19" s="49"/>
      <c r="J19" s="37"/>
      <c r="K19" s="35"/>
      <c r="L19" s="37"/>
      <c r="M19" s="35"/>
    </row>
    <row r="20" spans="1:13" ht="15" customHeight="1" x14ac:dyDescent="0.2">
      <c r="A20" s="19" t="s">
        <v>53</v>
      </c>
      <c r="B20" s="36" t="s">
        <v>19</v>
      </c>
      <c r="C20" s="17">
        <v>26.37</v>
      </c>
      <c r="D20" s="37">
        <f>AVERAGE(C20:C21)</f>
        <v>26.594999999999999</v>
      </c>
      <c r="E20" s="37">
        <v>17.51825332356341</v>
      </c>
      <c r="F20" s="50">
        <f t="shared" ref="F20" si="15">D20-E20</f>
        <v>9.0767466764365885</v>
      </c>
      <c r="G20" s="8"/>
      <c r="H20" s="37">
        <f t="shared" si="5"/>
        <v>-2.6905692711977771</v>
      </c>
      <c r="I20" s="49">
        <f>2^-(H20)</f>
        <v>6.4556809101714556</v>
      </c>
      <c r="J20" s="37"/>
      <c r="K20" s="35">
        <f>I20/$J$2</f>
        <v>3.1561591240552631</v>
      </c>
      <c r="L20" s="37"/>
      <c r="M20" s="35"/>
    </row>
    <row r="21" spans="1:13" ht="15" customHeight="1" x14ac:dyDescent="0.2">
      <c r="A21" s="20" t="s">
        <v>53</v>
      </c>
      <c r="B21" s="36"/>
      <c r="C21" s="17">
        <v>26.82</v>
      </c>
      <c r="D21" s="37"/>
      <c r="E21" s="37"/>
      <c r="F21" s="50"/>
      <c r="G21" s="8"/>
      <c r="H21" s="37"/>
      <c r="I21" s="49"/>
      <c r="J21" s="37"/>
      <c r="K21" s="35"/>
      <c r="L21" s="37"/>
      <c r="M21" s="35"/>
    </row>
    <row r="22" spans="1:13" ht="15" customHeight="1" x14ac:dyDescent="0.2">
      <c r="A22" s="20" t="s">
        <v>53</v>
      </c>
      <c r="B22" s="36" t="s">
        <v>20</v>
      </c>
      <c r="C22" s="17">
        <v>37.19</v>
      </c>
      <c r="D22" s="37">
        <f>AVERAGE(C22:C23)</f>
        <v>37.19</v>
      </c>
      <c r="E22" s="37">
        <v>17.449205574599276</v>
      </c>
      <c r="F22" s="50">
        <f t="shared" ref="F22" si="16">D22-E22</f>
        <v>19.740794425400722</v>
      </c>
      <c r="G22" s="8"/>
      <c r="H22" s="37">
        <f t="shared" si="5"/>
        <v>7.9734784777663563</v>
      </c>
      <c r="I22" s="49">
        <f>2^-(H22)</f>
        <v>3.9787239521989976E-3</v>
      </c>
      <c r="J22" s="37"/>
      <c r="K22" s="35">
        <f>I22/$J$2</f>
        <v>1.9451837968082859E-3</v>
      </c>
      <c r="L22" s="37"/>
      <c r="M22" s="35"/>
    </row>
    <row r="23" spans="1:13" ht="15" customHeight="1" x14ac:dyDescent="0.2">
      <c r="A23" s="20" t="s">
        <v>53</v>
      </c>
      <c r="B23" s="36"/>
      <c r="C23" s="17"/>
      <c r="D23" s="37"/>
      <c r="E23" s="37"/>
      <c r="F23" s="50"/>
      <c r="G23" s="8"/>
      <c r="H23" s="37"/>
      <c r="I23" s="49"/>
      <c r="J23" s="37"/>
      <c r="K23" s="35"/>
      <c r="L23" s="37"/>
      <c r="M23" s="35"/>
    </row>
    <row r="24" spans="1:13" ht="15" customHeight="1" x14ac:dyDescent="0.2">
      <c r="A24" s="20" t="s">
        <v>53</v>
      </c>
      <c r="B24" s="36" t="s">
        <v>21</v>
      </c>
      <c r="C24" s="17">
        <v>27.62</v>
      </c>
      <c r="D24" s="37">
        <f>AVERAGE(C24:C25)</f>
        <v>27.560000000000002</v>
      </c>
      <c r="E24" s="37">
        <v>16.892296467846915</v>
      </c>
      <c r="F24" s="50">
        <f t="shared" ref="F24" si="17">D24-E24</f>
        <v>10.667703532153087</v>
      </c>
      <c r="G24" s="8"/>
      <c r="H24" s="37">
        <f t="shared" si="5"/>
        <v>-1.0996124154812783</v>
      </c>
      <c r="I24" s="49">
        <f>2^-(H24)</f>
        <v>2.1429711318588409</v>
      </c>
      <c r="J24" s="37"/>
      <c r="K24" s="35">
        <f>I24/$J$2</f>
        <v>1.0476908608891702</v>
      </c>
      <c r="L24" s="37"/>
      <c r="M24" s="35"/>
    </row>
    <row r="25" spans="1:13" ht="15" customHeight="1" x14ac:dyDescent="0.2">
      <c r="A25" s="20" t="s">
        <v>53</v>
      </c>
      <c r="B25" s="36"/>
      <c r="C25" s="17">
        <v>27.5</v>
      </c>
      <c r="D25" s="37"/>
      <c r="E25" s="37"/>
      <c r="F25" s="50"/>
      <c r="G25" s="8"/>
      <c r="H25" s="37"/>
      <c r="I25" s="49"/>
      <c r="J25" s="37"/>
      <c r="K25" s="35"/>
      <c r="L25" s="37"/>
      <c r="M25" s="35"/>
    </row>
    <row r="26" spans="1:13" ht="15" customHeight="1" x14ac:dyDescent="0.2">
      <c r="A26" s="19" t="s">
        <v>54</v>
      </c>
      <c r="B26" s="36" t="s">
        <v>23</v>
      </c>
      <c r="C26" s="17">
        <v>27.58</v>
      </c>
      <c r="D26" s="37">
        <f>AVERAGE(C26:C27)</f>
        <v>27.684999999999999</v>
      </c>
      <c r="E26" s="37">
        <v>17.460951826505497</v>
      </c>
      <c r="F26" s="50">
        <f t="shared" ref="F26" si="18">D26-E26</f>
        <v>10.224048173494502</v>
      </c>
      <c r="G26" s="8"/>
      <c r="H26" s="37">
        <f t="shared" si="5"/>
        <v>-1.5432677741398635</v>
      </c>
      <c r="I26" s="49">
        <f>2^-(H26)</f>
        <v>2.9145391361413671</v>
      </c>
      <c r="J26" s="37"/>
      <c r="K26" s="35">
        <f>I26/$J$2</f>
        <v>1.4249076766565916</v>
      </c>
      <c r="L26" s="37">
        <f t="shared" ref="L26" si="19">AVERAGE(K26:K33)</f>
        <v>0.71987209225084681</v>
      </c>
      <c r="M26" s="35">
        <f t="shared" ref="M26" si="20">STDEV(K26:K33)/4</f>
        <v>0.2492677213555613</v>
      </c>
    </row>
    <row r="27" spans="1:13" ht="15" customHeight="1" x14ac:dyDescent="0.2">
      <c r="A27" s="19" t="s">
        <v>54</v>
      </c>
      <c r="B27" s="36"/>
      <c r="C27" s="17">
        <v>27.79</v>
      </c>
      <c r="D27" s="37"/>
      <c r="E27" s="37"/>
      <c r="F27" s="50"/>
      <c r="G27" s="8"/>
      <c r="H27" s="37"/>
      <c r="I27" s="49"/>
      <c r="J27" s="37"/>
      <c r="K27" s="35"/>
      <c r="L27" s="37"/>
      <c r="M27" s="35"/>
    </row>
    <row r="28" spans="1:13" ht="15" customHeight="1" x14ac:dyDescent="0.2">
      <c r="A28" s="19" t="s">
        <v>54</v>
      </c>
      <c r="B28" s="36" t="s">
        <v>24</v>
      </c>
      <c r="C28" s="17"/>
      <c r="D28" s="37">
        <f>AVERAGE(C28:C29)</f>
        <v>34.619999999999997</v>
      </c>
      <c r="E28" s="37">
        <v>17.810378746674107</v>
      </c>
      <c r="F28" s="50">
        <f t="shared" ref="F28" si="21">D28-E28</f>
        <v>16.80962125332589</v>
      </c>
      <c r="G28" s="8"/>
      <c r="H28" s="37">
        <f t="shared" si="5"/>
        <v>5.0423053056915244</v>
      </c>
      <c r="I28" s="49">
        <f>2^-(H28)</f>
        <v>3.0346936483408291E-2</v>
      </c>
      <c r="J28" s="37"/>
      <c r="K28" s="35">
        <f>I28/$J$2</f>
        <v>1.4836507845102091E-2</v>
      </c>
      <c r="L28" s="37"/>
      <c r="M28" s="35"/>
    </row>
    <row r="29" spans="1:13" ht="15" customHeight="1" x14ac:dyDescent="0.2">
      <c r="A29" s="19" t="s">
        <v>54</v>
      </c>
      <c r="B29" s="36"/>
      <c r="C29" s="17">
        <v>34.619999999999997</v>
      </c>
      <c r="D29" s="37"/>
      <c r="E29" s="37"/>
      <c r="F29" s="50"/>
      <c r="G29" s="8"/>
      <c r="H29" s="37"/>
      <c r="I29" s="49"/>
      <c r="J29" s="37"/>
      <c r="K29" s="35"/>
      <c r="L29" s="37"/>
      <c r="M29" s="35"/>
    </row>
    <row r="30" spans="1:13" ht="15" customHeight="1" x14ac:dyDescent="0.2">
      <c r="A30" s="19" t="s">
        <v>54</v>
      </c>
      <c r="B30" s="36" t="s">
        <v>25</v>
      </c>
      <c r="C30" s="21"/>
      <c r="D30" s="37" t="e">
        <f>AVERAGE(C30:C31)</f>
        <v>#DIV/0!</v>
      </c>
      <c r="E30" s="37">
        <v>17.636734292930214</v>
      </c>
      <c r="F30" s="50" t="e">
        <f t="shared" ref="F30" si="22">D30-E30</f>
        <v>#DIV/0!</v>
      </c>
      <c r="G30" s="8"/>
      <c r="H30" s="37" t="e">
        <f t="shared" si="5"/>
        <v>#DIV/0!</v>
      </c>
      <c r="I30" s="49" t="e">
        <f>2^-(H30)</f>
        <v>#DIV/0!</v>
      </c>
      <c r="J30" s="37"/>
      <c r="K30" s="35"/>
      <c r="L30" s="37"/>
      <c r="M30" s="35"/>
    </row>
    <row r="31" spans="1:13" ht="15" customHeight="1" x14ac:dyDescent="0.2">
      <c r="A31" s="19" t="s">
        <v>54</v>
      </c>
      <c r="B31" s="36"/>
      <c r="C31" s="21"/>
      <c r="D31" s="37"/>
      <c r="E31" s="37"/>
      <c r="F31" s="50"/>
      <c r="G31" s="8"/>
      <c r="H31" s="37"/>
      <c r="I31" s="49"/>
      <c r="J31" s="37"/>
      <c r="K31" s="35"/>
      <c r="L31" s="37"/>
      <c r="M31" s="35"/>
    </row>
    <row r="32" spans="1:13" ht="15" customHeight="1" x14ac:dyDescent="0.2">
      <c r="A32" s="19" t="s">
        <v>54</v>
      </c>
      <c r="B32" s="36" t="s">
        <v>26</v>
      </c>
      <c r="C32" s="21"/>
      <c r="D32" s="37" t="e">
        <f>AVERAGE(C32:C33)</f>
        <v>#DIV/0!</v>
      </c>
      <c r="E32" s="37">
        <v>18.397647607932122</v>
      </c>
      <c r="F32" s="50" t="e">
        <f t="shared" ref="F32" si="23">D32-E32</f>
        <v>#DIV/0!</v>
      </c>
      <c r="G32" s="8"/>
      <c r="H32" s="37" t="e">
        <f t="shared" si="5"/>
        <v>#DIV/0!</v>
      </c>
      <c r="I32" s="49" t="e">
        <f>2^-(H32)</f>
        <v>#DIV/0!</v>
      </c>
      <c r="J32" s="37"/>
      <c r="K32" s="35"/>
      <c r="L32" s="37"/>
      <c r="M32" s="35"/>
    </row>
    <row r="33" spans="1:13" ht="15" customHeight="1" x14ac:dyDescent="0.2">
      <c r="A33" s="19" t="s">
        <v>54</v>
      </c>
      <c r="B33" s="36"/>
      <c r="C33" s="21"/>
      <c r="D33" s="37"/>
      <c r="E33" s="37"/>
      <c r="F33" s="50"/>
      <c r="G33" s="8"/>
      <c r="H33" s="37"/>
      <c r="I33" s="49"/>
      <c r="J33" s="37"/>
      <c r="K33" s="35"/>
      <c r="L33" s="37"/>
      <c r="M33" s="35"/>
    </row>
    <row r="34" spans="1:13" ht="15" customHeight="1" x14ac:dyDescent="0.2">
      <c r="A34" s="19" t="s">
        <v>55</v>
      </c>
      <c r="B34" s="36" t="s">
        <v>28</v>
      </c>
      <c r="C34" s="21"/>
      <c r="D34" s="37" t="e">
        <f>AVERAGE(C34:C35)</f>
        <v>#DIV/0!</v>
      </c>
      <c r="E34" s="37">
        <v>16.509506697394823</v>
      </c>
      <c r="F34" s="50" t="e">
        <f t="shared" ref="F34" si="24">D34-E34</f>
        <v>#DIV/0!</v>
      </c>
      <c r="G34" s="8"/>
      <c r="H34" s="37" t="e">
        <f t="shared" si="5"/>
        <v>#DIV/0!</v>
      </c>
      <c r="I34" s="49" t="e">
        <f>2^-(H34)</f>
        <v>#DIV/0!</v>
      </c>
      <c r="J34" s="37"/>
      <c r="K34" s="35"/>
      <c r="L34" s="37">
        <f t="shared" ref="L34" si="25">AVERAGE(K34:K41)</f>
        <v>3.3152068565139481</v>
      </c>
      <c r="M34" s="35">
        <f t="shared" ref="M34" si="26">STDEV(K34:K41)/4</f>
        <v>0.49068132691050437</v>
      </c>
    </row>
    <row r="35" spans="1:13" ht="15" customHeight="1" x14ac:dyDescent="0.2">
      <c r="A35" s="19" t="s">
        <v>55</v>
      </c>
      <c r="B35" s="36"/>
      <c r="C35" s="21"/>
      <c r="D35" s="37"/>
      <c r="E35" s="37"/>
      <c r="F35" s="50"/>
      <c r="G35" s="8"/>
      <c r="H35" s="37"/>
      <c r="I35" s="49"/>
      <c r="J35" s="37"/>
      <c r="K35" s="35"/>
      <c r="L35" s="37"/>
      <c r="M35" s="35"/>
    </row>
    <row r="36" spans="1:13" ht="15" customHeight="1" x14ac:dyDescent="0.2">
      <c r="A36" s="19" t="s">
        <v>55</v>
      </c>
      <c r="B36" s="36" t="s">
        <v>29</v>
      </c>
      <c r="C36" s="17">
        <v>29.36</v>
      </c>
      <c r="D36" s="37">
        <f>AVERAGE(C36:C37)</f>
        <v>28.994999999999997</v>
      </c>
      <c r="E36" s="37">
        <v>18.343164352268513</v>
      </c>
      <c r="F36" s="50">
        <f t="shared" ref="F36" si="27">D36-E36</f>
        <v>10.651835647731485</v>
      </c>
      <c r="G36" s="8"/>
      <c r="H36" s="37">
        <f t="shared" si="5"/>
        <v>-1.115480299902881</v>
      </c>
      <c r="I36" s="49">
        <f>2^-(H36)</f>
        <v>2.1666712960027308</v>
      </c>
      <c r="J36" s="37"/>
      <c r="K36" s="35">
        <f>I36/$J$2</f>
        <v>1.0592777856992999</v>
      </c>
      <c r="L36" s="37"/>
      <c r="M36" s="35"/>
    </row>
    <row r="37" spans="1:13" ht="15" customHeight="1" x14ac:dyDescent="0.2">
      <c r="A37" s="19" t="s">
        <v>55</v>
      </c>
      <c r="B37" s="36"/>
      <c r="C37" s="17">
        <v>28.63</v>
      </c>
      <c r="D37" s="37"/>
      <c r="E37" s="37"/>
      <c r="F37" s="50"/>
      <c r="G37" s="8"/>
      <c r="H37" s="37"/>
      <c r="I37" s="49"/>
      <c r="J37" s="37"/>
      <c r="K37" s="35"/>
      <c r="L37" s="37"/>
      <c r="M37" s="35"/>
    </row>
    <row r="38" spans="1:13" ht="15" customHeight="1" x14ac:dyDescent="0.2">
      <c r="A38" s="19" t="s">
        <v>55</v>
      </c>
      <c r="B38" s="36" t="s">
        <v>30</v>
      </c>
      <c r="C38" s="17">
        <v>25.88</v>
      </c>
      <c r="D38" s="37">
        <f>AVERAGE(C38:C39)</f>
        <v>26.03</v>
      </c>
      <c r="E38" s="37">
        <v>17.506489233409525</v>
      </c>
      <c r="F38" s="50">
        <f t="shared" ref="F38" si="28">D38-E38</f>
        <v>8.5235107665904764</v>
      </c>
      <c r="G38" s="8"/>
      <c r="H38" s="37">
        <f t="shared" si="5"/>
        <v>-3.2438051810438893</v>
      </c>
      <c r="I38" s="49">
        <f>2^-(H38)</f>
        <v>9.4728936058571023</v>
      </c>
      <c r="J38" s="37"/>
      <c r="K38" s="35">
        <f>I38/$J$2</f>
        <v>4.6312635338317234</v>
      </c>
      <c r="L38" s="37"/>
      <c r="M38" s="35"/>
    </row>
    <row r="39" spans="1:13" ht="15" customHeight="1" x14ac:dyDescent="0.2">
      <c r="A39" s="19" t="s">
        <v>55</v>
      </c>
      <c r="B39" s="36"/>
      <c r="C39" s="17">
        <v>26.18</v>
      </c>
      <c r="D39" s="37"/>
      <c r="E39" s="37"/>
      <c r="F39" s="50"/>
      <c r="G39" s="8"/>
      <c r="H39" s="37"/>
      <c r="I39" s="49"/>
      <c r="J39" s="37"/>
      <c r="K39" s="35"/>
      <c r="L39" s="37"/>
      <c r="M39" s="35"/>
    </row>
    <row r="40" spans="1:13" ht="15" customHeight="1" x14ac:dyDescent="0.2">
      <c r="A40" s="19" t="s">
        <v>55</v>
      </c>
      <c r="B40" s="36" t="s">
        <v>31</v>
      </c>
      <c r="C40" s="17">
        <v>27.38</v>
      </c>
      <c r="D40" s="37">
        <f>AVERAGE(C40:C41)</f>
        <v>27.354999999999997</v>
      </c>
      <c r="E40" s="37">
        <v>18.70926938210307</v>
      </c>
      <c r="F40" s="50">
        <f t="shared" ref="F40" si="29">D40-E40</f>
        <v>8.6457306178969269</v>
      </c>
      <c r="G40" s="8"/>
      <c r="H40" s="37">
        <f t="shared" si="5"/>
        <v>-3.1215853297374387</v>
      </c>
      <c r="I40" s="49">
        <f>2^-(H40)</f>
        <v>8.7034375663121857</v>
      </c>
      <c r="J40" s="37"/>
      <c r="K40" s="35">
        <f>I40/$J$2</f>
        <v>4.2550792500108221</v>
      </c>
      <c r="L40" s="37"/>
      <c r="M40" s="35"/>
    </row>
    <row r="41" spans="1:13" ht="15" customHeight="1" x14ac:dyDescent="0.2">
      <c r="A41" s="19" t="s">
        <v>55</v>
      </c>
      <c r="B41" s="36"/>
      <c r="C41" s="17">
        <v>27.33</v>
      </c>
      <c r="D41" s="37"/>
      <c r="E41" s="37"/>
      <c r="F41" s="50"/>
      <c r="G41" s="8"/>
      <c r="H41" s="37"/>
      <c r="I41" s="49"/>
      <c r="J41" s="37"/>
      <c r="K41" s="35"/>
      <c r="L41" s="37"/>
      <c r="M41" s="35"/>
    </row>
    <row r="42" spans="1:13" x14ac:dyDescent="0.2">
      <c r="A42" s="33" t="s">
        <v>56</v>
      </c>
    </row>
    <row r="43" spans="1:13" x14ac:dyDescent="0.2">
      <c r="A43" s="32" t="s">
        <v>56</v>
      </c>
    </row>
    <row r="44" spans="1:13" x14ac:dyDescent="0.2">
      <c r="A44" s="32" t="s">
        <v>56</v>
      </c>
    </row>
    <row r="45" spans="1:13" x14ac:dyDescent="0.2">
      <c r="A45" s="32" t="s">
        <v>56</v>
      </c>
    </row>
    <row r="46" spans="1:13" x14ac:dyDescent="0.2">
      <c r="A46" s="32" t="s">
        <v>56</v>
      </c>
    </row>
    <row r="47" spans="1:13" x14ac:dyDescent="0.2">
      <c r="A47" s="32" t="s">
        <v>56</v>
      </c>
    </row>
    <row r="48" spans="1:13" x14ac:dyDescent="0.2">
      <c r="A48" s="32" t="s">
        <v>56</v>
      </c>
    </row>
    <row r="49" spans="1:1" x14ac:dyDescent="0.2">
      <c r="A49" s="32" t="s">
        <v>56</v>
      </c>
    </row>
  </sheetData>
  <mergeCells count="156">
    <mergeCell ref="B38:B39"/>
    <mergeCell ref="K40:K41"/>
    <mergeCell ref="B40:B41"/>
    <mergeCell ref="D40:D41"/>
    <mergeCell ref="E40:E41"/>
    <mergeCell ref="F40:F41"/>
    <mergeCell ref="H40:H41"/>
    <mergeCell ref="I40:I41"/>
    <mergeCell ref="D38:D39"/>
    <mergeCell ref="E38:E39"/>
    <mergeCell ref="F38:F39"/>
    <mergeCell ref="H38:H39"/>
    <mergeCell ref="I38:I39"/>
    <mergeCell ref="K38:K39"/>
    <mergeCell ref="J34:J41"/>
    <mergeCell ref="K34:K35"/>
    <mergeCell ref="B34:B35"/>
    <mergeCell ref="D34:D35"/>
    <mergeCell ref="B36:B37"/>
    <mergeCell ref="D36:D37"/>
    <mergeCell ref="E36:E37"/>
    <mergeCell ref="F36:F37"/>
    <mergeCell ref="H36:H37"/>
    <mergeCell ref="I36:I37"/>
    <mergeCell ref="D32:D33"/>
    <mergeCell ref="E32:E33"/>
    <mergeCell ref="F32:F33"/>
    <mergeCell ref="H32:H33"/>
    <mergeCell ref="I32:I33"/>
    <mergeCell ref="K32:K33"/>
    <mergeCell ref="L34:L41"/>
    <mergeCell ref="L26:L33"/>
    <mergeCell ref="M26:M33"/>
    <mergeCell ref="M34:M41"/>
    <mergeCell ref="D28:D29"/>
    <mergeCell ref="E28:E29"/>
    <mergeCell ref="F28:F29"/>
    <mergeCell ref="H28:H29"/>
    <mergeCell ref="I28:I29"/>
    <mergeCell ref="K28:K29"/>
    <mergeCell ref="K36:K37"/>
    <mergeCell ref="E34:E35"/>
    <mergeCell ref="F34:F35"/>
    <mergeCell ref="H34:H35"/>
    <mergeCell ref="I34:I35"/>
    <mergeCell ref="K24:K25"/>
    <mergeCell ref="B26:B27"/>
    <mergeCell ref="D26:D27"/>
    <mergeCell ref="E26:E27"/>
    <mergeCell ref="F26:F27"/>
    <mergeCell ref="H26:H27"/>
    <mergeCell ref="I26:I27"/>
    <mergeCell ref="J26:J33"/>
    <mergeCell ref="K26:K27"/>
    <mergeCell ref="D30:D31"/>
    <mergeCell ref="B24:B25"/>
    <mergeCell ref="D24:D25"/>
    <mergeCell ref="E24:E25"/>
    <mergeCell ref="F24:F25"/>
    <mergeCell ref="H24:H25"/>
    <mergeCell ref="I24:I25"/>
    <mergeCell ref="B28:B29"/>
    <mergeCell ref="B30:B31"/>
    <mergeCell ref="E30:E31"/>
    <mergeCell ref="F30:F31"/>
    <mergeCell ref="H30:H31"/>
    <mergeCell ref="I30:I31"/>
    <mergeCell ref="K30:K31"/>
    <mergeCell ref="B32:B33"/>
    <mergeCell ref="L18:L25"/>
    <mergeCell ref="M18:M25"/>
    <mergeCell ref="B20:B21"/>
    <mergeCell ref="D20:D21"/>
    <mergeCell ref="E20:E21"/>
    <mergeCell ref="F20:F21"/>
    <mergeCell ref="H20:H21"/>
    <mergeCell ref="I20:I21"/>
    <mergeCell ref="B18:B19"/>
    <mergeCell ref="D18:D19"/>
    <mergeCell ref="E18:E19"/>
    <mergeCell ref="F18:F19"/>
    <mergeCell ref="H18:H19"/>
    <mergeCell ref="I18:I19"/>
    <mergeCell ref="K20:K21"/>
    <mergeCell ref="B22:B23"/>
    <mergeCell ref="D22:D23"/>
    <mergeCell ref="E22:E23"/>
    <mergeCell ref="F22:F23"/>
    <mergeCell ref="H22:H23"/>
    <mergeCell ref="I22:I23"/>
    <mergeCell ref="K22:K23"/>
    <mergeCell ref="J18:J25"/>
    <mergeCell ref="K18:K19"/>
    <mergeCell ref="L10:L17"/>
    <mergeCell ref="M10:M17"/>
    <mergeCell ref="B12:B13"/>
    <mergeCell ref="D12:D13"/>
    <mergeCell ref="E12:E13"/>
    <mergeCell ref="F12:F13"/>
    <mergeCell ref="H12:H13"/>
    <mergeCell ref="I12:I13"/>
    <mergeCell ref="K12:K13"/>
    <mergeCell ref="K14:K15"/>
    <mergeCell ref="B16:B17"/>
    <mergeCell ref="D16:D17"/>
    <mergeCell ref="E16:E17"/>
    <mergeCell ref="F16:F17"/>
    <mergeCell ref="H16:H17"/>
    <mergeCell ref="I16:I17"/>
    <mergeCell ref="K16:K17"/>
    <mergeCell ref="B14:B15"/>
    <mergeCell ref="D14:D15"/>
    <mergeCell ref="E14:E15"/>
    <mergeCell ref="F14:F15"/>
    <mergeCell ref="H14:H15"/>
    <mergeCell ref="I14:I15"/>
    <mergeCell ref="E6:E7"/>
    <mergeCell ref="F6:F7"/>
    <mergeCell ref="H6:H7"/>
    <mergeCell ref="I6:I7"/>
    <mergeCell ref="K6:K7"/>
    <mergeCell ref="H8:H9"/>
    <mergeCell ref="I8:I9"/>
    <mergeCell ref="K8:K9"/>
    <mergeCell ref="B10:B11"/>
    <mergeCell ref="D10:D11"/>
    <mergeCell ref="E10:E11"/>
    <mergeCell ref="F10:F11"/>
    <mergeCell ref="H10:H11"/>
    <mergeCell ref="I10:I11"/>
    <mergeCell ref="J10:J17"/>
    <mergeCell ref="K10:K11"/>
    <mergeCell ref="I2:I3"/>
    <mergeCell ref="J2:J9"/>
    <mergeCell ref="K2:K3"/>
    <mergeCell ref="L2:L9"/>
    <mergeCell ref="M2:M9"/>
    <mergeCell ref="B4:B5"/>
    <mergeCell ref="D4:D5"/>
    <mergeCell ref="E4:E5"/>
    <mergeCell ref="F4:F5"/>
    <mergeCell ref="H4:H5"/>
    <mergeCell ref="B2:B3"/>
    <mergeCell ref="D2:D3"/>
    <mergeCell ref="E2:E3"/>
    <mergeCell ref="F2:F3"/>
    <mergeCell ref="G2:G9"/>
    <mergeCell ref="H2:H3"/>
    <mergeCell ref="B8:B9"/>
    <mergeCell ref="D8:D9"/>
    <mergeCell ref="E8:E9"/>
    <mergeCell ref="F8:F9"/>
    <mergeCell ref="I4:I5"/>
    <mergeCell ref="K4:K5"/>
    <mergeCell ref="B6:B7"/>
    <mergeCell ref="D6:D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E23BA182773748BD1DC7299F50E584" ma:contentTypeVersion="13" ma:contentTypeDescription="Create a new document." ma:contentTypeScope="" ma:versionID="54d6a9ccff3b413e2213b79d865f01fe">
  <xsd:schema xmlns:xsd="http://www.w3.org/2001/XMLSchema" xmlns:xs="http://www.w3.org/2001/XMLSchema" xmlns:p="http://schemas.microsoft.com/office/2006/metadata/properties" xmlns:ns2="9103ab5b-d5f0-48d4-9b92-489659adfd16" xmlns:ns3="46307336-0e7c-40d0-be46-52852b2345f2" targetNamespace="http://schemas.microsoft.com/office/2006/metadata/properties" ma:root="true" ma:fieldsID="944efa43e411f5f807f91d23c5ca9499" ns2:_="" ns3:_="">
    <xsd:import namespace="9103ab5b-d5f0-48d4-9b92-489659adfd16"/>
    <xsd:import namespace="46307336-0e7c-40d0-be46-52852b2345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3ab5b-d5f0-48d4-9b92-489659adfd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413f08b-c211-47f6-8ae0-7908ce8c57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07336-0e7c-40d0-be46-52852b2345f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03ab5b-d5f0-48d4-9b92-489659adfd1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7AC4B0-D0DF-482D-99FF-98AD7E3F6E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37C29A-54E2-412E-A971-135BABBC07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3ab5b-d5f0-48d4-9b92-489659adfd16"/>
    <ds:schemaRef ds:uri="46307336-0e7c-40d0-be46-52852b2345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CC98F8-75A7-4FF4-8971-1BA6ECC0C6A7}">
  <ds:schemaRefs>
    <ds:schemaRef ds:uri="http://schemas.microsoft.com/office/2006/metadata/properties"/>
    <ds:schemaRef ds:uri="http://schemas.microsoft.com/office/infopath/2007/PartnerControls"/>
    <ds:schemaRef ds:uri="9103ab5b-d5f0-48d4-9b92-489659adfd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27</vt:i4>
      </vt:variant>
    </vt:vector>
  </HeadingPairs>
  <TitlesOfParts>
    <vt:vector size="27" baseType="lpstr">
      <vt:lpstr>ACT</vt:lpstr>
      <vt:lpstr>16s</vt:lpstr>
      <vt:lpstr>EF1α</vt:lpstr>
      <vt:lpstr>GAPDH</vt:lpstr>
      <vt:lpstr>Normalization factor</vt:lpstr>
      <vt:lpstr>CCAP</vt:lpstr>
      <vt:lpstr>NaGase</vt:lpstr>
      <vt:lpstr>CDA</vt:lpstr>
      <vt:lpstr>GFAT</vt:lpstr>
      <vt:lpstr>GS2</vt:lpstr>
      <vt:lpstr>CHS-2</vt:lpstr>
      <vt:lpstr>PAGM</vt:lpstr>
      <vt:lpstr>20E</vt:lpstr>
      <vt:lpstr>CHT3</vt:lpstr>
      <vt:lpstr>ETHR</vt:lpstr>
      <vt:lpstr>GNA</vt:lpstr>
      <vt:lpstr>ERC-A</vt:lpstr>
      <vt:lpstr>GP1</vt:lpstr>
      <vt:lpstr>CHT1</vt:lpstr>
      <vt:lpstr>RXR</vt:lpstr>
      <vt:lpstr>CHT2</vt:lpstr>
      <vt:lpstr>UDP</vt:lpstr>
      <vt:lpstr>ECH</vt:lpstr>
      <vt:lpstr>ERC-B</vt:lpstr>
      <vt:lpstr>GS1</vt:lpstr>
      <vt:lpstr>HK</vt:lpstr>
      <vt:lpstr>CHS1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 Xie</dc:creator>
  <cp:keywords/>
  <dc:description/>
  <cp:lastModifiedBy>Celine Våga</cp:lastModifiedBy>
  <cp:revision/>
  <dcterms:created xsi:type="dcterms:W3CDTF">2024-04-16T07:36:21Z</dcterms:created>
  <dcterms:modified xsi:type="dcterms:W3CDTF">2024-05-15T01:29:48Z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0x01010075E23BA182773748BD1DC7299F50E584</vt:lpwstr>
  </property>
  <property fmtid="{D5CDD505-2E9C-101B-9397-08002B2CF9AE}" pid="3" name="MediaServiceImageTags">
    <vt:lpwstr/>
  </property>
</Properties>
</file>