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edpel15/Documents/Research and work/2024 challenges/PUBLICATIONS 2024/Cell Rep Sustainability-Cicadelles/R1/R2/Submission/"/>
    </mc:Choice>
  </mc:AlternateContent>
  <xr:revisionPtr revIDLastSave="0" documentId="8_{1836D194-2370-3D46-BE47-7FABD1880E38}" xr6:coauthVersionLast="47" xr6:coauthVersionMax="47" xr10:uidLastSave="{00000000-0000-0000-0000-000000000000}"/>
  <bookViews>
    <workbookView xWindow="0" yWindow="500" windowWidth="28800" windowHeight="16260" activeTab="14" xr2:uid="{948F149D-203C-B54C-9FE0-3C4D5DA6665A}"/>
  </bookViews>
  <sheets>
    <sheet name="Table S1" sheetId="1" r:id="rId1"/>
    <sheet name="Table S2" sheetId="2" r:id="rId2"/>
    <sheet name="Table S3" sheetId="3" r:id="rId3"/>
    <sheet name="Table S4" sheetId="4" r:id="rId4"/>
    <sheet name="Table S5" sheetId="5" r:id="rId5"/>
    <sheet name="Table S6" sheetId="6" r:id="rId6"/>
    <sheet name="Table S7" sheetId="7" r:id="rId7"/>
    <sheet name="Table S8" sheetId="8" r:id="rId8"/>
    <sheet name="Table S9" sheetId="9" r:id="rId9"/>
    <sheet name="Table S10" sheetId="10" r:id="rId10"/>
    <sheet name="Table S11" sheetId="11" r:id="rId11"/>
    <sheet name="Table S12" sheetId="12" r:id="rId12"/>
    <sheet name="Table S13" sheetId="15" r:id="rId13"/>
    <sheet name="Table S14" sheetId="14" r:id="rId14"/>
    <sheet name="Table S15" sheetId="16"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0" i="5" l="1"/>
  <c r="C315" i="15"/>
  <c r="B315" i="15"/>
  <c r="D314" i="15"/>
  <c r="D313" i="15"/>
  <c r="C309" i="15"/>
  <c r="B309" i="15"/>
  <c r="D308" i="15"/>
  <c r="D307" i="15"/>
  <c r="D302" i="15"/>
  <c r="D301" i="15"/>
  <c r="D297" i="15"/>
  <c r="D296" i="15"/>
  <c r="AH286" i="15"/>
  <c r="AI286" i="15" s="1"/>
  <c r="AH285" i="15"/>
  <c r="AI285" i="15" s="1"/>
  <c r="AH284" i="15"/>
  <c r="AI284" i="15" s="1"/>
  <c r="AH283" i="15"/>
  <c r="AI283" i="15" s="1"/>
  <c r="AH282" i="15"/>
  <c r="AI282" i="15" s="1"/>
  <c r="AH281" i="15"/>
  <c r="AI281" i="15" s="1"/>
  <c r="AH280" i="15"/>
  <c r="AI280" i="15" s="1"/>
  <c r="AH279" i="15"/>
  <c r="AI279" i="15" s="1"/>
  <c r="AH278" i="15"/>
  <c r="AI278" i="15" s="1"/>
  <c r="AH277" i="15"/>
  <c r="AI277" i="15" s="1"/>
  <c r="AH276" i="15"/>
  <c r="AI276" i="15" s="1"/>
  <c r="AH275" i="15"/>
  <c r="AI275" i="15" s="1"/>
  <c r="AH274" i="15"/>
  <c r="AI274" i="15" s="1"/>
  <c r="AH273" i="15"/>
  <c r="AI273" i="15" s="1"/>
  <c r="AH272" i="15"/>
  <c r="AI272" i="15" s="1"/>
  <c r="AH271" i="15"/>
  <c r="AI271" i="15" s="1"/>
  <c r="AH270" i="15"/>
  <c r="AI270" i="15" s="1"/>
  <c r="AH269" i="15"/>
  <c r="AI269" i="15" s="1"/>
  <c r="AH268" i="15"/>
  <c r="AI268" i="15" s="1"/>
  <c r="AH267" i="15"/>
  <c r="AI267" i="15" s="1"/>
  <c r="AH266" i="15"/>
  <c r="AI266" i="15" s="1"/>
  <c r="AH265" i="15"/>
  <c r="AI265" i="15" s="1"/>
  <c r="AH264" i="15"/>
  <c r="AI264" i="15" s="1"/>
  <c r="AH263" i="15"/>
  <c r="AI263" i="15" s="1"/>
  <c r="AH262" i="15"/>
  <c r="AI262" i="15" s="1"/>
  <c r="AH261" i="15"/>
  <c r="AI261" i="15" s="1"/>
  <c r="AH260" i="15"/>
  <c r="AI260" i="15" s="1"/>
  <c r="AH259" i="15"/>
  <c r="AI259" i="15" s="1"/>
  <c r="AH258" i="15"/>
  <c r="AI258" i="15" s="1"/>
  <c r="AH257" i="15"/>
  <c r="AI257" i="15" s="1"/>
  <c r="AH256" i="15"/>
  <c r="AI256" i="15" s="1"/>
  <c r="AH255" i="15"/>
  <c r="AI255" i="15" s="1"/>
  <c r="AH254" i="15"/>
  <c r="AI254" i="15" s="1"/>
  <c r="AH253" i="15"/>
  <c r="AI253" i="15" s="1"/>
  <c r="AH252" i="15"/>
  <c r="AI252" i="15" s="1"/>
  <c r="AH251" i="15"/>
  <c r="AI251" i="15" s="1"/>
  <c r="AH250" i="15"/>
  <c r="AI250" i="15" s="1"/>
  <c r="AH249" i="15"/>
  <c r="AI249" i="15" s="1"/>
  <c r="AH248" i="15"/>
  <c r="AI248" i="15" s="1"/>
  <c r="AH247" i="15"/>
  <c r="AI247" i="15" s="1"/>
  <c r="AH246" i="15"/>
  <c r="AI246" i="15" s="1"/>
  <c r="AH245" i="15"/>
  <c r="AI245" i="15" s="1"/>
  <c r="AH244" i="15"/>
  <c r="AI244" i="15" s="1"/>
  <c r="AH243" i="15"/>
  <c r="AI243" i="15" s="1"/>
  <c r="AH242" i="15"/>
  <c r="AI242" i="15" s="1"/>
  <c r="AH241" i="15"/>
  <c r="AI241" i="15" s="1"/>
  <c r="AH240" i="15"/>
  <c r="AI240" i="15" s="1"/>
  <c r="AH239" i="15"/>
  <c r="AI239" i="15" s="1"/>
  <c r="AH238" i="15"/>
  <c r="AI238" i="15" s="1"/>
  <c r="AH237" i="15"/>
  <c r="AI237" i="15" s="1"/>
  <c r="AH236" i="15"/>
  <c r="AI236" i="15" s="1"/>
  <c r="AH235" i="15"/>
  <c r="AI235" i="15" s="1"/>
  <c r="AH234" i="15"/>
  <c r="AI234" i="15" s="1"/>
  <c r="AH233" i="15"/>
  <c r="AI233" i="15" s="1"/>
  <c r="AH232" i="15"/>
  <c r="AI232" i="15" s="1"/>
  <c r="AH231" i="15"/>
  <c r="AI231" i="15" s="1"/>
  <c r="AH230" i="15"/>
  <c r="AI230" i="15" s="1"/>
  <c r="AH229" i="15"/>
  <c r="AI229" i="15" s="1"/>
  <c r="AH228" i="15"/>
  <c r="AI228" i="15" s="1"/>
  <c r="AH227" i="15"/>
  <c r="AI227" i="15" s="1"/>
  <c r="AH226" i="15"/>
  <c r="AI226" i="15" s="1"/>
  <c r="AH225" i="15"/>
  <c r="AI225" i="15" s="1"/>
  <c r="AH224" i="15"/>
  <c r="AI224" i="15" s="1"/>
  <c r="AH223" i="15"/>
  <c r="AI223" i="15" s="1"/>
  <c r="AH222" i="15"/>
  <c r="AI222" i="15" s="1"/>
  <c r="AH221" i="15"/>
  <c r="AI221" i="15" s="1"/>
  <c r="AH220" i="15"/>
  <c r="AI220" i="15" s="1"/>
  <c r="AH219" i="15"/>
  <c r="AI219" i="15" s="1"/>
  <c r="AH218" i="15"/>
  <c r="AI218" i="15" s="1"/>
  <c r="AH217" i="15"/>
  <c r="AI217" i="15" s="1"/>
  <c r="AH216" i="15"/>
  <c r="AI216" i="15" s="1"/>
  <c r="AH215" i="15"/>
  <c r="AI215" i="15" s="1"/>
  <c r="AH214" i="15"/>
  <c r="AI214" i="15" s="1"/>
  <c r="AH213" i="15"/>
  <c r="AI213" i="15" s="1"/>
  <c r="AH212" i="15"/>
  <c r="AI212" i="15" s="1"/>
  <c r="AH211" i="15"/>
  <c r="AI211" i="15" s="1"/>
  <c r="AH210" i="15"/>
  <c r="AI210" i="15" s="1"/>
  <c r="AH209" i="15"/>
  <c r="AI209" i="15" s="1"/>
  <c r="AH208" i="15"/>
  <c r="AI208" i="15" s="1"/>
  <c r="AH207" i="15"/>
  <c r="AI207" i="15" s="1"/>
  <c r="AH206" i="15"/>
  <c r="AI206" i="15" s="1"/>
  <c r="AH205" i="15"/>
  <c r="AI205" i="15" s="1"/>
  <c r="AH204" i="15"/>
  <c r="AI204" i="15" s="1"/>
  <c r="AH203" i="15"/>
  <c r="AI203" i="15" s="1"/>
  <c r="AH202" i="15"/>
  <c r="AI202" i="15" s="1"/>
  <c r="AH201" i="15"/>
  <c r="AI201" i="15" s="1"/>
  <c r="AH200" i="15"/>
  <c r="AI200" i="15" s="1"/>
  <c r="AH199" i="15"/>
  <c r="AI199" i="15" s="1"/>
  <c r="AH198" i="15"/>
  <c r="AI198" i="15" s="1"/>
  <c r="AH197" i="15"/>
  <c r="AI197" i="15" s="1"/>
  <c r="AH196" i="15"/>
  <c r="AI196" i="15" s="1"/>
  <c r="AH195" i="15"/>
  <c r="AI195" i="15" s="1"/>
  <c r="AH194" i="15"/>
  <c r="AI194" i="15" s="1"/>
  <c r="AH193" i="15"/>
  <c r="AI193" i="15" s="1"/>
  <c r="AH192" i="15"/>
  <c r="AI192" i="15" s="1"/>
  <c r="AH191" i="15"/>
  <c r="AI191" i="15" s="1"/>
  <c r="AH190" i="15"/>
  <c r="AI190" i="15" s="1"/>
  <c r="AH189" i="15"/>
  <c r="AI189" i="15" s="1"/>
  <c r="AH188" i="15"/>
  <c r="AI188" i="15" s="1"/>
  <c r="AH187" i="15"/>
  <c r="AI187" i="15" s="1"/>
  <c r="AH186" i="15"/>
  <c r="AI186" i="15" s="1"/>
  <c r="AH185" i="15"/>
  <c r="AI185" i="15" s="1"/>
  <c r="AH184" i="15"/>
  <c r="AI184" i="15" s="1"/>
  <c r="AH183" i="15"/>
  <c r="AI183" i="15" s="1"/>
  <c r="AH182" i="15"/>
  <c r="AI182" i="15" s="1"/>
  <c r="AH181" i="15"/>
  <c r="AI181" i="15" s="1"/>
  <c r="AH180" i="15"/>
  <c r="AI180" i="15" s="1"/>
  <c r="AH179" i="15"/>
  <c r="AI179" i="15" s="1"/>
  <c r="AH178" i="15"/>
  <c r="AI178" i="15" s="1"/>
  <c r="AH177" i="15"/>
  <c r="AI177" i="15" s="1"/>
  <c r="AH176" i="15"/>
  <c r="AI176" i="15" s="1"/>
  <c r="AH175" i="15"/>
  <c r="AI175" i="15" s="1"/>
  <c r="AH174" i="15"/>
  <c r="AI174" i="15" s="1"/>
  <c r="AH173" i="15"/>
  <c r="AI173" i="15" s="1"/>
  <c r="AH172" i="15"/>
  <c r="AI172" i="15" s="1"/>
  <c r="AH171" i="15"/>
  <c r="AI171" i="15" s="1"/>
  <c r="AH170" i="15"/>
  <c r="AI170" i="15" s="1"/>
  <c r="AH169" i="15"/>
  <c r="AI169" i="15" s="1"/>
  <c r="AH168" i="15"/>
  <c r="AI168" i="15" s="1"/>
  <c r="AH167" i="15"/>
  <c r="AI167" i="15" s="1"/>
  <c r="AH166" i="15"/>
  <c r="AI166" i="15" s="1"/>
  <c r="AH165" i="15"/>
  <c r="AI165" i="15" s="1"/>
  <c r="AH164" i="15"/>
  <c r="AI164" i="15" s="1"/>
  <c r="AH163" i="15"/>
  <c r="AI163" i="15" s="1"/>
  <c r="AH162" i="15"/>
  <c r="AI162" i="15" s="1"/>
  <c r="AH161" i="15"/>
  <c r="AI161" i="15" s="1"/>
  <c r="AH160" i="15"/>
  <c r="AI160" i="15" s="1"/>
  <c r="AH159" i="15"/>
  <c r="AI159" i="15" s="1"/>
  <c r="AH158" i="15"/>
  <c r="AI158" i="15" s="1"/>
  <c r="I6" i="10" l="1"/>
  <c r="G6" i="10"/>
  <c r="E6" i="10"/>
  <c r="C6" i="10"/>
  <c r="L6" i="9"/>
  <c r="L7" i="9"/>
  <c r="L8" i="9"/>
  <c r="L123" i="9" s="1"/>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D123" i="9"/>
  <c r="E123" i="9"/>
  <c r="F123" i="9"/>
  <c r="G123" i="9"/>
  <c r="H123" i="9"/>
  <c r="I123" i="9"/>
  <c r="J123" i="9"/>
  <c r="K123" i="9"/>
  <c r="N34" i="6" l="1"/>
  <c r="N33" i="6"/>
  <c r="N32" i="6"/>
  <c r="N31" i="6"/>
  <c r="N30" i="6"/>
  <c r="N29" i="6"/>
  <c r="N35" i="6" s="1"/>
  <c r="N20" i="6"/>
  <c r="N19" i="6"/>
  <c r="N18" i="6"/>
  <c r="N17" i="6"/>
  <c r="N16" i="6"/>
  <c r="N15" i="6"/>
  <c r="N14" i="6"/>
  <c r="N13" i="6"/>
  <c r="N12" i="6"/>
  <c r="N11" i="6"/>
  <c r="N10" i="6"/>
  <c r="N9" i="6"/>
  <c r="N8" i="6"/>
  <c r="N7" i="6"/>
  <c r="N22" i="6" s="1"/>
  <c r="N41" i="6" l="1"/>
</calcChain>
</file>

<file path=xl/sharedStrings.xml><?xml version="1.0" encoding="utf-8"?>
<sst xmlns="http://schemas.openxmlformats.org/spreadsheetml/2006/main" count="2801" uniqueCount="1131">
  <si>
    <t>Region</t>
  </si>
  <si>
    <t>Capitale-Nationale</t>
  </si>
  <si>
    <t>GPS coordinate</t>
  </si>
  <si>
    <t>Chaudière-Appalaches</t>
  </si>
  <si>
    <t>Mauricie</t>
  </si>
  <si>
    <t>Montérégie</t>
  </si>
  <si>
    <t>Farm</t>
  </si>
  <si>
    <t>Strawberry cultivars</t>
  </si>
  <si>
    <t>46°51'18.6"N 71°05'51.6"W, 46°51'33.0"N 71°04'50.7"W</t>
  </si>
  <si>
    <t>Clery and Seascape</t>
  </si>
  <si>
    <t>46°42'13.1"N 71°19'16.5"W, 46°42'03.6"N 71°19'35.0"W</t>
  </si>
  <si>
    <t>Malwina and Seascape</t>
  </si>
  <si>
    <t>46°18'39.4"N 72°37'56.1"W, 46°17'49.3"N 72°41'52.7"W</t>
  </si>
  <si>
    <t>Yambu and Seascape</t>
  </si>
  <si>
    <t>45°25'51.8"N 72°51'07.8"W, 45°25'37.7"N 72°51'14.7"W</t>
  </si>
  <si>
    <t>Seascape</t>
  </si>
  <si>
    <t>45°30'39.3"N 72°57'59.8"W, 45°30'35.5"N 72°57'51.8"W</t>
  </si>
  <si>
    <t>Clery/Jewels and Seascape</t>
  </si>
  <si>
    <t>45°30'39.6"N 72°58'01.9"W, 45°30'39.3"N 72°57'59.8"W</t>
  </si>
  <si>
    <t>45°25'34.8"N 72°51'17.5"W, 45°25'51.8"N 72°51'07.8"W</t>
  </si>
  <si>
    <t>Yambu/Murano and Seascape</t>
  </si>
  <si>
    <t>46°18'39.4"N 72°37'56.1"W, 46°17'54.6"N 72°42'05.4"W</t>
  </si>
  <si>
    <t>Malwina and Albion</t>
  </si>
  <si>
    <t>46°33'51.0"N 71°20'39.0"W, 46°41'58.9"N 71°19'41.8"W</t>
  </si>
  <si>
    <t>46°51'31.0"N 71°05'11.4"W, 46°51'16.1"N 71°05'43.6"W</t>
  </si>
  <si>
    <t>46°54'12.3"N 70°56'43.1"W, 46°54'15.5"N 70°56'39.1"W</t>
  </si>
  <si>
    <t>46°55'05.7"N 70°57'34.7"W, 46°54'17.6"N 70°56'58.5"W</t>
  </si>
  <si>
    <t>46°54'53.5"N 70°57'49.0"W, 46°55'00.9"N 70°57'43.3"W</t>
  </si>
  <si>
    <t>46°54'25.6"N 70°57'09.7"W, 46°54'20.7"N 70°57'02.9"W</t>
  </si>
  <si>
    <t>Yambu</t>
  </si>
  <si>
    <t>Site</t>
  </si>
  <si>
    <t>OP1</t>
  </si>
  <si>
    <t>46°54'25.6"N 70°57'09.7"W</t>
  </si>
  <si>
    <t xml:space="preserve"> 46°54'20.7"N 70°57'02.9"W</t>
  </si>
  <si>
    <t>st-michel</t>
  </si>
  <si>
    <t>OP2</t>
  </si>
  <si>
    <t>46°54'53.5"N 70°57'49.0"W</t>
  </si>
  <si>
    <t xml:space="preserve"> 46°55'00.9"N 70°57'43.3"W</t>
  </si>
  <si>
    <t>FG</t>
  </si>
  <si>
    <t>46°51'31.0"N 71°05'11.4"W</t>
  </si>
  <si>
    <t xml:space="preserve"> 46°51'16.1"N 71°05'43.6"W</t>
  </si>
  <si>
    <t>lauzon</t>
  </si>
  <si>
    <t>DEM</t>
  </si>
  <si>
    <t>46°33'51.0"N 71°20'39.0"W</t>
  </si>
  <si>
    <t xml:space="preserve"> 46°41'58.9"N 71°19'41.8"W</t>
  </si>
  <si>
    <t>ste foy ulaval</t>
  </si>
  <si>
    <t>701Q004</t>
  </si>
  <si>
    <t>TR</t>
  </si>
  <si>
    <t>46°18'39.4"N 72°37'56.1"W</t>
  </si>
  <si>
    <t xml:space="preserve"> 46°17'54.6"N 72°42'05.4"W</t>
  </si>
  <si>
    <t>Trois Rivière A</t>
  </si>
  <si>
    <t>VPLF</t>
  </si>
  <si>
    <t>45°25'34.8"N 72°51'17.5"W</t>
  </si>
  <si>
    <t xml:space="preserve"> 45°25'51.8"N 72°51'07.8"W</t>
  </si>
  <si>
    <t>Granby</t>
  </si>
  <si>
    <t>ST-D</t>
  </si>
  <si>
    <t>45°30'39.6"N 72°58'01.9"W</t>
  </si>
  <si>
    <t xml:space="preserve"> 45°30'39.3"N 72°57'59.8"W</t>
  </si>
  <si>
    <t>st hyacinthe 2</t>
  </si>
  <si>
    <t>46°54'12.3"N 70°56'43.1"W</t>
  </si>
  <si>
    <t xml:space="preserve"> 46°54'15.5"N 70°56'39.1"W</t>
  </si>
  <si>
    <t>46°55'05.7"N 70°57'34.7"W</t>
  </si>
  <si>
    <t xml:space="preserve"> 46°54'17.6"N 70°56'58.5"W</t>
  </si>
  <si>
    <t>46°51'18.6"N 71°05'51.6"W</t>
  </si>
  <si>
    <t xml:space="preserve"> 46°51'33.0"N 71°04'50.7"W</t>
  </si>
  <si>
    <t>46°42'13.1"N 71°19'16.5"W</t>
  </si>
  <si>
    <t xml:space="preserve"> 46°42'03.6"N 71°19'35.0"W</t>
  </si>
  <si>
    <t>ste-foy ulaval</t>
  </si>
  <si>
    <t xml:space="preserve"> 46°17'49.3"N 72°41'52.7"W</t>
  </si>
  <si>
    <t>45°25'51.8"N 72°51'07.8"W</t>
  </si>
  <si>
    <t xml:space="preserve"> 45°25'37.7"N 72°51'14.7"W</t>
  </si>
  <si>
    <t>45°30'39.3"N 72°57'59.8"W</t>
  </si>
  <si>
    <t xml:space="preserve"> 45°30'35.5"N 72°57'51.8"W</t>
  </si>
  <si>
    <r>
      <t xml:space="preserve">Historical data from Environment and Natural Resources Canada </t>
    </r>
    <r>
      <rPr>
        <u/>
        <sz val="9"/>
        <color theme="4"/>
        <rFont val="Calibri (Corps)"/>
      </rPr>
      <t>https://climat.meteo.gc.ca/historical_data/search_historic_data_f.html.</t>
    </r>
  </si>
  <si>
    <t>Weather stations used to calculate mean degree-days from the study by Sanguez et al., 2014</t>
  </si>
  <si>
    <t>Distance (km)</t>
  </si>
  <si>
    <t>Dunham</t>
  </si>
  <si>
    <t>45°06'-72°51'</t>
  </si>
  <si>
    <t>Frelighsburg</t>
  </si>
  <si>
    <t>45°05'-72°52'</t>
  </si>
  <si>
    <t>Saint-Armand</t>
  </si>
  <si>
    <t>45°04'-72°56'</t>
  </si>
  <si>
    <t>Saint-Jacques-le-Mineur</t>
  </si>
  <si>
    <t>45°13'-73°26'</t>
  </si>
  <si>
    <t>St Bernard De Lacolle</t>
  </si>
  <si>
    <t>Saint-Rémi</t>
  </si>
  <si>
    <t>45°12'-73°39'</t>
  </si>
  <si>
    <t>Ste-Clotilde</t>
  </si>
  <si>
    <r>
      <t xml:space="preserve">Historical data from Environment and Natural Resources Canada </t>
    </r>
    <r>
      <rPr>
        <u/>
        <sz val="12"/>
        <color theme="4"/>
        <rFont val="Calibri (Corps)"/>
      </rPr>
      <t>https://climat.meteo.gc.ca/historical_data/search_historic_data_f.html.</t>
    </r>
  </si>
  <si>
    <t>Sample</t>
  </si>
  <si>
    <t>Year</t>
  </si>
  <si>
    <t>SbGPQ20</t>
  </si>
  <si>
    <t>SbGPQ21</t>
  </si>
  <si>
    <t>SbGPQ22</t>
  </si>
  <si>
    <t>SbGPQ23</t>
  </si>
  <si>
    <t>SbGPQ24</t>
  </si>
  <si>
    <t>SbGPQ25</t>
  </si>
  <si>
    <t>SbGPQ26</t>
  </si>
  <si>
    <t>SbGPQ27</t>
  </si>
  <si>
    <t>SbGPQ28</t>
  </si>
  <si>
    <t>SbGPQ29</t>
  </si>
  <si>
    <t>SbGPQ30</t>
  </si>
  <si>
    <t>SbGPQ31</t>
  </si>
  <si>
    <t>SbGPQ1</t>
  </si>
  <si>
    <t>SbGPQ2</t>
  </si>
  <si>
    <t>SbGPQ3</t>
  </si>
  <si>
    <t>Location</t>
  </si>
  <si>
    <t>Manicouagan</t>
  </si>
  <si>
    <t>Thérèse-De Blainville</t>
  </si>
  <si>
    <t>Arthabaska</t>
  </si>
  <si>
    <t>Le Domaine-du-Roy</t>
  </si>
  <si>
    <t>D'Autray</t>
  </si>
  <si>
    <t>Sherbrooke</t>
  </si>
  <si>
    <t>La Mitis</t>
  </si>
  <si>
    <t>Les Maskoutains</t>
  </si>
  <si>
    <t>L'Île-d'Orléans</t>
  </si>
  <si>
    <t>Lac-Saint-Jean-Est</t>
  </si>
  <si>
    <t>City in Quebec</t>
  </si>
  <si>
    <t xml:space="preserve">Site </t>
  </si>
  <si>
    <t>Date</t>
  </si>
  <si>
    <t>Leafhopper #1</t>
  </si>
  <si>
    <t>Nb</t>
  </si>
  <si>
    <t>Leafhopper #2</t>
  </si>
  <si>
    <t>Leafhopper #3</t>
  </si>
  <si>
    <t>Leafhopper #4</t>
  </si>
  <si>
    <t>Total</t>
  </si>
  <si>
    <t>Mont+Mau</t>
  </si>
  <si>
    <t>Macrosteles quadrilineatus</t>
  </si>
  <si>
    <t>Empoasca fabae</t>
  </si>
  <si>
    <t>C-N</t>
  </si>
  <si>
    <t>Graminella sp</t>
  </si>
  <si>
    <t>Endria inimica</t>
  </si>
  <si>
    <t>Graminella</t>
  </si>
  <si>
    <t>Leafhopper #5</t>
  </si>
  <si>
    <t>Others</t>
  </si>
  <si>
    <t>Scaphoideus sp</t>
  </si>
  <si>
    <t>Arthaldeus pascuelus</t>
  </si>
  <si>
    <t>Errastunus ocellaris</t>
  </si>
  <si>
    <t>Scaphytopius sp</t>
  </si>
  <si>
    <t>Paraphlepsius irroratus</t>
  </si>
  <si>
    <t>Légende :</t>
  </si>
  <si>
    <t>C-N :</t>
  </si>
  <si>
    <t>Mont+Mau :</t>
  </si>
  <si>
    <t>Montérégie + Mauricie</t>
  </si>
  <si>
    <t>2022</t>
  </si>
  <si>
    <t>Date d'application</t>
  </si>
  <si>
    <t>Up-Cyde</t>
  </si>
  <si>
    <t>cyperméthrine</t>
  </si>
  <si>
    <t>3A</t>
  </si>
  <si>
    <t>Cormoran</t>
  </si>
  <si>
    <t>acétamipride/novaluron</t>
  </si>
  <si>
    <t>4A/15</t>
  </si>
  <si>
    <t>Beleaf</t>
  </si>
  <si>
    <t>flonicamide</t>
  </si>
  <si>
    <t>Assail</t>
  </si>
  <si>
    <t>acétamipride</t>
  </si>
  <si>
    <t xml:space="preserve">4A </t>
  </si>
  <si>
    <t>Matador</t>
  </si>
  <si>
    <t>lambda-cyhalothrine</t>
  </si>
  <si>
    <t>Sivanto Prime</t>
  </si>
  <si>
    <t>flupyradifurone</t>
  </si>
  <si>
    <t>4D</t>
  </si>
  <si>
    <t>4A</t>
  </si>
  <si>
    <t>Exirel</t>
  </si>
  <si>
    <t>cyantraniliprole</t>
  </si>
  <si>
    <t>Delegate WG</t>
  </si>
  <si>
    <t>spinétorame</t>
  </si>
  <si>
    <t>Pyganic</t>
  </si>
  <si>
    <t>pyréthrines</t>
  </si>
  <si>
    <t>Mako</t>
  </si>
  <si>
    <t xml:space="preserve">	cyperméthrine</t>
  </si>
  <si>
    <t>Malathion</t>
  </si>
  <si>
    <t>Organophosphorés</t>
  </si>
  <si>
    <t>1B</t>
  </si>
  <si>
    <t>Active compound</t>
  </si>
  <si>
    <t>Product</t>
  </si>
  <si>
    <t>Resistance group</t>
  </si>
  <si>
    <t>Note : sp means identified to genus only and/or include females specimens which are unidentifiable</t>
  </si>
  <si>
    <t xml:space="preserve">* : Multiples identified species and not classifiable </t>
  </si>
  <si>
    <t>** : Unidentifiable insects (insects too destroyed, too discolored, unidentified)</t>
  </si>
  <si>
    <t>-</t>
  </si>
  <si>
    <t>Others **</t>
  </si>
  <si>
    <t>Aphrodinae</t>
  </si>
  <si>
    <t>Xestocephalus prob similis</t>
  </si>
  <si>
    <t>Xestocephalus suberbus</t>
  </si>
  <si>
    <t>Xestocephalus fulvocapitatus</t>
  </si>
  <si>
    <t>Cicadellinae</t>
  </si>
  <si>
    <t>Tylozygus bifidus</t>
  </si>
  <si>
    <t>Deltocephalinae</t>
  </si>
  <si>
    <t>Streptanus sp.</t>
  </si>
  <si>
    <t>Streptanus aemulans</t>
  </si>
  <si>
    <t>Scaphytopius sp.</t>
  </si>
  <si>
    <t>Scaphytopius latus</t>
  </si>
  <si>
    <t>Scaphytopius frontalis</t>
  </si>
  <si>
    <t>Scaphytopius cinnamoneus</t>
  </si>
  <si>
    <t>Scaphytopius acutus</t>
  </si>
  <si>
    <t>Scaphoideus sp.</t>
  </si>
  <si>
    <t>Scaphoideus prob veterator</t>
  </si>
  <si>
    <t>Scaphoideus titanus</t>
  </si>
  <si>
    <t>Scaphoideus minor</t>
  </si>
  <si>
    <t>Scaphoideus densus</t>
  </si>
  <si>
    <t>Scaphoideus cylindratus</t>
  </si>
  <si>
    <t>Typhlocybinae</t>
  </si>
  <si>
    <t>Ribautiana sp.</t>
  </si>
  <si>
    <t>Psammotettix sp.</t>
  </si>
  <si>
    <t>Iassinae</t>
  </si>
  <si>
    <t>Ponana pectoralis</t>
  </si>
  <si>
    <t>Paramesus prob major</t>
  </si>
  <si>
    <t>Osbornellus sp.</t>
  </si>
  <si>
    <t>Osbornellus limosus</t>
  </si>
  <si>
    <t>Osbornellus consors</t>
  </si>
  <si>
    <t xml:space="preserve">Osbornellus auronitiens </t>
  </si>
  <si>
    <t>Eurymelinae</t>
  </si>
  <si>
    <t>Oncopsis sp.</t>
  </si>
  <si>
    <t>Oncopsis prob cinctifrons</t>
  </si>
  <si>
    <t>Oncopsis quebecensis</t>
  </si>
  <si>
    <t xml:space="preserve">Oncopsis flavicollis </t>
  </si>
  <si>
    <t>Norvellina chenopodii</t>
  </si>
  <si>
    <t>Neokolla hieroglyphica</t>
  </si>
  <si>
    <t>Macrosteles sp.</t>
  </si>
  <si>
    <t>Macrosteles prob borealis</t>
  </si>
  <si>
    <t>Macrosteles variatus complex</t>
  </si>
  <si>
    <t>Macrosteles slossoni</t>
  </si>
  <si>
    <t>Macropsis sp.</t>
  </si>
  <si>
    <t>Macropsis fuscula</t>
  </si>
  <si>
    <t>Limotettix sp.</t>
  </si>
  <si>
    <t xml:space="preserve">Limotettix plutonius </t>
  </si>
  <si>
    <t>Limotettix instabilis</t>
  </si>
  <si>
    <t>Kybos sp.</t>
  </si>
  <si>
    <t>Kybos gelbata</t>
  </si>
  <si>
    <t>Kyboasca sp.</t>
  </si>
  <si>
    <t>Kyboasca splendida</t>
  </si>
  <si>
    <t>Kyboasca atolabes</t>
  </si>
  <si>
    <t>Idiodonus kennicotti</t>
  </si>
  <si>
    <t>Idiocerus suturalis</t>
  </si>
  <si>
    <t>Idiocerus moniliferae</t>
  </si>
  <si>
    <t>Idiocerus lunaris</t>
  </si>
  <si>
    <t>Idiocerus lucidae</t>
  </si>
  <si>
    <t>Idiocerus formosus</t>
  </si>
  <si>
    <t>Helocharra communis</t>
  </si>
  <si>
    <t>Hebata spp.*</t>
  </si>
  <si>
    <t>Grypotes puncticollis</t>
  </si>
  <si>
    <t>Gyponana sp.</t>
  </si>
  <si>
    <t>Gyponana tubera</t>
  </si>
  <si>
    <t>Gyponana octolineata</t>
  </si>
  <si>
    <t>Gyponana extenda</t>
  </si>
  <si>
    <t>Gyponana cacumina</t>
  </si>
  <si>
    <t>Graphocephala coccinea (picta)</t>
  </si>
  <si>
    <t>Graminella sp.</t>
  </si>
  <si>
    <t>Graminella prob fitchii</t>
  </si>
  <si>
    <t>Graminella pallidula</t>
  </si>
  <si>
    <t xml:space="preserve">Graminella nigrifrons </t>
  </si>
  <si>
    <t>Forcipata loca</t>
  </si>
  <si>
    <t>Fitchana sp.</t>
  </si>
  <si>
    <t>Eupteryx prob nigra</t>
  </si>
  <si>
    <t>Eupteryx vittata</t>
  </si>
  <si>
    <t>Eupteryx flavoscuta</t>
  </si>
  <si>
    <t>Eupteryx atropunctata</t>
  </si>
  <si>
    <t>Erythroneura spp. *</t>
  </si>
  <si>
    <t>Erythroneura ziczac</t>
  </si>
  <si>
    <t>Erythroneura vitis</t>
  </si>
  <si>
    <t>Erythroneura tricincta</t>
  </si>
  <si>
    <t>Erythroneura rubrella group *</t>
  </si>
  <si>
    <t>Erythroneura elegans</t>
  </si>
  <si>
    <t>Erythridula spp. *</t>
  </si>
  <si>
    <t>Eratoneura spp. *</t>
  </si>
  <si>
    <t>Erasmoneura vulnerata</t>
  </si>
  <si>
    <t>Erasmoneura nigra</t>
  </si>
  <si>
    <t>Empoa gillettei complex</t>
  </si>
  <si>
    <t>Elymana sp.</t>
  </si>
  <si>
    <t>Elymana sulrphurella</t>
  </si>
  <si>
    <t>Draeculacephala sp.</t>
  </si>
  <si>
    <t>Draeculacephala prob paludosa</t>
  </si>
  <si>
    <t>Draeculacephala prob constricta</t>
  </si>
  <si>
    <t>Draeculacephala noveboracensis</t>
  </si>
  <si>
    <t>Draeculacephala robinsoni</t>
  </si>
  <si>
    <t>Draeculacephala antica</t>
  </si>
  <si>
    <t>Doratura stylata</t>
  </si>
  <si>
    <t>Diplocolenus	 abdominalis</t>
  </si>
  <si>
    <t>Dikrella cruentata</t>
  </si>
  <si>
    <t>Dikraneura sp.</t>
  </si>
  <si>
    <t>Dikraneura mali</t>
  </si>
  <si>
    <t xml:space="preserve">Deltocephalus prob pulicaris </t>
  </si>
  <si>
    <t>Cuerna striata</t>
  </si>
  <si>
    <t>Cosmotettix bilineatus</t>
  </si>
  <si>
    <t>Colladonus clitellarius</t>
  </si>
  <si>
    <t>Cicadula cyperacea</t>
  </si>
  <si>
    <t>Chlorotettix unicolor</t>
  </si>
  <si>
    <t>Megophthalminae</t>
  </si>
  <si>
    <t>Ceratagallia sanguinolenta</t>
  </si>
  <si>
    <t>Balclutha sp.</t>
  </si>
  <si>
    <t>Balclutha impicta</t>
  </si>
  <si>
    <t>Balclutha confluens</t>
  </si>
  <si>
    <t>Arthaldeus pascuellus</t>
  </si>
  <si>
    <t>Aphrodes sp.</t>
  </si>
  <si>
    <t>Aphrodes bicinctus</t>
  </si>
  <si>
    <t>Anoscopus sp.</t>
  </si>
  <si>
    <t>Alebra aurea</t>
  </si>
  <si>
    <t>Agalliopsis ancrista</t>
  </si>
  <si>
    <t xml:space="preserve">Agallia quadripunctata </t>
  </si>
  <si>
    <t>MGIE</t>
  </si>
  <si>
    <t>MAUR</t>
  </si>
  <si>
    <t>CA</t>
  </si>
  <si>
    <t>CN</t>
  </si>
  <si>
    <t>Subfamilies</t>
  </si>
  <si>
    <t>Leafhopper identification</t>
  </si>
  <si>
    <t>Years</t>
  </si>
  <si>
    <t>No. of captures</t>
  </si>
  <si>
    <t>Total of captures (2 years)</t>
  </si>
  <si>
    <t>Species richness</t>
  </si>
  <si>
    <t>Species richness (2 years)</t>
  </si>
  <si>
    <t>Shannon's index (H')</t>
  </si>
  <si>
    <t>1.35</t>
  </si>
  <si>
    <t>1.56</t>
  </si>
  <si>
    <t>1.55</t>
  </si>
  <si>
    <t>1.85</t>
  </si>
  <si>
    <t>1.34</t>
  </si>
  <si>
    <t>1.28</t>
  </si>
  <si>
    <t xml:space="preserve">Total Shannon's  index </t>
  </si>
  <si>
    <t>1.43</t>
  </si>
  <si>
    <t>1.75</t>
  </si>
  <si>
    <t>1.41</t>
  </si>
  <si>
    <t>1.32</t>
  </si>
  <si>
    <t>Simpson's index (D')</t>
  </si>
  <si>
    <t>0.65</t>
  </si>
  <si>
    <t>0.67</t>
  </si>
  <si>
    <t>0.70</t>
  </si>
  <si>
    <t>0.69</t>
  </si>
  <si>
    <t>0.64</t>
  </si>
  <si>
    <t xml:space="preserve">Total Simpson's index </t>
  </si>
  <si>
    <t>0.66</t>
  </si>
  <si>
    <t>Regions</t>
  </si>
  <si>
    <t>Years x Regions</t>
  </si>
  <si>
    <t>Shannon (H)</t>
  </si>
  <si>
    <t>p= 0.0151</t>
  </si>
  <si>
    <t>p = 0.0275</t>
  </si>
  <si>
    <t>0.3146</t>
  </si>
  <si>
    <t>Simpson (D)</t>
  </si>
  <si>
    <t>p = 0.0366</t>
  </si>
  <si>
    <t>p = 0.1493</t>
  </si>
  <si>
    <t>0.6631</t>
  </si>
  <si>
    <t>Modeling graphs: Fixed day and temperature values</t>
  </si>
  <si>
    <t>Since the modeling includes 2 explanatory variables, it must be represented by a 3D graph. Since this is not practical, there is another way to illustrate it with 2D graphics.</t>
  </si>
  <si>
    <t>To illustrate the temperature modeling curve, a value is fixed for the day variable and vice versa.</t>
  </si>
  <si>
    <t>All leafhopper species</t>
  </si>
  <si>
    <r>
      <t xml:space="preserve">Temp </t>
    </r>
    <r>
      <rPr>
        <b/>
        <sz val="13"/>
        <color rgb="FFFF0000"/>
        <rFont val="Calibri (Corps)"/>
      </rPr>
      <t>BASE10</t>
    </r>
    <r>
      <rPr>
        <b/>
        <sz val="13"/>
        <color theme="1"/>
        <rFont val="Calibri"/>
        <family val="2"/>
        <scheme val="minor"/>
      </rPr>
      <t xml:space="preserve"> °C</t>
    </r>
  </si>
  <si>
    <t>Value</t>
  </si>
  <si>
    <t>Day</t>
  </si>
  <si>
    <t>Temp °C</t>
  </si>
  <si>
    <t>Min</t>
  </si>
  <si>
    <t>Media</t>
  </si>
  <si>
    <t>Max</t>
  </si>
  <si>
    <t>reads</t>
  </si>
  <si>
    <t>longest contig, bp</t>
  </si>
  <si>
    <t>RFLP type</t>
  </si>
  <si>
    <t>I-IC (1.00)</t>
  </si>
  <si>
    <t>I-S (1.00)</t>
  </si>
  <si>
    <t>I-R (0.98)</t>
  </si>
  <si>
    <t>I-R (1.00)</t>
  </si>
  <si>
    <t>I-IC (0.94)</t>
  </si>
  <si>
    <t>---</t>
  </si>
  <si>
    <t>Hybridization Results</t>
  </si>
  <si>
    <t>Cloning sanger results</t>
  </si>
  <si>
    <t>Clone</t>
  </si>
  <si>
    <t>cpn60</t>
  </si>
  <si>
    <t>16S</t>
  </si>
  <si>
    <t>tuf</t>
  </si>
  <si>
    <t>secY</t>
  </si>
  <si>
    <t>secA</t>
  </si>
  <si>
    <t>nusA</t>
  </si>
  <si>
    <t>rp</t>
  </si>
  <si>
    <t>clone 1</t>
  </si>
  <si>
    <t>clone 2</t>
  </si>
  <si>
    <t>clone 3</t>
  </si>
  <si>
    <t>clone 4</t>
  </si>
  <si>
    <t>clone 5</t>
  </si>
  <si>
    <t>I-IC</t>
  </si>
  <si>
    <t>I-S</t>
  </si>
  <si>
    <t>I-R</t>
  </si>
  <si>
    <t>CORE 2021</t>
  </si>
  <si>
    <t>Kingdom</t>
  </si>
  <si>
    <t>Phylum</t>
  </si>
  <si>
    <t>Class</t>
  </si>
  <si>
    <t>Order</t>
  </si>
  <si>
    <t>Family</t>
  </si>
  <si>
    <t>Genus</t>
  </si>
  <si>
    <t>Species</t>
  </si>
  <si>
    <t>Label</t>
  </si>
  <si>
    <t>OTU</t>
  </si>
  <si>
    <t>cd3dc5886a7f24226a5b662b4717cfa2</t>
  </si>
  <si>
    <t>Bacteria</t>
  </si>
  <si>
    <t>Bacteroidota</t>
  </si>
  <si>
    <t>Bacteroidia</t>
  </si>
  <si>
    <t>Flavobacteriales</t>
  </si>
  <si>
    <t>Blattabacteriaceae</t>
  </si>
  <si>
    <t>Candidatus_Sulcia</t>
  </si>
  <si>
    <t>uncultured Candidatus</t>
  </si>
  <si>
    <t>be2b0ce00e519791909b170e5a756a7a</t>
  </si>
  <si>
    <t>Proteobacteria</t>
  </si>
  <si>
    <t>Gammaproteobacteria</t>
  </si>
  <si>
    <t>Enterobacterales</t>
  </si>
  <si>
    <t>Morganellaceae</t>
  </si>
  <si>
    <t>Arsenophonus</t>
  </si>
  <si>
    <t>NA</t>
  </si>
  <si>
    <t>d52e793a6cb501353d888f9d4153075b</t>
  </si>
  <si>
    <t>1af1b33c8a0f808b3e98ad5757fc84a6</t>
  </si>
  <si>
    <t>cd7dfd9734a37357c3b9fada98991a17</t>
  </si>
  <si>
    <t>Burkholderiales</t>
  </si>
  <si>
    <t>Oxalobacteraceae</t>
  </si>
  <si>
    <t>Candidatus_Nasuia</t>
  </si>
  <si>
    <t>bacterium symbiont</t>
  </si>
  <si>
    <t>0732df555d93097f510cd149754f21da</t>
  </si>
  <si>
    <t>Cytophagales</t>
  </si>
  <si>
    <t>Amoebophilaceae</t>
  </si>
  <si>
    <t>Candidatus_Cardinium</t>
  </si>
  <si>
    <t>56ffb1ed88781ae0f0dfc9ccb9fec99a</t>
  </si>
  <si>
    <t>core OTU obtained as follows:</t>
  </si>
  <si>
    <t>#transform counts to relative abudances to account for compositionality</t>
  </si>
  <si>
    <t>pseq21.biom &lt;- Macrosteles21_biom</t>
  </si>
  <si>
    <t>ps21.biom.rel &lt;- microbiome::transform(pseq21.biom, "compositional")</t>
  </si>
  <si>
    <t>Firmicutes</t>
  </si>
  <si>
    <t>determine core taxa which are defined as those present in 85% of samples (can change this if desired)</t>
  </si>
  <si>
    <t>core.taxa.standard21 &lt;- core_members(ps21.biom.rel, detection = 0, prevalence = 0.85)</t>
  </si>
  <si>
    <t>Actinobacteriota</t>
  </si>
  <si>
    <t>core.taxa.standard21</t>
  </si>
  <si>
    <t>#prune taxa on biom file - get phyloseq object with just core OTU</t>
  </si>
  <si>
    <t>core21_otu&lt;- prune_taxa(core.taxa.standard21, ps21.biom.rel)</t>
  </si>
  <si>
    <t>#export as data frame</t>
  </si>
  <si>
    <t>tax21.mat &lt;- tax_table(core21_otu)</t>
  </si>
  <si>
    <t>tax21.df &lt;- as.data.frame(tax21.mat)</t>
  </si>
  <si>
    <t>#export to tab delimited file that Excel can open</t>
  </si>
  <si>
    <t>write.table(file = "~/R/Macrosteles21-Nov22/Figures/core21.tsv", tax21.df, sep = "\t")</t>
  </si>
  <si>
    <t>CORE 2022</t>
  </si>
  <si>
    <t>secondary endosymbiont</t>
  </si>
  <si>
    <t>a71766d17778517f839ad10aa466c4a4</t>
  </si>
  <si>
    <t>Arsenophonus symbiont</t>
  </si>
  <si>
    <t>b495a40a9b7ebee384e6f719b8337465</t>
  </si>
  <si>
    <t>15faf787c23ff9e133ce5c48394db79b</t>
  </si>
  <si>
    <t>CORE COMMON</t>
  </si>
  <si>
    <t>acetamipride</t>
  </si>
  <si>
    <t>2.69</t>
  </si>
  <si>
    <t>2.21</t>
  </si>
  <si>
    <t>2.64</t>
  </si>
  <si>
    <t>1.96</t>
  </si>
  <si>
    <t>2.34</t>
  </si>
  <si>
    <t>2.48</t>
  </si>
  <si>
    <t>1.52</t>
  </si>
  <si>
    <t>Beleaf + Delegate WG</t>
  </si>
  <si>
    <t>flonicamide + spinetorame</t>
  </si>
  <si>
    <t>acetamipride + novaluron</t>
  </si>
  <si>
    <t>1.13</t>
  </si>
  <si>
    <t>0.635</t>
  </si>
  <si>
    <t>1.03</t>
  </si>
  <si>
    <t>0.434</t>
  </si>
  <si>
    <t>spinetorame</t>
  </si>
  <si>
    <t>0.557</t>
  </si>
  <si>
    <t>1.19</t>
  </si>
  <si>
    <t>1.71</t>
  </si>
  <si>
    <t>1.37</t>
  </si>
  <si>
    <t>Organophosphores</t>
  </si>
  <si>
    <t>1.68</t>
  </si>
  <si>
    <t>1.87</t>
  </si>
  <si>
    <t>1.59</t>
  </si>
  <si>
    <t>2.11</t>
  </si>
  <si>
    <t>pyrethrines</t>
  </si>
  <si>
    <t>0.714</t>
  </si>
  <si>
    <t>0.286</t>
  </si>
  <si>
    <t>4.43</t>
  </si>
  <si>
    <t>4.33</t>
  </si>
  <si>
    <t>2.15</t>
  </si>
  <si>
    <t>1.89</t>
  </si>
  <si>
    <t>Up-cyde / Mako</t>
  </si>
  <si>
    <t>cypermethrine</t>
  </si>
  <si>
    <t>0.817</t>
  </si>
  <si>
    <t>0.462</t>
  </si>
  <si>
    <t>0.892</t>
  </si>
  <si>
    <t>0.501</t>
  </si>
  <si>
    <t>Up-cyde + Beleaf</t>
  </si>
  <si>
    <t>cypermethrine + flonicamide</t>
  </si>
  <si>
    <t>0.4</t>
  </si>
  <si>
    <t>0.443</t>
  </si>
  <si>
    <t>Number of treatments</t>
  </si>
  <si>
    <t>Before</t>
  </si>
  <si>
    <t>After</t>
  </si>
  <si>
    <t>p-value</t>
  </si>
  <si>
    <t>0.955</t>
  </si>
  <si>
    <t>0.906</t>
  </si>
  <si>
    <t>0.671</t>
  </si>
  <si>
    <t>0.945</t>
  </si>
  <si>
    <t>0.972</t>
  </si>
  <si>
    <t>0.811</t>
  </si>
  <si>
    <t>Insecticide analyses</t>
  </si>
  <si>
    <t>#OTUID</t>
  </si>
  <si>
    <t>taxonomy</t>
  </si>
  <si>
    <t>confidence</t>
  </si>
  <si>
    <t>Edel-Mq-127_S315</t>
  </si>
  <si>
    <t>Edel-Mq-128_S316</t>
  </si>
  <si>
    <t>Edel-Mq-129_S317</t>
  </si>
  <si>
    <t>Edel-Mq-130_S318</t>
  </si>
  <si>
    <t>Edel-Mq-131_S319</t>
  </si>
  <si>
    <t>Edel-Mq-132_S320</t>
  </si>
  <si>
    <t>Edel-Mq-133_S321</t>
  </si>
  <si>
    <t>Edel-Mq-134_S322</t>
  </si>
  <si>
    <t>Edel-Mq-135_S323</t>
  </si>
  <si>
    <t>Edel-Mq-136_S324</t>
  </si>
  <si>
    <t>Edel-Mq-137_S325</t>
  </si>
  <si>
    <t>Edel-Mq-138_S326</t>
  </si>
  <si>
    <t>Edel-Mq-139_S327</t>
  </si>
  <si>
    <t>Edel-Mq-140_S328</t>
  </si>
  <si>
    <t>Edel-Mq-141_S329</t>
  </si>
  <si>
    <t>Edel-Mq-142_S330</t>
  </si>
  <si>
    <t>Edel-Mq-143_S331</t>
  </si>
  <si>
    <t>Edel-Mq-144_S332</t>
  </si>
  <si>
    <t>Edel-Mq-145_S333</t>
  </si>
  <si>
    <t>Edel-Mq-146_S334</t>
  </si>
  <si>
    <t>Edel-Mq-147_S335</t>
  </si>
  <si>
    <t>Edel-Mq-148_S336</t>
  </si>
  <si>
    <t>Edel-Mq-149_S337</t>
  </si>
  <si>
    <t>Edel-Mq-150_S338</t>
  </si>
  <si>
    <t>Edel-Mq-86_S310</t>
  </si>
  <si>
    <t>Edel-Mq-87_S311</t>
  </si>
  <si>
    <t>Edel-Mq-88_S312</t>
  </si>
  <si>
    <t>Edel-Mq-89_S313</t>
  </si>
  <si>
    <t>Edel-Mq-91_S314</t>
  </si>
  <si>
    <t>Edel-Mq-P3_S309</t>
  </si>
  <si>
    <t>sum</t>
  </si>
  <si>
    <t>proportion of total reads</t>
  </si>
  <si>
    <t>d__Bacteria; p__Bacteroidota; c__Bacteroidia; o__Flavobacteriales; f__Blattabacteriaceae; g__Candidatus_Sulcia; s__uncultured_Candidatus</t>
  </si>
  <si>
    <t>d__Bacteria; p__Proteobacteria; c__Gammaproteobacteria; o__Enterobacterales; f__Morganellaceae; g__Arsenophonus</t>
  </si>
  <si>
    <t>b282257dd6b7db30127a9fbbac387d3e</t>
  </si>
  <si>
    <t>d__Bacteria; p__Proteobacteria; c__Gammaproteobacteria; o__Enterobacterales; f__Erwiniaceae</t>
  </si>
  <si>
    <t>d__Bacteria; p__Proteobacteria; c__Gammaproteobacteria; o__Burkholderiales; f__Oxalobacteraceae; g__Candidatus_Nasuia; s__bacterium_symbiont</t>
  </si>
  <si>
    <t>d__Bacteria; p__Bacteroidota; c__Bacteroidia; o__Cytophagales; f__Amoebophilaceae; g__Candidatus_Cardinium</t>
  </si>
  <si>
    <t>2635ff470015fe3efa8a1903576dbf77</t>
  </si>
  <si>
    <t>d__Bacteria; p__Proteobacteria; c__Gammaproteobacteria; o__Diplorickettsiales; f__Diplorickettsiaceae; g__Diplorickettsia; s__Diplorickettsia_massiliensis</t>
  </si>
  <si>
    <t>a9b9df2026b59ac90c7059e630a01041</t>
  </si>
  <si>
    <t>d__Bacteria; p__Proteobacteria; c__Gammaproteobacteria; o__Enterobacterales; f__Enterobacteriaceae</t>
  </si>
  <si>
    <t>7e1b1aeffe7e6424edb6f1436728c15c</t>
  </si>
  <si>
    <t>d__Bacteria; p__Proteobacteria; c__Gammaproteobacteria; o__Pseudomonadales; f__Pseudomonadaceae; g__Pseudomonas; s__Pseudomonas_jessenii</t>
  </si>
  <si>
    <t>bc6b2b78a05d7eafcdd8676621c72d19</t>
  </si>
  <si>
    <t>346c001dca9e609aa31a2b3be8d9c759</t>
  </si>
  <si>
    <t>df8193d5d3a0d36c71e0f264180250c7</t>
  </si>
  <si>
    <t>015600cdcdfdc7333d251c9c9160eb72</t>
  </si>
  <si>
    <t>d__Bacteria; p__Proteobacteria; c__Gammaproteobacteria; o__Enterobacterales</t>
  </si>
  <si>
    <t>727a1bc7bf5ce7252f2e59f7b3ebc105</t>
  </si>
  <si>
    <t>d__Bacteria; p__Proteobacteria; c__Gammaproteobacteria; o__Pseudomonadales; f__Pseudomonadaceae; g__Pseudomonas; s__Pseudomonas_fragi</t>
  </si>
  <si>
    <t>9ed671ef05ded0fce30aabdd5a0de1b3</t>
  </si>
  <si>
    <t>cfd7ef997cb0b7b644db1461bb1c53b2</t>
  </si>
  <si>
    <t>d__Bacteria; p__Proteobacteria; c__Alphaproteobacteria; o__Rickettsiales; f__Rickettsiaceae; g__Rickettsia; s__uncultured_bacterium</t>
  </si>
  <si>
    <t>c2439020789ab69adcb2713c26822a55</t>
  </si>
  <si>
    <t>d__Bacteria; p__Proteobacteria; c__Gammaproteobacteria; o__Enterobacterales; f__Enterobacteriaceae; g__Klebsiella</t>
  </si>
  <si>
    <t>7e8da8e73d0ebb94516b25b2cd688b6d</t>
  </si>
  <si>
    <t>d__Bacteria; p__Proteobacteria; c__Gammaproteobacteria; o__Enterobacterales; f__Hafniaceae; g__Hafnia-Obesumbacterium; s__Obesumbacterium_proteus</t>
  </si>
  <si>
    <t>75ee246a3b00b0b8e9fb3635a7b7b1d5</t>
  </si>
  <si>
    <t>d085c78c2785e5c80aaca7723268945e</t>
  </si>
  <si>
    <t>ef1c09e24e90317c6607bb35736d0b87</t>
  </si>
  <si>
    <t>d0ae15ae5b65ce69c2c4bc6fb8401973</t>
  </si>
  <si>
    <t>4b0bf74ab096fb23e6d0ff41b8f33031</t>
  </si>
  <si>
    <t>d__Bacteria; p__Proteobacteria; c__Gammaproteobacteria; o__Enterobacterales; f__Enterobacteriaceae; g__Klebsiella; s__Klebsiella_oxytoca</t>
  </si>
  <si>
    <t>8a82e2b07e22a9c2e625a3ab55f8e637</t>
  </si>
  <si>
    <t>8f9231e869c6026d8e4de40bd1ba3aa0</t>
  </si>
  <si>
    <t>d__Bacteria; p__Proteobacteria; c__Gammaproteobacteria; o__Pseudomonadales; f__Pseudomonadaceae; g__Pseudomonas</t>
  </si>
  <si>
    <t>4cb5c79abe0a3b611671b1f356a86f19</t>
  </si>
  <si>
    <t>afd31761ab390163ccf56e4a2c7f4e99</t>
  </si>
  <si>
    <t>d__Bacteria; p__Proteobacteria; c__Alphaproteobacteria; o__Rickettsiales; f__Fokiniaceae; g__Candidatus_Lariskella</t>
  </si>
  <si>
    <t>04ca5a2ce45e151711077c0a7ae1e86c</t>
  </si>
  <si>
    <t>c12e54206d7619e39d27dc9141cdcddf</t>
  </si>
  <si>
    <t>d__Bacteria; p__Proteobacteria; c__Gammaproteobacteria; o__Burkholderiales; f__Oxalobacteraceae; g__Massilia</t>
  </si>
  <si>
    <t>525439edb3b85e4732b9b55667fc5a6d</t>
  </si>
  <si>
    <t>d__Bacteria; p__Firmicutes; c__Bacilli; o__Exiguobacterales; f__Exiguobacteraceae; g__Exiguobacterium</t>
  </si>
  <si>
    <t>b71cf477113ac1a1701300c425589d89</t>
  </si>
  <si>
    <t>d__Bacteria; p__Proteobacteria; c__Gammaproteobacteria; o__Enterobacterales; f__Erwiniaceae; g__Erwinia; s__Erwinia_billingiae</t>
  </si>
  <si>
    <t>9acd096c37041b95764bc5195e2fcbe3</t>
  </si>
  <si>
    <t>4c36c3fd30132f0a2a9a00f2c336d98d</t>
  </si>
  <si>
    <t>efb359ccdd93b39fa5fafbeeef825ac5</t>
  </si>
  <si>
    <t>0f9f2fd05ed6755fe6021186bd7a9fde</t>
  </si>
  <si>
    <t>d__Bacteria; p__Firmicutes; c__Bacilli; o__Paenibacillales; f__Paenibacillaceae; g__Paenibacillus</t>
  </si>
  <si>
    <t>b1813ed4a3f3f215b491a5af8e67da81</t>
  </si>
  <si>
    <t>51ecac15a29d0d6602266c9622b55ce9</t>
  </si>
  <si>
    <t>d__Bacteria; p__Proteobacteria; c__Alphaproteobacteria; o__Sphingomonadales; f__Sphingomonadaceae; g__Sphingomonas</t>
  </si>
  <si>
    <t>2e6bc12b15e1f8e456454c872d269a46</t>
  </si>
  <si>
    <t>486ec90aa912abd40084ce845f9a5468</t>
  </si>
  <si>
    <t>2a4fe0a350092ce867d3de30d54ca434</t>
  </si>
  <si>
    <t>dd7d9462bf352218f2973c3f04a8fb11</t>
  </si>
  <si>
    <t>9be2f306dec1330d7bd96a681b5ec419</t>
  </si>
  <si>
    <t>d__Bacteria; p__Bacteroidota; c__Bacteroidia; o__Flavobacteriales; f__Weeksellaceae; g__Chryseobacterium</t>
  </si>
  <si>
    <t>da7e1c9cbf2e153303dfde6d3bf0d891</t>
  </si>
  <si>
    <t>0e6a696873c8cb988df44b8ec081ac19</t>
  </si>
  <si>
    <t>caaadf8abcfa03d59c62a22f96916e89</t>
  </si>
  <si>
    <t>d3efec95a342260875c4b10b7fc1b8ae</t>
  </si>
  <si>
    <t>d7e6656f6db42e9079aaf648cb76a766</t>
  </si>
  <si>
    <t>6b4612321011214ee55ad73bd394116d</t>
  </si>
  <si>
    <t>d__Bacteria; p__Actinobacteriota; c__Actinobacteria; o__Micrococcales; f__Microbacteriaceae; g__Leifsonia; s__Leifsonia_sp.</t>
  </si>
  <si>
    <t>7bb62dbb012d3c4d024ecece8871ddc9</t>
  </si>
  <si>
    <t>4f927cf236490d0b1b494c460ed49c36</t>
  </si>
  <si>
    <t>b0df019af5476da916f06b153bea5950</t>
  </si>
  <si>
    <t>2c42046e58083832eb98ae699c13398a</t>
  </si>
  <si>
    <t>1511e672b398e926ba04051a030d58a3</t>
  </si>
  <si>
    <t>4c55287a564c507914d73ffea0c64fc3</t>
  </si>
  <si>
    <t>4ab56f9b012674eb6981ba9d3ef36170</t>
  </si>
  <si>
    <t>ab5ccdcbbe49e6f15f891e590b263ca3</t>
  </si>
  <si>
    <t>d611582bafb2af6525e4ca949b5db275</t>
  </si>
  <si>
    <t>40cfaf6b2d32e944b307070ce78452b0</t>
  </si>
  <si>
    <t>66328f772bedef79e8f770e46f70a168</t>
  </si>
  <si>
    <t>f1e258a1573506326cad8f5efd0f9a28</t>
  </si>
  <si>
    <t>8045d1179d0768fb3403d220bd787b88</t>
  </si>
  <si>
    <t>48b3448e95dfc98577586faaff613717</t>
  </si>
  <si>
    <t>fdcf10b7e0c7a561d5738c445fcccca8</t>
  </si>
  <si>
    <t>d0a8d938a176b0637ae7001ea4156d66</t>
  </si>
  <si>
    <t>73fedcea91cfe13bdc0c3d2ff3bfc7ba</t>
  </si>
  <si>
    <t>a8631e86d5092a697cc221ba5abb66eb</t>
  </si>
  <si>
    <t>b0a9bfef6c7ec6dc9f3c19376d83ca37</t>
  </si>
  <si>
    <t>d__Bacteria; p__Proteobacteria; c__Gammaproteobacteria; o__Pseudomonadales; f__Moraxellaceae; g__Acinetobacter; s__Acinetobacter_indicus</t>
  </si>
  <si>
    <t>d5dd9c8da1f0d44a7063df6afc064849</t>
  </si>
  <si>
    <t>1f6806a199c82655cfa5f4fdeb04879f</t>
  </si>
  <si>
    <t>b2d3ea6bf745d9a937a5b60a14ea4fce</t>
  </si>
  <si>
    <t>9fa0ce84bf75531102bc3c3d97641260</t>
  </si>
  <si>
    <t>7e65ae1a94b7a0c3f95e00ebce836c39</t>
  </si>
  <si>
    <t>9d05ab8cd291efdcfe5f04bd76c981c5</t>
  </si>
  <si>
    <t>7f71e029f3ed29ec1ac3ce14c025ff68</t>
  </si>
  <si>
    <t>59661941073ab01434ca42225408e902</t>
  </si>
  <si>
    <t>d__Bacteria; p__Firmicutes; c__Bacilli; o__Lactobacillales</t>
  </si>
  <si>
    <t>efac5f5d6e357e0aa0adaaab4f8b06ea</t>
  </si>
  <si>
    <t>d__Bacteria; p__Proteobacteria; c__Alphaproteobacteria; o__Rickettsiales; f__Anaplasmataceae; g__Wolbachia; s__proteobacterium_symbiont</t>
  </si>
  <si>
    <t>930efdcc0aa2ac35308894f269d6d97f</t>
  </si>
  <si>
    <t>815f82836f53df53b59df9c3559e6294</t>
  </si>
  <si>
    <t>d__Bacteria; p__Proteobacteria; c__Gammaproteobacteria; o__Enterobacterales; f__Morganellaceae</t>
  </si>
  <si>
    <t>914134d82ac7fdee0de774f593f7affa</t>
  </si>
  <si>
    <t>6ec82c70483f4ad3baf37cbfa3e28368</t>
  </si>
  <si>
    <t>29e7f69c54a1d49ca52939902155f0ac</t>
  </si>
  <si>
    <t>355f69bd1b7c342b617db67eaf4f3158</t>
  </si>
  <si>
    <t>74174ee4c11f7dd3d8c05a0aa1dd502c</t>
  </si>
  <si>
    <t>10263a1225c4ac631f14c9f952daa637</t>
  </si>
  <si>
    <t>e8ecf371f42a688ebfe253ebac0f9336</t>
  </si>
  <si>
    <t>ca39c1dfb5e738c293917a0ab7391c33</t>
  </si>
  <si>
    <t>22827f5bbf8b94f010a6fa2a3ad747d7</t>
  </si>
  <si>
    <t>895d587fa18e0c68c321ea24bc10510a</t>
  </si>
  <si>
    <t>d77f6ef0e7c0d082f532407d95fec304</t>
  </si>
  <si>
    <t>79940d2ee2f1ad3d063ab5f63025bffd</t>
  </si>
  <si>
    <t>478fdb3055b3e25950b66139a0fb3bb5</t>
  </si>
  <si>
    <t>e171cf9d53d6e67c421deeb84a00926a</t>
  </si>
  <si>
    <t>f18a4881f7d93222dd91978949030d84</t>
  </si>
  <si>
    <t>6f8d489ea5bc0646fc2b4e4154750e15</t>
  </si>
  <si>
    <t>d__Bacteria; p__Proteobacteria; c__Gammaproteobacteria; o__Pseudomonadales; f__Pseudomonadaceae; g__Pseudomonas; s__Pseudomonas_mandelii</t>
  </si>
  <si>
    <t>58978de62612ef3dad1b93fbb33d5d33</t>
  </si>
  <si>
    <t>139b7b84296b88f86fc9eb0e131cefb2</t>
  </si>
  <si>
    <t>14c9d0f82788ab22ccce29d928b551c7</t>
  </si>
  <si>
    <t>3977b13d1598069f333ff1b7204aa2e5</t>
  </si>
  <si>
    <t>c5adf3bd6bd12765e4b97f8952f59ecb</t>
  </si>
  <si>
    <t>d7487d411ce5448e30099adfa4dcf4b2</t>
  </si>
  <si>
    <t>0efb6b487cbce7750269d906eb4324d9</t>
  </si>
  <si>
    <t>077eb15b362cc62b88c96bd088854df4</t>
  </si>
  <si>
    <t>a9a8d0028547ff50e80d073894f22be2</t>
  </si>
  <si>
    <t>63a807afdb48e8d1633ddd735641d601</t>
  </si>
  <si>
    <t>55f394cd1b9499d2c0524346a87768a2</t>
  </si>
  <si>
    <t>435a45625f997640d894c780b033c34e</t>
  </si>
  <si>
    <t>4878d3ae1f93310e690b598cf6425abe</t>
  </si>
  <si>
    <t>53d7709a01b7dce06a55568a9f9c0b5d</t>
  </si>
  <si>
    <t>9d78875a432337418897cdba58b08f5e</t>
  </si>
  <si>
    <t>73fc257e604049ccc2f8e7a8563437d8</t>
  </si>
  <si>
    <t>11607aac9f3f024b44912189a87b1947</t>
  </si>
  <si>
    <t>79139d4e4b26e4a7113487e80d384768</t>
  </si>
  <si>
    <t>a2982dd35131af0a001633bae1fa85d9</t>
  </si>
  <si>
    <t>7363aac88b5325ac49cb469e284e10dd</t>
  </si>
  <si>
    <t>d__Bacteria; p__Firmicutes; c__Bacilli; o__Lactobacillales; f__Streptococcaceae; g__Lactococcus</t>
  </si>
  <si>
    <t>1e5c45ef09158aa79e01b7561305fec0</t>
  </si>
  <si>
    <t>798a72b63088dcfbea94a2eb1ff45943</t>
  </si>
  <si>
    <t>38e20edb25846f69be68631b98ef3ad3</t>
  </si>
  <si>
    <t>dec1f38e471bb77bfe61a57fc98f10a2</t>
  </si>
  <si>
    <t>bf180dc52094f633648881f579680e41</t>
  </si>
  <si>
    <t>77c4b9a14be999b077611d9aae5bd4a6</t>
  </si>
  <si>
    <t>eb7f97fe1c69027746ed96400af1b21d</t>
  </si>
  <si>
    <t>79559b3565a64e6076d9b954dcc54334</t>
  </si>
  <si>
    <t>b0728f1a17e546b70f56e5347b14270f</t>
  </si>
  <si>
    <t>288d5599eb86dd8315d23df01ec2efec</t>
  </si>
  <si>
    <t>c2bff74178820949aaf6948768f4fdda</t>
  </si>
  <si>
    <t>244b8f4bb184742376aadf20fc288997</t>
  </si>
  <si>
    <t>727c84eb810e2d1a2355634937cc8870</t>
  </si>
  <si>
    <t>4b62e891e6467be4b88228c08befdc74</t>
  </si>
  <si>
    <t>0f4c604e0cd331770a1ec9862c0d10d4</t>
  </si>
  <si>
    <t>5cf5b8ce39d8bd4b30ca8fccd6e45c65</t>
  </si>
  <si>
    <t>d1256ceb9ebcec00884aab27dcde010a</t>
  </si>
  <si>
    <t>df1b2e34fed868a1bf699fb60a6d8c38</t>
  </si>
  <si>
    <t>d__Eukaryota; p__Ascomycota; c__Dothideomycetes; o__Capnodiales; f__Cladosporiaceae; g__Cladosporium</t>
  </si>
  <si>
    <t>4e5e9a8710aea59f1386fc8879878cee</t>
  </si>
  <si>
    <t>d__Bacteria; p__Firmicutes; c__Bacilli; o__Bacillales; f__Planococcaceae; g__Kurthia</t>
  </si>
  <si>
    <t>3d8b055df70e943c299453bdacb84322</t>
  </si>
  <si>
    <t>7375805626dc5838f5883d83645c43f9</t>
  </si>
  <si>
    <t>012fc664365bad7cc8240d712f6e19a2</t>
  </si>
  <si>
    <t>2555fc13894b5e276d6ac78f0f4523ef</t>
  </si>
  <si>
    <t>d__Bacteria; p__Actinobacteriota; c__Actinobacteria; o__Micrococcales; f__Microbacteriaceae; g__Curtobacterium</t>
  </si>
  <si>
    <t>a244a07ffff997cd796787d3507e7398</t>
  </si>
  <si>
    <t>c09e55974d4d212bfd1e90c70c244cee</t>
  </si>
  <si>
    <t>c16f9b7e82bfdf5dbea4eb86d7550bbd</t>
  </si>
  <si>
    <t>f0992f35b9dd4c0ecf74fd8746b82044</t>
  </si>
  <si>
    <t>e549a27ac2629a720891d4040cd266a8</t>
  </si>
  <si>
    <t>8db1c46403dc90031ac69e6583f1319c</t>
  </si>
  <si>
    <t>d__Bacteria; p__Bacteroidota; c__Bacteroidia; o__Cytophagales; f__Hymenobacteraceae; g__Hymenobacter</t>
  </si>
  <si>
    <t>d234db35e2fcc81dddd3de003f8427ef</t>
  </si>
  <si>
    <t>d__Eukaryota; p__Arthropoda; c__Insecta; o__Hemiptera; f__Hemiptera; g__Hemiptera; s__Tettigella_viridis</t>
  </si>
  <si>
    <t>a69ec954b7c12df02d47663339ee630c</t>
  </si>
  <si>
    <t>d__Bacteria; p__Proteobacteria; c__Gammaproteobacteria; o__Burkholderiales; f__Oxalobacteraceae; g__Duganella</t>
  </si>
  <si>
    <t>9f87be677b38c3c8285e3227a70a7e4b</t>
  </si>
  <si>
    <t>d72774ee3758d14418b9b1b8779718dc</t>
  </si>
  <si>
    <t>036e5dad38c1e5474b32fbefb1787b44</t>
  </si>
  <si>
    <t>d__Bacteria; p__Actinobacteriota; c__Actinobacteria; o__Micrococcales; f__Microbacteriaceae</t>
  </si>
  <si>
    <t>f286b9e43c1f32f16b2bb2d46263e07b</t>
  </si>
  <si>
    <t>d__Bacteria; p__Proteobacteria; c__Gammaproteobacteria; o__Orbales; f__Orbaceae; g__Orbus; s__Cronobacter_sp.</t>
  </si>
  <si>
    <t>OTUS 2022</t>
  </si>
  <si>
    <t>d__Bacteria; p__Proteobacteria; c__Gammaproteobacteria; o__Enterobacterales; f__Morganellaceae; g__Arsenophonus; s__secondary_endosymbiont</t>
  </si>
  <si>
    <t>d__Bacteria; p__Proteobacteria; c__Gammaproteobacteria; o__Enterobacterales; f__Erwiniaceae; g__Pantoea</t>
  </si>
  <si>
    <t>d__Bacteria; p__Proteobacteria; c__Gammaproteobacteria; o__Enterobacterales; f__Morganellaceae; g__Arsenophonus; s__Arsenophonus_symbiont</t>
  </si>
  <si>
    <t>a6188d36f8897d061c04374eecde7454</t>
  </si>
  <si>
    <t>d__Bacteria; p__Proteobacteria; c__Gammaproteobacteria; o__Enterobacterales; f__Yersiniaceae</t>
  </si>
  <si>
    <t>870be1c2e65704bedbe77b1e7c9a9519</t>
  </si>
  <si>
    <t>e6cff4100a83a4b92e4e712caa19b7f6</t>
  </si>
  <si>
    <t>d__Bacteria; p__Proteobacteria; c__Gammaproteobacteria; o__Xanthomonadales; f__Rhodanobacteraceae; g__Rhodanobacter</t>
  </si>
  <si>
    <t>9dc58bfa6b87789e986d9e61bd83469f</t>
  </si>
  <si>
    <t>d__Bacteria; p__Proteobacteria; c__Gammaproteobacteria; o__Pseudomonadales; f__Pseudomonadaceae; g__Pseudomonas; s__Pseudomonas_rhizosphaerae</t>
  </si>
  <si>
    <t>51d96e96a3350beedece3878d6d0b3e7</t>
  </si>
  <si>
    <t>d__Bacteria; p__Proteobacteria; c__Gammaproteobacteria; o__Pseudomonadales; f__Pseudomonadaceae; g__Pseudomonas; s__Pseudomonas_syringae</t>
  </si>
  <si>
    <t>d__Bacteria; p__Proteobacteria; c__Gammaproteobacteria; o__Pseudomonadales; f__Pseudomonadaceae; g__Pseudomonas; s__Pseudomonas_putida</t>
  </si>
  <si>
    <t>5f1ade19e5573990652df50525c705ee</t>
  </si>
  <si>
    <t>2cebff8873b1e6bef21b8140b7aab728</t>
  </si>
  <si>
    <t>a7a20a769e35dedfc76565133cfae5c3</t>
  </si>
  <si>
    <t>d__Bacteria; p__Proteobacteria; c__Gammaproteobacteria; o__Pseudomonadales; f__Pseudomonadaceae; g__Pseudomonas; s__Pseudomonas_oryzihabitans</t>
  </si>
  <si>
    <t>6a53781eee979ef13daaa4b51a4d28ef</t>
  </si>
  <si>
    <t>40d7de61e4c85a80187ef8f1182d3b76</t>
  </si>
  <si>
    <t>0a1cc03f69b4c6d6eda43d83d24875d3</t>
  </si>
  <si>
    <t>b4301c60b164606413971927f8e5d407</t>
  </si>
  <si>
    <t>842ae66ad04086d6f9494a10ca1a2c60</t>
  </si>
  <si>
    <t>d__Bacteria; p__Proteobacteria; c__Gammaproteobacteria; o__Burkholderiales; f__Oxalobacteraceae; g__Duganella; s__uncultured_beta</t>
  </si>
  <si>
    <t>b6e602541b2573f13f09326c6885436e</t>
  </si>
  <si>
    <t>934ef706e9838a740666d6ac8b95df55</t>
  </si>
  <si>
    <t>36a77b43d97e334ed5c9873c7fdb44dd</t>
  </si>
  <si>
    <t>1b5770a542f80c5300c150cdb22f074a</t>
  </si>
  <si>
    <t>d__Bacteria; p__Firmicutes; c__Bacilli; o__Paenibacillales; f__Paenibacillaceae; g__Paenibacillus; s__Paenibacillus_chinensis</t>
  </si>
  <si>
    <t>546419e2174d1ad74d32310c633e2906</t>
  </si>
  <si>
    <t>612233dfcb170d8be6511fe644981e05</t>
  </si>
  <si>
    <t>d__Bacteria; p__Proteobacteria; c__Gammaproteobacteria; o__Enterobacterales; f__Morganellaceae; g__Providencia; s__Providencia_stuartii</t>
  </si>
  <si>
    <t>cbd115058a129b973f7085f77965df99</t>
  </si>
  <si>
    <t>96d7deb94c947741e17ee927d9b41e6e</t>
  </si>
  <si>
    <t>d__Bacteria; p__Proteobacteria; c__Gammaproteobacteria; o__Pseudomonadales; f__Moraxellaceae; g__Acinetobacter; s__Acinetobacter_calcoaceticus</t>
  </si>
  <si>
    <t>36e736e5a65e98ee339628621bd2894a</t>
  </si>
  <si>
    <t>4c18adc8bbfb88912751ae85565bf7a3</t>
  </si>
  <si>
    <t>7806a4bba57cf9384c9feddeb90f1a93</t>
  </si>
  <si>
    <t>2cace855cf1ac474d498d111f930b0b3</t>
  </si>
  <si>
    <t>11d64a0d4e91fa601db5b62ad1f34e7d</t>
  </si>
  <si>
    <t>c3faf71c8c7c15963708244fdd4a5bef</t>
  </si>
  <si>
    <t>deba3e194ec32d76458e685d70fcc508</t>
  </si>
  <si>
    <t>bff14ac88839ce66a0ee8fde360ec084</t>
  </si>
  <si>
    <t>3167dbc71bbb4b800c6245f51d6330e4</t>
  </si>
  <si>
    <t>f7d2da8af6219dc0601a83f394434aaa</t>
  </si>
  <si>
    <t>9b294503a50cac784a9de7df07adb8d2</t>
  </si>
  <si>
    <t>d__Eukaryota; p__Arthropoda; c__Insecta; o__Hemiptera; f__Hemiptera; g__Hemiptera; s__Graminella_nigrifrons</t>
  </si>
  <si>
    <t>d__Bacteria; p__Proteobacteria; c__Alphaproteobacteria; o__Rickettsiales; f__Anaplasmataceae; g__Wolbachia; s__Wolbachia_sp.</t>
  </si>
  <si>
    <t>54ece03b8789696bef10ba8557300bc6</t>
  </si>
  <si>
    <t>7e572d4e60402a825b4c68e2d045ae89</t>
  </si>
  <si>
    <t>fa2e98ab6981ab3232802ce2f23f9679</t>
  </si>
  <si>
    <t>bbceffcb46036506d313a463d90799f8</t>
  </si>
  <si>
    <t>1f31bce625453bb2ebcfad5f1e7e5033</t>
  </si>
  <si>
    <t>525054e76be88ea3f8f9bf27dfc8e472</t>
  </si>
  <si>
    <t>e75fd72fb216d3d4c964602d8c338f65</t>
  </si>
  <si>
    <t>d__Bacteria; p__Firmicutes; c__Bacilli; o__Lactobacillales; f__Enterococcaceae; g__Enterococcus</t>
  </si>
  <si>
    <t>1d4e9e5e2ed79c5199ca42925190a1fe</t>
  </si>
  <si>
    <t>511a3d0879bd3e2b448d52a4d99e4632</t>
  </si>
  <si>
    <t>4d1c7548c9b960c32c1ba8023a2693cb</t>
  </si>
  <si>
    <t>ca96e9a9218b9834fda875053fe48129</t>
  </si>
  <si>
    <t>14de28f75c3552e58bf43c1d56a9fc62</t>
  </si>
  <si>
    <t>b506152ca90649c2a9a4e8bd5da28d52</t>
  </si>
  <si>
    <t>9fbcaab7f1c9d357dd6e3cad687e45ae</t>
  </si>
  <si>
    <t>6216785e1c38fe70187d4acc462e3db9</t>
  </si>
  <si>
    <t>6becd52a2562bd16074b75eac7ab43f3</t>
  </si>
  <si>
    <t>cbb9710ee6e0ff7ba1b7ae669332e92a</t>
  </si>
  <si>
    <t>af09059609b6853dbea2aa25a49b0fcd</t>
  </si>
  <si>
    <t>36bce62a2abe81ba771572d8026f817b</t>
  </si>
  <si>
    <t>28e2a8f0a55fdd56a07600e02542a21b</t>
  </si>
  <si>
    <t>08e0b0a43fa794b141f3b5fe32d0b213</t>
  </si>
  <si>
    <t>5bb2bb79cb0a3172dc7c2dff8dddd52b</t>
  </si>
  <si>
    <t>c4c68ce50870448d1b58e9cfbb9e6706</t>
  </si>
  <si>
    <t>0ac01a9e0e8c94e91b4fec36c1f47b41</t>
  </si>
  <si>
    <t>ec2b95f642873aa7105c02d38694e0b6</t>
  </si>
  <si>
    <t>c57176f4afd9abdb9945983d72c7a5c0</t>
  </si>
  <si>
    <t>30a0c69c60ad2f6e3d1130b37f5c7289</t>
  </si>
  <si>
    <t>fc9dfd78300d77bdb877cfd3415d3e96</t>
  </si>
  <si>
    <t>54e5e3cfca9f635477ffb4d89639bfba</t>
  </si>
  <si>
    <t>7e2864645c87de507187fd8d2f186cec</t>
  </si>
  <si>
    <t>0e572dfcff73167a2afb2893db68feb4</t>
  </si>
  <si>
    <t>622367f6834cbf40c819f7121dd8822b</t>
  </si>
  <si>
    <t>bfbb6d3eaf6ed5593799d23c89c9f0de</t>
  </si>
  <si>
    <t>72ec26ffc8c50df3ba3618125f1de93d</t>
  </si>
  <si>
    <t>da9cf388193d5eaf62de7518db510771</t>
  </si>
  <si>
    <t>0a099e856763a7f7649f8ed114b6c86e</t>
  </si>
  <si>
    <t>3befff51050f968cc65aa030a54cc498</t>
  </si>
  <si>
    <t>49b2ed02a0d99e6f3e27106c30234152</t>
  </si>
  <si>
    <t>476be9d420d93b06dc28df8bf4c68348</t>
  </si>
  <si>
    <t>e8381223fb184bc89ab9878bd457527c</t>
  </si>
  <si>
    <t>bd3e7bcad839181ba676bf168ce09ae1</t>
  </si>
  <si>
    <t>514641fd32ac8330e7f811710faadb20</t>
  </si>
  <si>
    <t>dad035148d17961db38ce0b33cca832e</t>
  </si>
  <si>
    <t>1585986774a8068f099fffe8237c9d1e</t>
  </si>
  <si>
    <t>e292e844ca4a19e5ed174d239a2b8fbf</t>
  </si>
  <si>
    <t>1aeef763ee163b53acf21160d9e1fbbe</t>
  </si>
  <si>
    <t>c6e7c142a6696a973809ca80d334ee22</t>
  </si>
  <si>
    <t>7c6374923e387b2a068733ae48b381b6</t>
  </si>
  <si>
    <t>e1a132130016323d48023e281c8f971a</t>
  </si>
  <si>
    <t>e8c5f2b22574819d8e7492bef66701cc</t>
  </si>
  <si>
    <t>ae532d99bee856b4c64ed4cfe18b56b0</t>
  </si>
  <si>
    <t>SUMMARY</t>
  </si>
  <si>
    <t>year</t>
  </si>
  <si>
    <t>sequences</t>
  </si>
  <si>
    <t>proportion of total</t>
  </si>
  <si>
    <t>Pseudomonas</t>
  </si>
  <si>
    <t xml:space="preserve"> 'Ca. Sulcia' is by far the most abundant OTU in 2021 and 2022</t>
  </si>
  <si>
    <t xml:space="preserve"> of 'Ca. Nasuia' spp</t>
  </si>
  <si>
    <t>METADATA</t>
  </si>
  <si>
    <t>#SampleID</t>
  </si>
  <si>
    <t>region</t>
  </si>
  <si>
    <t>site</t>
  </si>
  <si>
    <t>date</t>
  </si>
  <si>
    <t>target</t>
  </si>
  <si>
    <t>EPLMQ22-1309-1_S336</t>
  </si>
  <si>
    <t>16S_515_926</t>
  </si>
  <si>
    <t>EPLMQ22-1309-2_S337</t>
  </si>
  <si>
    <t>EPLMQ22-1309-3_S338</t>
  </si>
  <si>
    <t>EPLMQ22-1309-4_S339</t>
  </si>
  <si>
    <t>EPLMQ22-1309-5_S340</t>
  </si>
  <si>
    <t>EPLMQ22-1309-6_S341</t>
  </si>
  <si>
    <t>EPLMQ22-1309-7_S342</t>
  </si>
  <si>
    <t>EPLMQ22-1309-8_S343</t>
  </si>
  <si>
    <t>EPLMQ22-1309-9_S344</t>
  </si>
  <si>
    <t>EPLMQ22-1309-10_S345</t>
  </si>
  <si>
    <t>EPLMQ22-1309-11_S346</t>
  </si>
  <si>
    <t>Montegerie</t>
  </si>
  <si>
    <t>EPLMQ22-1309-12_S347</t>
  </si>
  <si>
    <t>EPLMQ22-1309-13_S348</t>
  </si>
  <si>
    <t>EPLMQ22-1309-14_S349</t>
  </si>
  <si>
    <t>EPLMQ22-1309-15_S350</t>
  </si>
  <si>
    <t>EPLMQ22-1309-16_S351</t>
  </si>
  <si>
    <t>EPLMQ22-1309-17_S352</t>
  </si>
  <si>
    <t>EPLMQ22-1309-18_S353</t>
  </si>
  <si>
    <t>EPLMQ22-1309-19_S354</t>
  </si>
  <si>
    <t>EPLMQ22-1309-20_S355</t>
  </si>
  <si>
    <t>EPLMQ22-1309-21_S356</t>
  </si>
  <si>
    <t>EPLMQ22-1309-22_S357</t>
  </si>
  <si>
    <t>EPLMQ22-1309-23_S358</t>
  </si>
  <si>
    <t>EPLMQ22-1309-24_S359</t>
  </si>
  <si>
    <t>EPLMQ22-1309-25_S360</t>
  </si>
  <si>
    <t>EPLMQ22-1309-26_S361</t>
  </si>
  <si>
    <t>EPLMQ22-1309-27_S362</t>
  </si>
  <si>
    <t>EPLMQ22-1309-28_S363</t>
  </si>
  <si>
    <t>EPLMQ22-1309-29_S364</t>
  </si>
  <si>
    <t>EPLMQ22-1309-30_S365</t>
  </si>
  <si>
    <t>Monteregie</t>
  </si>
  <si>
    <t>Identification</t>
  </si>
  <si>
    <t># sample</t>
  </si>
  <si>
    <t xml:space="preserve">Region </t>
  </si>
  <si>
    <t>nb insect/sample</t>
  </si>
  <si>
    <t>June</t>
  </si>
  <si>
    <t>August</t>
  </si>
  <si>
    <t>Balcanocerus provancheri​</t>
  </si>
  <si>
    <t>Balclutha punctata</t>
  </si>
  <si>
    <t>Cicadula sp</t>
  </si>
  <si>
    <t>Draeculacephala constricta</t>
  </si>
  <si>
    <t>Elymana irnonata</t>
  </si>
  <si>
    <t>Eratoneura sp.</t>
  </si>
  <si>
    <t>Erythridula sp.</t>
  </si>
  <si>
    <t>Erythroneura sp.</t>
  </si>
  <si>
    <t>Idiocerus freytagi (alternatus)</t>
  </si>
  <si>
    <t>Idiocerus iodus</t>
  </si>
  <si>
    <t>Macrosteles patuelis</t>
  </si>
  <si>
    <t>Paramesus sp.</t>
  </si>
  <si>
    <t>Paraphlepsius sp.</t>
  </si>
  <si>
    <t>Scaphoideus prob densus</t>
  </si>
  <si>
    <t>Scaphoideus prob minor</t>
  </si>
  <si>
    <t>Streptanus prob aemulans</t>
  </si>
  <si>
    <t>Streptanus prob sordidus</t>
  </si>
  <si>
    <t>Xestocephalus prob fulvocapitatus</t>
  </si>
  <si>
    <t>Xestocephalus similis</t>
  </si>
  <si>
    <t>Agallia quadripunctata</t>
  </si>
  <si>
    <t xml:space="preserve">Erythroneura </t>
  </si>
  <si>
    <t xml:space="preserve">Eupteryx </t>
  </si>
  <si>
    <t>Graminella fitchii</t>
  </si>
  <si>
    <t>Graminella nigrifrons</t>
  </si>
  <si>
    <t>Graminella sp. Femelle</t>
  </si>
  <si>
    <t xml:space="preserve">Graphocephala coccinea </t>
  </si>
  <si>
    <t>Hellochara comunis</t>
  </si>
  <si>
    <t>Idiocerus prob venosus</t>
  </si>
  <si>
    <t>Macropsis fuscala</t>
  </si>
  <si>
    <t>Scaphoideus spp. (femelle)</t>
  </si>
  <si>
    <t xml:space="preserve">Empoasca sp. </t>
  </si>
  <si>
    <t>Station.used.ID</t>
  </si>
  <si>
    <t>Station.used.name</t>
  </si>
  <si>
    <t>Coordinates.B</t>
  </si>
  <si>
    <t>Coordinates.A</t>
  </si>
  <si>
    <t>Distance from the site (coordinate B)</t>
  </si>
  <si>
    <t>Coordinates GPS</t>
  </si>
  <si>
    <t>Station used (name)</t>
  </si>
  <si>
    <t>Station used (ID)</t>
  </si>
  <si>
    <t>8 genera</t>
  </si>
  <si>
    <t>Farm Code</t>
  </si>
  <si>
    <t>Insecticide</t>
  </si>
  <si>
    <t>Active compounds</t>
  </si>
  <si>
    <t>Leafhopper weighted average</t>
  </si>
  <si>
    <t>Standard deviation (weighted)</t>
  </si>
  <si>
    <t>1.08</t>
  </si>
  <si>
    <t>0.091</t>
  </si>
  <si>
    <t>2.47</t>
  </si>
  <si>
    <t>1.46</t>
  </si>
  <si>
    <t>0.887</t>
  </si>
  <si>
    <t>0.919</t>
  </si>
  <si>
    <t>1.2</t>
  </si>
  <si>
    <t>E. fabae</t>
  </si>
  <si>
    <t>1.134</t>
  </si>
  <si>
    <t>0.980</t>
  </si>
  <si>
    <t>0.907</t>
  </si>
  <si>
    <t>0.561</t>
  </si>
  <si>
    <t>1.055</t>
  </si>
  <si>
    <t>0.844</t>
  </si>
  <si>
    <t>1.083</t>
  </si>
  <si>
    <t>1.252</t>
  </si>
  <si>
    <t>0.793</t>
  </si>
  <si>
    <t>0.172</t>
  </si>
  <si>
    <t>1.329</t>
  </si>
  <si>
    <t>0.990</t>
  </si>
  <si>
    <t>0.555</t>
  </si>
  <si>
    <t>0.563</t>
  </si>
  <si>
    <t>0.516</t>
  </si>
  <si>
    <t>0.294</t>
  </si>
  <si>
    <t>0.300</t>
  </si>
  <si>
    <t>1.029</t>
  </si>
  <si>
    <t>0.329</t>
  </si>
  <si>
    <t>1.481</t>
  </si>
  <si>
    <t>1.614</t>
  </si>
  <si>
    <t>1.157</t>
  </si>
  <si>
    <t>1.412</t>
  </si>
  <si>
    <t>2.095</t>
  </si>
  <si>
    <t>1.772</t>
  </si>
  <si>
    <t>0.933</t>
  </si>
  <si>
    <t>0.845</t>
  </si>
  <si>
    <t>0.600</t>
  </si>
  <si>
    <t>0.200</t>
  </si>
  <si>
    <t>1.250</t>
  </si>
  <si>
    <t>0.721</t>
  </si>
  <si>
    <t>0.051</t>
  </si>
  <si>
    <t>0.668</t>
  </si>
  <si>
    <t>0.323</t>
  </si>
  <si>
    <t>0.357</t>
  </si>
  <si>
    <t>0.279</t>
  </si>
  <si>
    <t>0.017</t>
  </si>
  <si>
    <t>0.043</t>
  </si>
  <si>
    <t>M.quadriliniatus</t>
  </si>
  <si>
    <t>1.258</t>
  </si>
  <si>
    <t>1.284</t>
  </si>
  <si>
    <t>1.416</t>
  </si>
  <si>
    <t>1.454</t>
  </si>
  <si>
    <t>0.875</t>
  </si>
  <si>
    <t>0.717</t>
  </si>
  <si>
    <t>0.981</t>
  </si>
  <si>
    <t>0.233</t>
  </si>
  <si>
    <t>0.179</t>
  </si>
  <si>
    <t>0.192</t>
  </si>
  <si>
    <t>0.317</t>
  </si>
  <si>
    <t>0.201</t>
  </si>
  <si>
    <t>0.315</t>
  </si>
  <si>
    <t>0.243</t>
  </si>
  <si>
    <t>0.129</t>
  </si>
  <si>
    <t>0.057</t>
  </si>
  <si>
    <t>0.571</t>
  </si>
  <si>
    <t>0.686</t>
  </si>
  <si>
    <t>0.311</t>
  </si>
  <si>
    <t>0.456</t>
  </si>
  <si>
    <t>0.645</t>
  </si>
  <si>
    <t>0.657</t>
  </si>
  <si>
    <t>0.293</t>
  </si>
  <si>
    <t>0.394</t>
  </si>
  <si>
    <t>0.000</t>
  </si>
  <si>
    <t>0.029</t>
  </si>
  <si>
    <t>2.824</t>
  </si>
  <si>
    <t>3.105</t>
  </si>
  <si>
    <t>1.143</t>
  </si>
  <si>
    <t>1.616</t>
  </si>
  <si>
    <t>0.124</t>
  </si>
  <si>
    <t>0.204</t>
  </si>
  <si>
    <t>0.158</t>
  </si>
  <si>
    <t>All leafhoppers</t>
  </si>
  <si>
    <t>Seascape and Jewel</t>
  </si>
  <si>
    <t>Number of  leafhopper tested</t>
  </si>
  <si>
    <r>
      <rPr>
        <b/>
        <sz val="12"/>
        <color theme="1"/>
        <rFont val="Calibri"/>
        <family val="2"/>
        <scheme val="minor"/>
      </rPr>
      <t>Green</t>
    </r>
    <r>
      <rPr>
        <sz val="12"/>
        <color theme="1"/>
        <rFont val="Calibri"/>
        <family val="2"/>
        <scheme val="minor"/>
      </rPr>
      <t>: Insencticide homologued for leafhoppers</t>
    </r>
  </si>
  <si>
    <r>
      <rPr>
        <b/>
        <sz val="12"/>
        <color theme="1"/>
        <rFont val="Calibri"/>
        <family val="2"/>
        <scheme val="minor"/>
      </rPr>
      <t>Yellow</t>
    </r>
    <r>
      <rPr>
        <sz val="12"/>
        <color theme="1"/>
        <rFont val="Calibri"/>
        <family val="2"/>
        <scheme val="minor"/>
      </rPr>
      <t>: Insecticide not homologued for leafhoppers but known to be efficient to control leafhoppers</t>
    </r>
  </si>
  <si>
    <t>Maximum, minimum and media values used for modelling based on the values observed for the growing seasons studied:</t>
  </si>
  <si>
    <t>Table S1. Detailed information on the strawberry fields included in this study.</t>
  </si>
  <si>
    <t xml:space="preserve">Table S2. Detailed information on the weather stations used to retrieve temperature and precipitation data used in this study  </t>
  </si>
  <si>
    <t xml:space="preserve">Table S3. Strawberry samples analyzed in this study with symptoms resembling strawberry green petal phytoplasma disease during both growing seasons studied here. </t>
  </si>
  <si>
    <t xml:space="preserve">Table S4. The geographic location of all the strawberry green petal phytoplasma disease cases reported to the provincial laboratory in expertise in diagnostic and phytopathology in the last decade. </t>
  </si>
  <si>
    <t xml:space="preserve">Table S5. Leafhopper species and the number of specimens per species analyzed by phytoplasma-specific PCR to detect the presence of the pathogen. </t>
  </si>
  <si>
    <t xml:space="preserve">Table S6. Detailed information on the leafhoppers incubated with strawberry plants during the phytoplasma transmission assays. </t>
  </si>
  <si>
    <t xml:space="preserve">Table S7. Detailed information on Macosteles quadrilineatus used to study the leafhopper microbiome. </t>
  </si>
  <si>
    <t xml:space="preserve">Table S8. Detailed information on the insecticides used by strawberry growers during both grow seasons included in the study and those treatments selected for further statistic analyses. </t>
  </si>
  <si>
    <t>Table S9. Identification and number of leafhopper species captured in strawberry fields in each geographic region screened in this study.</t>
  </si>
  <si>
    <t>Table S10. Detailed information of diversity indexes Shannon and Simpson calculated using the data collected in this study.</t>
  </si>
  <si>
    <t xml:space="preserve">Table S11. Fixed days and temperature values used during leafhopper populations modelling. </t>
  </si>
  <si>
    <t xml:space="preserve">Table S12. Detailed information on the taxonomy of the phytoplasma strain SbGPQ affecting strawberry plants in eastern Canada by hybridization and illumine sequencing and by PCR amplification, cloning and Sanger sequencing. </t>
  </si>
  <si>
    <t>#OTUID-2021</t>
  </si>
  <si>
    <t xml:space="preserve">Table S13. Detailed information on Macosteles quadrilineatus microbiome including OTUs, reads, and metadata information. </t>
  </si>
  <si>
    <t>Table S14. Detailed information on the core microbiome for Macosteles quadrilineatus captured during each growing season and in common for all the leafhoppers analyzed during this study.</t>
  </si>
  <si>
    <t>All Leafhoppers</t>
  </si>
  <si>
    <t>Model code</t>
  </si>
  <si>
    <t>Model</t>
  </si>
  <si>
    <t>BIC</t>
  </si>
  <si>
    <t>Delta_BIC</t>
  </si>
  <si>
    <t>ModelLik</t>
  </si>
  <si>
    <t>BICWt</t>
  </si>
  <si>
    <t>b10.21</t>
  </si>
  <si>
    <t>(nb ~ poly(day, 2) + poly(base10, 1) + (1 | site)+offset(log(exposition.length * traps))</t>
  </si>
  <si>
    <t>b8.21</t>
  </si>
  <si>
    <t>(nb ~ poly(day, 2) + poly(base8, 1) + (1 | site)+offset(log(exposition.length * traps))</t>
  </si>
  <si>
    <t>b8.1</t>
  </si>
  <si>
    <t>(nb ~ poly(day, 1) + poly(base8, 1) + (1 | site)+offset(log(exposition.length * traps))</t>
  </si>
  <si>
    <t>b10.1</t>
  </si>
  <si>
    <t>(nb ~ poly(day, 1) + poly(base10, 1) + (1 | site)+offset(log(exposition.length * traps))</t>
  </si>
  <si>
    <t>b10.23</t>
  </si>
  <si>
    <t>(nb ~ poly(day, 2) + poly(base10, 3) + (1 | site)+offset(log(exposition.length * traps))</t>
  </si>
  <si>
    <t>b8.32</t>
  </si>
  <si>
    <t>(nb ~ poly(day, 3) + poly(base8, 2) + (1 | site)+offset(log(exposition.length * traps))</t>
  </si>
  <si>
    <t>b10.32</t>
  </si>
  <si>
    <t>(nb ~ poly(day, 3) + poly(base10, 2) + (1 | site)+offset(log(exposition.length * traps))</t>
  </si>
  <si>
    <t>b8.23</t>
  </si>
  <si>
    <t>(nb ~ poly(day, 2) + poly(base8, 3) + (1 | site)+offset(log(exposition.length * traps))</t>
  </si>
  <si>
    <t>b10.31</t>
  </si>
  <si>
    <t>(nb ~ poly(day, 3) + poly(base10, 1) + (1 | site)+offset(log(exposition.length * traps))</t>
  </si>
  <si>
    <t>b8.31</t>
  </si>
  <si>
    <t>(nb ~ poly(day, 3) + poly(base8, 1) + (1 | site) +offset(log(exposition.length * traps))</t>
  </si>
  <si>
    <t>b8.12</t>
  </si>
  <si>
    <t>(nb ~ poly(day, 1) + poly(base8, 2) + (1 | site)+offset(log(exposition.length * traps))</t>
  </si>
  <si>
    <t>b10.2</t>
  </si>
  <si>
    <t>(nb ~ poly(day, 2) + poly(base10, 2) + (1 | site)+offset(log(exposition.length * traps))</t>
  </si>
  <si>
    <t>b8.2</t>
  </si>
  <si>
    <t>(nb ~ poly(day, 2) + poly(base8, 2) + (1 | site)+offset(log(exposition.length * traps)</t>
  </si>
  <si>
    <t>b10.12</t>
  </si>
  <si>
    <t>(nb ~ poly(day, 1) + poly(base10, 2) + (1|site)+offset(log(exposition.length * traps))</t>
  </si>
  <si>
    <t>b10.13</t>
  </si>
  <si>
    <t>(nb ~ poly(day, 1) + poly(base10, 3) + (1 | site)+offset(log(exposition.length * traps))</t>
  </si>
  <si>
    <t>b8.13</t>
  </si>
  <si>
    <t>(nb ~ poly(day, 1) + poly(base8, 3) + (1 | site)+offset(log(exposition.length * traps))</t>
  </si>
  <si>
    <t>b10.3</t>
  </si>
  <si>
    <t>(nb ~ poly(day, 3) + poly(base10, 3) + (1 | site)+offset(log(exposition.length * traps))</t>
  </si>
  <si>
    <t>b8.3</t>
  </si>
  <si>
    <t>(nb ~ poly(day, 3) + poly(base8, 3) + (1 | site)+offset(log(exposition.length * traps))</t>
  </si>
  <si>
    <t>Ef.mt.31</t>
  </si>
  <si>
    <t>(nb ~ poly(day, 3) + poly(mean.temp, 1) + (1 | site) + offset(log(exposition.length * traps))</t>
  </si>
  <si>
    <t>Ef.b10.31</t>
  </si>
  <si>
    <t>(nb ~ poly(day, 3) + poly(base10, 1) + (1 | site) +offset(log(exposition.length * traps))</t>
  </si>
  <si>
    <t>Ef.b8.31</t>
  </si>
  <si>
    <t>(nb ~ poly(day, 3) + poly(base8, 1) + (1 | site)+offset(log(exposition.length * traps))</t>
  </si>
  <si>
    <t>Ef.mt.32</t>
  </si>
  <si>
    <t>(nb ~ poly(day, 3) + poly(mean.temp, 2) + (1 | site) + offset(log(exposition.length * traps))</t>
  </si>
  <si>
    <t>Ef.b10.32</t>
  </si>
  <si>
    <t>(nb ~ poly(day, 3) + poly(base10, 2) + (1 | site) +offset(log(exposition.length * traps))</t>
  </si>
  <si>
    <t>Ef.b8.32</t>
  </si>
  <si>
    <t>(nb ~ poly(day, 3) + poly(base8, 2) + (1 | site) +offset(log(exposition.length * traps))</t>
  </si>
  <si>
    <t>Ef.b10.2</t>
  </si>
  <si>
    <t>(nb ~ poly(day, 2) + poly(base10, 2) + (1 | site) +offset(log(exposition.length * traps))</t>
  </si>
  <si>
    <t>Ef.b8.2</t>
  </si>
  <si>
    <t>(nb ~ poly(day, 2) + poly(base8, 2) + (1 | site)+offset(log(exposition.length * traps))</t>
  </si>
  <si>
    <t>Ef.mt.2</t>
  </si>
  <si>
    <t>(nb ~ poly(day, 2) + poly(mean.temp, 2) + (1 | site)+offset(log(exposition.length * traps))</t>
  </si>
  <si>
    <t>Ef.mt.1</t>
  </si>
  <si>
    <t>(nb ~ poly(day, 1) + poly(mean.temp, 1)+(1 | site)+offset(log(exposition.length * traps))</t>
  </si>
  <si>
    <t>Ef.b10.1</t>
  </si>
  <si>
    <t>(nb ~ poly(day, 1) + poly(base10, 1) + (1 | site) +offset(log(exposition.length * traps))</t>
  </si>
  <si>
    <t>Ef.b10.23</t>
  </si>
  <si>
    <t>(nb ~ poly(day, 2) + poly(base10, 3) + (1 | site) + offset(log(exposition.length * traps))</t>
  </si>
  <si>
    <t>Ef.b8.23</t>
  </si>
  <si>
    <t>(nb ~ poly(day, 2) + poly(base8, 3) + (1 | site) + offset(log(exposition.length * traps))</t>
  </si>
  <si>
    <t>Ef.mt.23</t>
  </si>
  <si>
    <t>(nb ~ poly(day, 2) + poly(mean.temp, 3) + (1 | site) + offset(log(exposition.length * traps))</t>
  </si>
  <si>
    <t>Ef.b8.1</t>
  </si>
  <si>
    <t>(nb ~ poly(day, 1) + poly(base8, 1) + (1 | site) +offset(log(exposition.length * traps))</t>
  </si>
  <si>
    <t>Ef.mt.21</t>
  </si>
  <si>
    <t>(nb ~ poly(day, 2) + poly(mean.temp, 1) + (1 | site) + offset(log(exposition.length * traps))</t>
  </si>
  <si>
    <t>Ef.b10.21</t>
  </si>
  <si>
    <t>(nb ~ poly(day, 2) + poly(base10, 1) + (1 | site) + offset(log(exposition.length * traps))</t>
  </si>
  <si>
    <t>Ef.b8.21</t>
  </si>
  <si>
    <t>(nb ~ poly(day, 2) + poly(base8, 1) + (1 | site) + offset(log(exposition.length * traps))</t>
  </si>
  <si>
    <t>Ef.mt.12</t>
  </si>
  <si>
    <t>(nb ~ poly(day, 1) + poly(mean.temp, 2) + (1 | site) +offset(log(exposition.length * traps))</t>
  </si>
  <si>
    <t>Ef.b10.12</t>
  </si>
  <si>
    <t>(nb ~ poly(day, 1) + poly(base10, 2) + (1 | site) +offset(log(exposition.length * traps))</t>
  </si>
  <si>
    <t>Ef.b8.13</t>
  </si>
  <si>
    <t>(nb ~ poly(day, 1) + poly(base8, 3) + (1 | site) + offset(log(exposition.length * traps))</t>
  </si>
  <si>
    <t>Ef.b10.13</t>
  </si>
  <si>
    <t>(nb ~ poly(day, 1) + poly(base10, 3) + (1 | site) +offset(log(exposition.length * traps))</t>
  </si>
  <si>
    <t>Ef.mt.13</t>
  </si>
  <si>
    <t>nb ~ poly(day, 1) + poly(mean.temp, 3) + (1 | site) + offset(log(exposition.length * traps))</t>
  </si>
  <si>
    <t>Ef.b8.12</t>
  </si>
  <si>
    <t>(nb ~ poly(day, 1) + poly(base8, 2) + (1 | site) +offset(log(exposition.length * traps))</t>
  </si>
  <si>
    <t>Ef.mt.3</t>
  </si>
  <si>
    <t>nb ~ poly(day, 3) + poly(mean.temp, 3) + (1 | site)+offset(log(exposition.length * traps))</t>
  </si>
  <si>
    <t>Ef.b10.3</t>
  </si>
  <si>
    <t>(nb ~ poly(day, 3) + poly(base10, 3) + (1 | site) + offset(log(exposition.length * traps))</t>
  </si>
  <si>
    <t>Ef.b8.3</t>
  </si>
  <si>
    <t>Mq.b10.12</t>
  </si>
  <si>
    <t>Mq.mt.12</t>
  </si>
  <si>
    <t>Mq.mt.3</t>
  </si>
  <si>
    <t>Mq.b10.3</t>
  </si>
  <si>
    <t>Mq.b8.12</t>
  </si>
  <si>
    <t>Mq.b8.3</t>
  </si>
  <si>
    <t>Mq.mt.21</t>
  </si>
  <si>
    <t>Mq.b10.21</t>
  </si>
  <si>
    <t>Mq.b8.21</t>
  </si>
  <si>
    <t>Mq.b10.1</t>
  </si>
  <si>
    <t>Mq.mt.1</t>
  </si>
  <si>
    <t>Mq.b8.1</t>
  </si>
  <si>
    <t>Mq.b10.13</t>
  </si>
  <si>
    <t>Mq.mt.13</t>
  </si>
  <si>
    <t>Mq.b8.13</t>
  </si>
  <si>
    <t>Mq.mt.32</t>
  </si>
  <si>
    <t>Mq.b10.32</t>
  </si>
  <si>
    <t>Mq.b8.32</t>
  </si>
  <si>
    <t>Mq.mt.31</t>
  </si>
  <si>
    <t>Mq.b10.31</t>
  </si>
  <si>
    <t>Mq.b8.31</t>
  </si>
  <si>
    <t>Mq.b10.23</t>
  </si>
  <si>
    <t>Mq.mt.23</t>
  </si>
  <si>
    <t>Mq.b8.23</t>
  </si>
  <si>
    <t>Mq.b10.2</t>
  </si>
  <si>
    <t>Mq.mt.2</t>
  </si>
  <si>
    <t>Mq.b8.2</t>
  </si>
  <si>
    <t xml:space="preserve">The models selection presented here refers to the final set of candidate models. </t>
  </si>
  <si>
    <t>For the all models selected, please see the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</si>
</sst>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2"/>
      <color theme="1"/>
      <name val="Calibri"/>
      <family val="2"/>
      <scheme val="minor"/>
    </font>
    <font>
      <b/>
      <sz val="12"/>
      <color theme="1"/>
      <name val="Calibri"/>
      <family val="2"/>
      <scheme val="minor"/>
    </font>
    <font>
      <b/>
      <sz val="16"/>
      <color theme="1"/>
      <name val="Calibri"/>
      <family val="2"/>
      <scheme val="minor"/>
    </font>
    <font>
      <sz val="9"/>
      <color theme="1"/>
      <name val="Calibri"/>
      <family val="2"/>
      <scheme val="minor"/>
    </font>
    <font>
      <sz val="12"/>
      <color rgb="FF000000"/>
      <name val="Calibri"/>
      <family val="2"/>
      <scheme val="minor"/>
    </font>
    <font>
      <u/>
      <sz val="9"/>
      <color theme="4"/>
      <name val="Calibri (Corps)"/>
    </font>
    <font>
      <u/>
      <sz val="12"/>
      <color theme="4"/>
      <name val="Calibri (Corps)"/>
    </font>
    <font>
      <sz val="11"/>
      <color theme="1"/>
      <name val="Calibri"/>
      <family val="2"/>
      <scheme val="minor"/>
    </font>
    <font>
      <b/>
      <sz val="14"/>
      <color theme="0"/>
      <name val="Calibri"/>
      <family val="2"/>
      <scheme val="minor"/>
    </font>
    <font>
      <b/>
      <sz val="13"/>
      <color theme="1"/>
      <name val="Calibri"/>
      <family val="2"/>
      <scheme val="minor"/>
    </font>
    <font>
      <b/>
      <sz val="13"/>
      <color rgb="FFFF0000"/>
      <name val="Calibri (Corps)"/>
    </font>
    <font>
      <sz val="8"/>
      <name val="Calibri"/>
      <family val="2"/>
      <scheme val="minor"/>
    </font>
    <font>
      <sz val="11"/>
      <color rgb="FF000000"/>
      <name val="Calibri"/>
      <family val="2"/>
      <scheme val="minor"/>
    </font>
    <font>
      <b/>
      <sz val="11"/>
      <color rgb="FF000000"/>
      <name val="Calibri"/>
      <family val="2"/>
      <scheme val="minor"/>
    </font>
    <font>
      <b/>
      <sz val="12"/>
      <color rgb="FF000000"/>
      <name val="Calibri"/>
      <family val="2"/>
      <scheme val="minor"/>
    </font>
    <font>
      <i/>
      <sz val="12"/>
      <color rgb="FF000000"/>
      <name val="Calibri"/>
      <family val="2"/>
      <scheme val="minor"/>
    </font>
    <font>
      <i/>
      <sz val="12"/>
      <color theme="1"/>
      <name val="Calibri"/>
      <family val="2"/>
      <scheme val="minor"/>
    </font>
    <font>
      <sz val="11"/>
      <color rgb="FF000000"/>
      <name val="Lucida Grande"/>
      <family val="2"/>
    </font>
    <font>
      <sz val="11"/>
      <color theme="1"/>
      <name val="Lucida Grande"/>
      <family val="2"/>
    </font>
    <font>
      <b/>
      <sz val="12"/>
      <color theme="1"/>
      <name val="Times New Roman"/>
      <family val="1"/>
    </font>
    <font>
      <sz val="12"/>
      <color theme="1"/>
      <name val="Times New Roman"/>
      <family val="1"/>
    </font>
    <font>
      <b/>
      <i/>
      <sz val="12"/>
      <color theme="1"/>
      <name val="Times New Roman"/>
      <family val="1"/>
    </font>
  </fonts>
  <fills count="8">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1"/>
        <bgColor indexed="64"/>
      </patternFill>
    </fill>
    <fill>
      <patternFill patternType="solid">
        <fgColor theme="7" tint="0.59999389629810485"/>
        <bgColor indexed="64"/>
      </patternFill>
    </fill>
    <fill>
      <patternFill patternType="solid">
        <fgColor theme="9" tint="0.59999389629810485"/>
        <bgColor indexed="64"/>
      </patternFill>
    </fill>
  </fills>
  <borders count="65">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6"/>
      </left>
      <right style="medium">
        <color indexed="64"/>
      </right>
      <top style="thin">
        <color theme="6"/>
      </top>
      <bottom style="medium">
        <color indexed="64"/>
      </bottom>
      <diagonal/>
    </border>
    <border>
      <left style="thin">
        <color theme="6"/>
      </left>
      <right style="thin">
        <color theme="6"/>
      </right>
      <top style="thin">
        <color theme="6"/>
      </top>
      <bottom style="medium">
        <color indexed="64"/>
      </bottom>
      <diagonal/>
    </border>
    <border>
      <left style="medium">
        <color indexed="64"/>
      </left>
      <right style="thin">
        <color theme="6"/>
      </right>
      <top style="thin">
        <color theme="6"/>
      </top>
      <bottom style="medium">
        <color indexed="64"/>
      </bottom>
      <diagonal/>
    </border>
    <border>
      <left style="thin">
        <color theme="6"/>
      </left>
      <right style="medium">
        <color indexed="64"/>
      </right>
      <top style="thin">
        <color theme="6"/>
      </top>
      <bottom style="thin">
        <color theme="6"/>
      </bottom>
      <diagonal/>
    </border>
    <border>
      <left style="thin">
        <color theme="6"/>
      </left>
      <right style="thin">
        <color theme="6"/>
      </right>
      <top style="thin">
        <color theme="6"/>
      </top>
      <bottom style="thin">
        <color theme="6"/>
      </bottom>
      <diagonal/>
    </border>
    <border>
      <left style="medium">
        <color indexed="64"/>
      </left>
      <right style="thin">
        <color theme="6"/>
      </right>
      <top style="thin">
        <color theme="6"/>
      </top>
      <bottom style="thin">
        <color theme="6"/>
      </bottom>
      <diagonal/>
    </border>
    <border>
      <left style="thin">
        <color theme="6"/>
      </left>
      <right style="medium">
        <color indexed="64"/>
      </right>
      <top/>
      <bottom style="thin">
        <color theme="6"/>
      </bottom>
      <diagonal/>
    </border>
    <border>
      <left style="thin">
        <color theme="6"/>
      </left>
      <right style="thin">
        <color theme="6"/>
      </right>
      <top/>
      <bottom style="thin">
        <color theme="6"/>
      </bottom>
      <diagonal/>
    </border>
    <border>
      <left style="medium">
        <color indexed="64"/>
      </left>
      <right style="thin">
        <color theme="6"/>
      </right>
      <top/>
      <bottom style="thin">
        <color theme="6"/>
      </bottom>
      <diagonal/>
    </border>
    <border>
      <left style="thin">
        <color indexed="64"/>
      </left>
      <right style="medium">
        <color indexed="64"/>
      </right>
      <top style="thin">
        <color indexed="64"/>
      </top>
      <bottom style="thin">
        <color indexed="64"/>
      </bottom>
      <diagonal/>
    </border>
    <border>
      <left style="thin">
        <color theme="6"/>
      </left>
      <right/>
      <top style="thin">
        <color indexed="64"/>
      </top>
      <bottom style="thin">
        <color indexed="64"/>
      </bottom>
      <diagonal/>
    </border>
    <border>
      <left style="thin">
        <color theme="6"/>
      </left>
      <right style="thin">
        <color theme="6"/>
      </right>
      <top style="thin">
        <color indexed="64"/>
      </top>
      <bottom style="thin">
        <color indexed="64"/>
      </bottom>
      <diagonal/>
    </border>
    <border>
      <left style="medium">
        <color indexed="64"/>
      </left>
      <right style="thin">
        <color theme="6"/>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style="medium">
        <color indexed="64"/>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207">
    <xf numFmtId="0" fontId="0" fillId="0" borderId="0" xfId="0"/>
    <xf numFmtId="0" fontId="0" fillId="0" borderId="0" xfId="0" applyAlignment="1">
      <alignment horizontal="left"/>
    </xf>
    <xf numFmtId="0" fontId="1" fillId="2" borderId="1" xfId="0" applyFont="1" applyFill="1" applyBorder="1" applyAlignment="1">
      <alignment horizontal="center"/>
    </xf>
    <xf numFmtId="0" fontId="0" fillId="0" borderId="4" xfId="0"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0" borderId="7" xfId="0" applyBorder="1" applyAlignment="1">
      <alignment horizontal="center"/>
    </xf>
    <xf numFmtId="0" fontId="0" fillId="3" borderId="7" xfId="0" applyFill="1" applyBorder="1" applyAlignment="1">
      <alignment horizontal="center"/>
    </xf>
    <xf numFmtId="0" fontId="0" fillId="3" borderId="11" xfId="0" applyFill="1" applyBorder="1" applyAlignment="1">
      <alignment horizontal="center"/>
    </xf>
    <xf numFmtId="0" fontId="0" fillId="4" borderId="0" xfId="0" applyFill="1" applyAlignment="1">
      <alignment horizontal="center"/>
    </xf>
    <xf numFmtId="0" fontId="2" fillId="0" borderId="0" xfId="0" applyFont="1"/>
    <xf numFmtId="0" fontId="3" fillId="0" borderId="0" xfId="0" applyFont="1"/>
    <xf numFmtId="0" fontId="4" fillId="0" borderId="0" xfId="0" applyFont="1"/>
    <xf numFmtId="0" fontId="1" fillId="0" borderId="0" xfId="0" applyFont="1" applyAlignment="1">
      <alignment horizontal="center"/>
    </xf>
    <xf numFmtId="0" fontId="1" fillId="0" borderId="0" xfId="0" applyFont="1" applyAlignment="1">
      <alignment horizontal="center" wrapText="1"/>
    </xf>
    <xf numFmtId="0" fontId="1" fillId="0" borderId="0" xfId="0" applyFont="1"/>
    <xf numFmtId="14" fontId="0" fillId="0" borderId="0" xfId="0" applyNumberFormat="1"/>
    <xf numFmtId="14" fontId="7" fillId="0" borderId="0" xfId="0" applyNumberFormat="1" applyFont="1"/>
    <xf numFmtId="0" fontId="7" fillId="0" borderId="0" xfId="0" applyFont="1"/>
    <xf numFmtId="0" fontId="0" fillId="0" borderId="0" xfId="0"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14" fontId="0" fillId="0" borderId="0" xfId="0" applyNumberFormat="1" applyAlignment="1">
      <alignment horizontal="center"/>
    </xf>
    <xf numFmtId="14" fontId="0" fillId="0" borderId="0" xfId="0" applyNumberFormat="1" applyAlignment="1">
      <alignment horizontal="left"/>
    </xf>
    <xf numFmtId="49" fontId="0" fillId="0" borderId="0" xfId="0" applyNumberFormat="1" applyAlignment="1">
      <alignment horizontal="left"/>
    </xf>
    <xf numFmtId="0" fontId="0" fillId="3" borderId="26" xfId="0"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0" borderId="12" xfId="0" applyBorder="1" applyAlignment="1">
      <alignment horizontal="center"/>
    </xf>
    <xf numFmtId="0" fontId="0" fillId="0" borderId="30" xfId="0" applyBorder="1" applyAlignment="1">
      <alignment horizontal="center"/>
    </xf>
    <xf numFmtId="0" fontId="0" fillId="4" borderId="7" xfId="0" applyFill="1" applyBorder="1" applyAlignment="1">
      <alignment horizontal="left"/>
    </xf>
    <xf numFmtId="0" fontId="0" fillId="0" borderId="9" xfId="0" applyBorder="1"/>
    <xf numFmtId="0" fontId="0" fillId="3" borderId="12" xfId="0" applyFill="1" applyBorder="1" applyAlignment="1">
      <alignment horizontal="center"/>
    </xf>
    <xf numFmtId="0" fontId="0" fillId="3" borderId="0" xfId="0" applyFill="1" applyAlignment="1">
      <alignment horizontal="center"/>
    </xf>
    <xf numFmtId="0" fontId="0" fillId="3" borderId="30" xfId="0" applyFill="1" applyBorder="1" applyAlignment="1">
      <alignment horizontal="center"/>
    </xf>
    <xf numFmtId="0" fontId="0" fillId="3" borderId="7" xfId="0" applyFill="1" applyBorder="1"/>
    <xf numFmtId="0" fontId="0" fillId="3" borderId="9" xfId="0" applyFill="1" applyBorder="1"/>
    <xf numFmtId="0" fontId="0" fillId="4" borderId="7" xfId="0" applyFill="1" applyBorder="1"/>
    <xf numFmtId="0" fontId="0" fillId="3" borderId="9" xfId="0" applyFill="1" applyBorder="1" applyAlignment="1">
      <alignment horizontal="left"/>
    </xf>
    <xf numFmtId="0" fontId="0" fillId="0" borderId="7" xfId="0" applyBorder="1"/>
    <xf numFmtId="0" fontId="0" fillId="3" borderId="13" xfId="0" applyFill="1" applyBorder="1" applyAlignment="1">
      <alignment horizontal="center"/>
    </xf>
    <xf numFmtId="0" fontId="0" fillId="3" borderId="31" xfId="0" applyFill="1" applyBorder="1" applyAlignment="1">
      <alignment horizontal="center"/>
    </xf>
    <xf numFmtId="0" fontId="0" fillId="3" borderId="6" xfId="0" applyFill="1" applyBorder="1"/>
    <xf numFmtId="0" fontId="0" fillId="3" borderId="8" xfId="0" applyFill="1" applyBorder="1"/>
    <xf numFmtId="0" fontId="0" fillId="0" borderId="32"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4" borderId="11" xfId="0" applyFill="1" applyBorder="1"/>
    <xf numFmtId="0" fontId="0" fillId="0" borderId="10" xfId="0" applyBorder="1"/>
    <xf numFmtId="0" fontId="0" fillId="0" borderId="9" xfId="0" applyBorder="1" applyAlignment="1">
      <alignment horizontal="left"/>
    </xf>
    <xf numFmtId="0" fontId="0" fillId="0" borderId="13" xfId="0" applyBorder="1" applyAlignment="1">
      <alignment horizontal="center"/>
    </xf>
    <xf numFmtId="0" fontId="0" fillId="0" borderId="6" xfId="0" applyBorder="1" applyAlignment="1">
      <alignment horizontal="center"/>
    </xf>
    <xf numFmtId="0" fontId="0" fillId="0" borderId="8" xfId="0" applyBorder="1" applyAlignment="1">
      <alignment horizontal="left"/>
    </xf>
    <xf numFmtId="0" fontId="1" fillId="3" borderId="36" xfId="0" applyFont="1" applyFill="1" applyBorder="1" applyAlignment="1">
      <alignment horizontal="center"/>
    </xf>
    <xf numFmtId="0" fontId="1" fillId="3" borderId="37" xfId="0" applyFont="1" applyFill="1" applyBorder="1" applyAlignment="1">
      <alignment horizontal="center"/>
    </xf>
    <xf numFmtId="0" fontId="1" fillId="3" borderId="38" xfId="0" applyFont="1" applyFill="1" applyBorder="1" applyAlignment="1">
      <alignment horizontal="center"/>
    </xf>
    <xf numFmtId="0" fontId="1" fillId="2" borderId="46" xfId="0" applyFont="1" applyFill="1" applyBorder="1" applyAlignment="1">
      <alignment horizontal="center"/>
    </xf>
    <xf numFmtId="0" fontId="0" fillId="0" borderId="38" xfId="0" applyBorder="1" applyAlignment="1">
      <alignment horizontal="center"/>
    </xf>
    <xf numFmtId="0" fontId="0" fillId="0" borderId="36" xfId="0" applyBorder="1" applyAlignment="1">
      <alignment horizontal="center"/>
    </xf>
    <xf numFmtId="0" fontId="0" fillId="0" borderId="37" xfId="0" applyBorder="1" applyAlignment="1">
      <alignment horizontal="center"/>
    </xf>
    <xf numFmtId="0" fontId="0" fillId="0" borderId="47" xfId="0" applyBorder="1" applyAlignment="1">
      <alignment horizontal="center"/>
    </xf>
    <xf numFmtId="0" fontId="0" fillId="3" borderId="38" xfId="0" applyFill="1" applyBorder="1" applyAlignment="1">
      <alignment horizontal="center"/>
    </xf>
    <xf numFmtId="0" fontId="0" fillId="3" borderId="36" xfId="0" applyFill="1" applyBorder="1" applyAlignment="1">
      <alignment horizontal="center"/>
    </xf>
    <xf numFmtId="0" fontId="0" fillId="3" borderId="37" xfId="0" applyFill="1" applyBorder="1" applyAlignment="1">
      <alignment horizontal="center"/>
    </xf>
    <xf numFmtId="0" fontId="0" fillId="3" borderId="47" xfId="0" applyFill="1" applyBorder="1" applyAlignment="1">
      <alignment horizontal="center"/>
    </xf>
    <xf numFmtId="0" fontId="1" fillId="2" borderId="48" xfId="0" applyFont="1" applyFill="1" applyBorder="1" applyAlignment="1">
      <alignment horizontal="center"/>
    </xf>
    <xf numFmtId="0" fontId="1" fillId="2" borderId="0" xfId="0" applyFont="1" applyFill="1" applyAlignment="1">
      <alignment horizontal="center"/>
    </xf>
    <xf numFmtId="0" fontId="0" fillId="0" borderId="0" xfId="0" applyAlignment="1">
      <alignmen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1" fillId="0" borderId="0" xfId="0" applyFont="1" applyAlignment="1">
      <alignment vertical="center"/>
    </xf>
    <xf numFmtId="2" fontId="0" fillId="0" borderId="0" xfId="0" applyNumberFormat="1" applyAlignment="1">
      <alignment vertical="center"/>
    </xf>
    <xf numFmtId="0" fontId="0" fillId="0" borderId="0" xfId="0" quotePrefix="1"/>
    <xf numFmtId="0" fontId="12" fillId="0" borderId="0" xfId="0" applyFont="1"/>
    <xf numFmtId="0" fontId="13" fillId="0" borderId="0" xfId="0" applyFont="1"/>
    <xf numFmtId="10" fontId="0" fillId="0" borderId="0" xfId="0" applyNumberFormat="1"/>
    <xf numFmtId="11" fontId="0" fillId="0" borderId="0" xfId="0" applyNumberFormat="1"/>
    <xf numFmtId="10" fontId="12" fillId="0" borderId="0" xfId="0" applyNumberFormat="1" applyFont="1"/>
    <xf numFmtId="11" fontId="12" fillId="0" borderId="0" xfId="0" applyNumberFormat="1" applyFont="1"/>
    <xf numFmtId="3" fontId="0" fillId="0" borderId="0" xfId="0" applyNumberFormat="1"/>
    <xf numFmtId="14" fontId="12" fillId="0" borderId="0" xfId="0" applyNumberFormat="1" applyFont="1"/>
    <xf numFmtId="0" fontId="14" fillId="0" borderId="53" xfId="0" applyFont="1" applyBorder="1" applyAlignment="1">
      <alignment horizontal="center"/>
    </xf>
    <xf numFmtId="0" fontId="14" fillId="0" borderId="16" xfId="0" applyFont="1" applyBorder="1" applyAlignment="1">
      <alignment horizontal="center"/>
    </xf>
    <xf numFmtId="0" fontId="14" fillId="0" borderId="16" xfId="0" applyFont="1" applyBorder="1" applyAlignment="1">
      <alignment horizontal="center" vertical="center"/>
    </xf>
    <xf numFmtId="0" fontId="4" fillId="0" borderId="54" xfId="0" applyFont="1" applyBorder="1"/>
    <xf numFmtId="0" fontId="4" fillId="0" borderId="58" xfId="0" applyFont="1" applyBorder="1" applyAlignment="1">
      <alignment horizontal="center"/>
    </xf>
    <xf numFmtId="0" fontId="4" fillId="0" borderId="36" xfId="0" applyFont="1" applyBorder="1" applyAlignment="1">
      <alignment horizontal="center"/>
    </xf>
    <xf numFmtId="14" fontId="4" fillId="0" borderId="36" xfId="0" applyNumberFormat="1" applyFont="1" applyBorder="1" applyAlignment="1">
      <alignment horizontal="center"/>
    </xf>
    <xf numFmtId="14" fontId="4" fillId="0" borderId="58" xfId="0" applyNumberFormat="1" applyFont="1" applyBorder="1" applyAlignment="1">
      <alignment horizontal="center"/>
    </xf>
    <xf numFmtId="0" fontId="4" fillId="0" borderId="33" xfId="0" applyFont="1" applyBorder="1"/>
    <xf numFmtId="0" fontId="4" fillId="0" borderId="0" xfId="0" applyFont="1" applyAlignment="1">
      <alignment horizontal="center"/>
    </xf>
    <xf numFmtId="0" fontId="1" fillId="0" borderId="53" xfId="0" applyFont="1" applyBorder="1" applyAlignment="1">
      <alignment horizontal="center"/>
    </xf>
    <xf numFmtId="0" fontId="1" fillId="0" borderId="53" xfId="0" applyFont="1" applyBorder="1" applyAlignment="1">
      <alignment horizontal="center" vertical="center"/>
    </xf>
    <xf numFmtId="0" fontId="0" fillId="0" borderId="2" xfId="0" applyBorder="1"/>
    <xf numFmtId="0" fontId="0" fillId="0" borderId="59" xfId="0" applyBorder="1" applyAlignment="1">
      <alignment horizontal="center"/>
    </xf>
    <xf numFmtId="14" fontId="0" fillId="0" borderId="59" xfId="0" applyNumberFormat="1" applyBorder="1" applyAlignment="1">
      <alignment horizontal="center"/>
    </xf>
    <xf numFmtId="0" fontId="0" fillId="0" borderId="15" xfId="0" applyBorder="1"/>
    <xf numFmtId="0" fontId="14" fillId="0" borderId="0" xfId="0" applyFont="1"/>
    <xf numFmtId="0" fontId="14" fillId="0" borderId="0" xfId="0" applyFont="1" applyAlignment="1">
      <alignment horizontal="center"/>
    </xf>
    <xf numFmtId="0" fontId="4" fillId="0" borderId="0" xfId="0" applyFont="1" applyAlignment="1">
      <alignment horizontal="center" vertical="center"/>
    </xf>
    <xf numFmtId="164" fontId="4" fillId="0" borderId="0" xfId="0" applyNumberFormat="1" applyFont="1" applyAlignment="1">
      <alignment horizontal="center" vertical="center"/>
    </xf>
    <xf numFmtId="0" fontId="14" fillId="0" borderId="61" xfId="0" applyFont="1" applyBorder="1" applyAlignment="1">
      <alignment horizontal="center"/>
    </xf>
    <xf numFmtId="0" fontId="4" fillId="0" borderId="30" xfId="0" applyFont="1" applyBorder="1"/>
    <xf numFmtId="0" fontId="4" fillId="0" borderId="30" xfId="0" applyFont="1" applyBorder="1" applyAlignment="1">
      <alignment horizontal="center"/>
    </xf>
    <xf numFmtId="0" fontId="4" fillId="0" borderId="0" xfId="0" applyFont="1" applyAlignment="1">
      <alignment wrapText="1"/>
    </xf>
    <xf numFmtId="0" fontId="15" fillId="0" borderId="0" xfId="0" applyFont="1" applyAlignment="1">
      <alignment horizontal="left"/>
    </xf>
    <xf numFmtId="0" fontId="15" fillId="0" borderId="0" xfId="0" applyFont="1" applyAlignment="1">
      <alignment horizontal="left" vertical="center"/>
    </xf>
    <xf numFmtId="0" fontId="16" fillId="0" borderId="0" xfId="0" applyFont="1" applyAlignment="1">
      <alignment horizontal="center" vertical="center"/>
    </xf>
    <xf numFmtId="0" fontId="16" fillId="0" borderId="0" xfId="0" applyFont="1" applyAlignment="1">
      <alignment horizontal="center" vertical="center" wrapText="1"/>
    </xf>
    <xf numFmtId="0" fontId="16" fillId="0" borderId="0" xfId="0" applyFont="1" applyAlignment="1">
      <alignment horizontal="center"/>
    </xf>
    <xf numFmtId="0" fontId="1" fillId="3" borderId="63" xfId="0" applyFont="1" applyFill="1" applyBorder="1" applyAlignment="1">
      <alignment horizontal="center" vertical="center"/>
    </xf>
    <xf numFmtId="0" fontId="1" fillId="3" borderId="30" xfId="0" applyFont="1" applyFill="1" applyBorder="1" applyAlignment="1">
      <alignment horizontal="center" vertical="center"/>
    </xf>
    <xf numFmtId="0" fontId="0" fillId="0" borderId="63" xfId="0" applyBorder="1" applyAlignment="1">
      <alignment horizontal="center"/>
    </xf>
    <xf numFmtId="0" fontId="0" fillId="3" borderId="63" xfId="0" applyFill="1" applyBorder="1" applyAlignment="1">
      <alignment horizontal="center"/>
    </xf>
    <xf numFmtId="0" fontId="0" fillId="3" borderId="39" xfId="0" applyFill="1" applyBorder="1"/>
    <xf numFmtId="0" fontId="0" fillId="3" borderId="39" xfId="0" applyFill="1" applyBorder="1" applyAlignment="1">
      <alignment horizontal="center"/>
    </xf>
    <xf numFmtId="0" fontId="0" fillId="3" borderId="64" xfId="0" applyFill="1" applyBorder="1" applyAlignment="1">
      <alignment horizontal="center"/>
    </xf>
    <xf numFmtId="0" fontId="0" fillId="3" borderId="58" xfId="0" applyFill="1" applyBorder="1" applyAlignment="1">
      <alignment horizontal="center"/>
    </xf>
    <xf numFmtId="0" fontId="16" fillId="0" borderId="0" xfId="0" applyFont="1"/>
    <xf numFmtId="0" fontId="17" fillId="0" borderId="0" xfId="0" applyFont="1" applyAlignment="1">
      <alignment horizontal="center"/>
    </xf>
    <xf numFmtId="0" fontId="18" fillId="0" borderId="0" xfId="0" applyFont="1" applyAlignment="1">
      <alignment horizontal="center"/>
    </xf>
    <xf numFmtId="0" fontId="0" fillId="6" borderId="0" xfId="0" applyFill="1" applyAlignment="1">
      <alignment horizontal="left"/>
    </xf>
    <xf numFmtId="0" fontId="0" fillId="7" borderId="0" xfId="0" applyFill="1" applyAlignment="1">
      <alignment horizontal="left"/>
    </xf>
    <xf numFmtId="0" fontId="0" fillId="7" borderId="7" xfId="0" applyFill="1" applyBorder="1"/>
    <xf numFmtId="0" fontId="0" fillId="6" borderId="7" xfId="0" applyFill="1" applyBorder="1"/>
    <xf numFmtId="0" fontId="0" fillId="6" borderId="39" xfId="0" applyFill="1" applyBorder="1"/>
    <xf numFmtId="0" fontId="0" fillId="7" borderId="0" xfId="0" applyFill="1"/>
    <xf numFmtId="0" fontId="0" fillId="6" borderId="0" xfId="0" applyFill="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3" borderId="7" xfId="0" applyFill="1" applyBorder="1" applyAlignment="1">
      <alignment horizontal="center" vertical="center"/>
    </xf>
    <xf numFmtId="0" fontId="0" fillId="3" borderId="12" xfId="0" applyFill="1" applyBorder="1" applyAlignment="1">
      <alignment horizontal="center" vertical="center" wrapText="1"/>
    </xf>
    <xf numFmtId="0" fontId="0" fillId="0" borderId="7" xfId="0" applyBorder="1" applyAlignment="1">
      <alignment horizontal="center" vertical="center"/>
    </xf>
    <xf numFmtId="0" fontId="0" fillId="0" borderId="12" xfId="0" applyBorder="1" applyAlignment="1">
      <alignment horizontal="center" vertical="center"/>
    </xf>
    <xf numFmtId="0" fontId="0" fillId="0" borderId="9" xfId="0" applyBorder="1" applyAlignment="1">
      <alignment horizontal="center" vertical="center" wrapText="1"/>
    </xf>
    <xf numFmtId="0" fontId="0" fillId="3" borderId="9" xfId="0" applyFill="1" applyBorder="1" applyAlignment="1">
      <alignment horizontal="center" wrapText="1"/>
    </xf>
    <xf numFmtId="0" fontId="0" fillId="3" borderId="7" xfId="0" applyFill="1" applyBorder="1" applyAlignment="1">
      <alignment horizontal="center" wrapText="1"/>
    </xf>
    <xf numFmtId="0" fontId="0" fillId="0" borderId="9" xfId="0" applyBorder="1" applyAlignment="1">
      <alignment horizontal="center" vertical="center"/>
    </xf>
    <xf numFmtId="0" fontId="0" fillId="0" borderId="7" xfId="0" applyBorder="1" applyAlignment="1">
      <alignment horizontal="center" vertical="center" wrapText="1"/>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0" borderId="0" xfId="0" applyFont="1" applyAlignment="1">
      <alignment horizontal="left"/>
    </xf>
    <xf numFmtId="0" fontId="1" fillId="2" borderId="13"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0" borderId="0" xfId="0" applyFont="1" applyAlignment="1">
      <alignment horizontal="center"/>
    </xf>
    <xf numFmtId="0" fontId="14" fillId="0" borderId="55" xfId="0" applyFont="1" applyBorder="1" applyAlignment="1">
      <alignment horizontal="center" vertical="center" textRotation="90"/>
    </xf>
    <xf numFmtId="0" fontId="14" fillId="0" borderId="56" xfId="0" applyFont="1" applyBorder="1" applyAlignment="1">
      <alignment horizontal="center" vertical="center" textRotation="90"/>
    </xf>
    <xf numFmtId="0" fontId="14" fillId="0" borderId="57" xfId="0" applyFont="1" applyBorder="1" applyAlignment="1">
      <alignment horizontal="center" vertical="center" textRotation="90"/>
    </xf>
    <xf numFmtId="0" fontId="1" fillId="0" borderId="55" xfId="0" applyFont="1" applyBorder="1" applyAlignment="1">
      <alignment horizontal="center" vertical="center" textRotation="90"/>
    </xf>
    <xf numFmtId="0" fontId="1" fillId="0" borderId="56" xfId="0" applyFont="1" applyBorder="1" applyAlignment="1">
      <alignment horizontal="center" vertical="center" textRotation="90"/>
    </xf>
    <xf numFmtId="0" fontId="1" fillId="0" borderId="60" xfId="0" applyFont="1" applyBorder="1" applyAlignment="1">
      <alignment horizontal="center" vertical="center" textRotation="90"/>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14"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62" xfId="0" applyFont="1" applyFill="1" applyBorder="1" applyAlignment="1">
      <alignment horizontal="center" vertical="center"/>
    </xf>
    <xf numFmtId="0" fontId="1" fillId="3" borderId="31"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41" xfId="0" applyFont="1" applyFill="1" applyBorder="1" applyAlignment="1">
      <alignment horizontal="center" vertical="center"/>
    </xf>
    <xf numFmtId="0" fontId="1" fillId="3" borderId="35" xfId="0" applyFont="1" applyFill="1" applyBorder="1" applyAlignment="1">
      <alignment horizontal="center" vertical="center"/>
    </xf>
    <xf numFmtId="0" fontId="0" fillId="3" borderId="25" xfId="0" applyFill="1" applyBorder="1" applyAlignment="1">
      <alignment horizontal="left"/>
    </xf>
    <xf numFmtId="0" fontId="0" fillId="3" borderId="24" xfId="0" applyFill="1" applyBorder="1" applyAlignment="1">
      <alignment horizontal="left"/>
    </xf>
    <xf numFmtId="0" fontId="0" fillId="3" borderId="23" xfId="0" applyFill="1" applyBorder="1" applyAlignment="1">
      <alignment horizontal="left"/>
    </xf>
    <xf numFmtId="0" fontId="0" fillId="3" borderId="22" xfId="0" applyFill="1" applyBorder="1" applyAlignment="1">
      <alignment horizontal="left"/>
    </xf>
    <xf numFmtId="0" fontId="0" fillId="3" borderId="21" xfId="0" applyFill="1" applyBorder="1" applyAlignment="1">
      <alignment horizontal="left"/>
    </xf>
    <xf numFmtId="0" fontId="0" fillId="3" borderId="20" xfId="0" applyFill="1" applyBorder="1" applyAlignment="1">
      <alignment horizontal="left"/>
    </xf>
    <xf numFmtId="0" fontId="0" fillId="3" borderId="19" xfId="0" applyFill="1" applyBorder="1" applyAlignment="1">
      <alignment horizontal="left"/>
    </xf>
    <xf numFmtId="0" fontId="0" fillId="3" borderId="18" xfId="0" applyFill="1" applyBorder="1" applyAlignment="1">
      <alignment horizontal="left"/>
    </xf>
    <xf numFmtId="0" fontId="0" fillId="3" borderId="17" xfId="0" applyFill="1" applyBorder="1" applyAlignment="1">
      <alignment horizontal="left"/>
    </xf>
    <xf numFmtId="0" fontId="1" fillId="3" borderId="2" xfId="0" applyFont="1" applyFill="1" applyBorder="1" applyAlignment="1">
      <alignment horizontal="center"/>
    </xf>
    <xf numFmtId="0" fontId="1" fillId="3" borderId="42" xfId="0" applyFont="1" applyFill="1" applyBorder="1" applyAlignment="1">
      <alignment horizontal="center"/>
    </xf>
    <xf numFmtId="0" fontId="1" fillId="3" borderId="29" xfId="0" applyFont="1" applyFill="1" applyBorder="1" applyAlignment="1">
      <alignment horizontal="left"/>
    </xf>
    <xf numFmtId="0" fontId="1" fillId="3" borderId="28" xfId="0" applyFont="1" applyFill="1" applyBorder="1" applyAlignment="1">
      <alignment horizontal="left"/>
    </xf>
    <xf numFmtId="0" fontId="1" fillId="3" borderId="44" xfId="0" applyFont="1" applyFill="1" applyBorder="1" applyAlignment="1">
      <alignment horizontal="center" vertical="center"/>
    </xf>
    <xf numFmtId="0" fontId="1" fillId="3" borderId="40" xfId="0" applyFont="1" applyFill="1" applyBorder="1" applyAlignment="1">
      <alignment horizontal="center" vertical="center"/>
    </xf>
    <xf numFmtId="0" fontId="1" fillId="3" borderId="43" xfId="0" applyFont="1" applyFill="1" applyBorder="1" applyAlignment="1">
      <alignment horizontal="center" vertical="center"/>
    </xf>
    <xf numFmtId="0" fontId="1" fillId="3" borderId="39" xfId="0" applyFont="1" applyFill="1" applyBorder="1" applyAlignment="1">
      <alignment horizontal="center" vertical="center"/>
    </xf>
    <xf numFmtId="0" fontId="1" fillId="2" borderId="45" xfId="0" applyFont="1" applyFill="1" applyBorder="1" applyAlignment="1">
      <alignment horizontal="center"/>
    </xf>
    <xf numFmtId="0" fontId="1" fillId="2" borderId="42" xfId="0" applyFont="1" applyFill="1" applyBorder="1" applyAlignment="1">
      <alignment horizontal="center"/>
    </xf>
    <xf numFmtId="0" fontId="0" fillId="0" borderId="38" xfId="0" applyBorder="1" applyAlignment="1">
      <alignment horizontal="center"/>
    </xf>
    <xf numFmtId="0" fontId="0" fillId="0" borderId="36" xfId="0" applyBorder="1" applyAlignment="1">
      <alignment horizontal="center"/>
    </xf>
    <xf numFmtId="0" fontId="0" fillId="0" borderId="37" xfId="0"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0" fillId="0" borderId="50" xfId="0" applyBorder="1" applyAlignment="1">
      <alignment horizontal="center"/>
    </xf>
    <xf numFmtId="0" fontId="0" fillId="0" borderId="51" xfId="0" applyBorder="1" applyAlignment="1">
      <alignment horizontal="center"/>
    </xf>
    <xf numFmtId="0" fontId="0" fillId="0" borderId="52" xfId="0" applyBorder="1" applyAlignment="1">
      <alignment horizontal="center"/>
    </xf>
    <xf numFmtId="0" fontId="1" fillId="2" borderId="0" xfId="0" applyFont="1" applyFill="1" applyAlignment="1">
      <alignment horizontal="center"/>
    </xf>
    <xf numFmtId="0" fontId="0" fillId="0" borderId="0" xfId="0" applyAlignment="1">
      <alignment horizontal="center"/>
    </xf>
    <xf numFmtId="0" fontId="8" fillId="5" borderId="38" xfId="0" applyFont="1" applyFill="1" applyBorder="1" applyAlignment="1">
      <alignment horizontal="center"/>
    </xf>
    <xf numFmtId="0" fontId="8" fillId="5" borderId="37" xfId="0" applyFont="1" applyFill="1" applyBorder="1" applyAlignment="1">
      <alignment horizontal="center"/>
    </xf>
    <xf numFmtId="0" fontId="8" fillId="5" borderId="36" xfId="0" applyFont="1" applyFill="1" applyBorder="1" applyAlignment="1">
      <alignment horizontal="center"/>
    </xf>
    <xf numFmtId="0" fontId="19" fillId="0" borderId="0" xfId="0" applyFont="1"/>
    <xf numFmtId="0" fontId="20" fillId="0" borderId="0" xfId="0" applyFont="1"/>
    <xf numFmtId="2" fontId="20" fillId="0" borderId="0" xfId="0" applyNumberFormat="1" applyFont="1"/>
    <xf numFmtId="0" fontId="21" fillId="0" borderId="0" xfId="0" applyFont="1"/>
    <xf numFmtId="2" fontId="19" fillId="0" borderId="0" xfId="0" applyNumberFormat="1" applyFont="1"/>
  </cellXfs>
  <cellStyles count="1">
    <cellStyle name="Normal" xfId="0" builtinId="0"/>
  </cellStyles>
  <dxfs count="15">
    <dxf>
      <alignment horizontal="general" vertical="center" textRotation="0" wrapText="0" indent="0" justifyLastLine="0" shrinkToFit="0" readingOrder="0"/>
    </dxf>
    <dxf>
      <alignment horizontal="general" vertical="center" textRotation="0" wrapText="0" indent="0" justifyLastLine="0" shrinkToFit="0" readingOrder="0"/>
    </dxf>
    <dxf>
      <font>
        <b/>
      </font>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3"/>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font>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3"/>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font>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3"/>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AF3A50-2267-4442-85E0-182ADC39AAFB}" name="Tableau1" displayName="Tableau1" ref="C9:E12" totalsRowShown="0" headerRowDxfId="14" dataDxfId="13">
  <autoFilter ref="C9:E12" xr:uid="{BAAF3A50-2267-4442-85E0-182ADC39AAFB}"/>
  <tableColumns count="3">
    <tableColumn id="1" xr3:uid="{9D574498-ECE9-8E44-A24A-F83B39AF1DA1}" name="Value" dataDxfId="12"/>
    <tableColumn id="2" xr3:uid="{3E971C57-7FD0-C54E-8AD1-8B9313812AEF}" name="Temp BASE10 °C" dataDxfId="11"/>
    <tableColumn id="3" xr3:uid="{F614D64D-3CE1-9A4E-89A3-10A7B6EA9D43}" name="Day" dataDxfId="1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D984AF-9859-1842-B550-D7B35C4FCDBC}" name="Tableau13" displayName="Tableau13" ref="G9:I12" totalsRowShown="0" headerRowDxfId="9" dataDxfId="8">
  <autoFilter ref="G9:I12" xr:uid="{1FD984AF-9859-1842-B550-D7B35C4FCDBC}"/>
  <tableColumns count="3">
    <tableColumn id="1" xr3:uid="{67CC486A-6A3B-874A-909C-7E094096E59C}" name="Value" dataDxfId="7"/>
    <tableColumn id="2" xr3:uid="{89423C7F-4FD5-1041-86C6-A3383E7E5387}" name="Temp °C" dataDxfId="6"/>
    <tableColumn id="3" xr3:uid="{81EBCCD3-A1E6-AD46-AE8E-7E9E021C85E4}" name="Day" dataDxfId="5"/>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B0FD21-3080-554C-BC1F-6F60AF7C8A22}" name="Tableau15" displayName="Tableau15" ref="K9:M12" totalsRowShown="0" headerRowDxfId="4" dataDxfId="3">
  <autoFilter ref="K9:M12" xr:uid="{E8B0FD21-3080-554C-BC1F-6F60AF7C8A22}"/>
  <tableColumns count="3">
    <tableColumn id="1" xr3:uid="{0F3BCD1C-EEEC-E347-838E-018D73B3FF1F}" name="Value" dataDxfId="2"/>
    <tableColumn id="2" xr3:uid="{CE38F551-6981-BD4D-80FC-F86F106ED985}" name="Temp °C" dataDxfId="1"/>
    <tableColumn id="3" xr3:uid="{28DFF821-7EA9-3D40-8470-5B7D303F0142}" name="Day"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F2ED7-C5D8-DE48-AD7F-2E5719B7A539}">
  <dimension ref="D4:G31"/>
  <sheetViews>
    <sheetView zoomScale="84" zoomScaleNormal="84" workbookViewId="0">
      <selection activeCell="D4" sqref="D4:G4"/>
    </sheetView>
  </sheetViews>
  <sheetFormatPr baseColWidth="10" defaultRowHeight="16" x14ac:dyDescent="0.2"/>
  <cols>
    <col min="3" max="3" width="1.6640625" customWidth="1"/>
    <col min="4" max="4" width="28.5" customWidth="1"/>
    <col min="5" max="5" width="53.1640625" customWidth="1"/>
    <col min="6" max="6" width="48.1640625" customWidth="1"/>
    <col min="7" max="7" width="26.33203125" customWidth="1"/>
  </cols>
  <sheetData>
    <row r="4" spans="4:7" x14ac:dyDescent="0.2">
      <c r="D4" s="147" t="s">
        <v>991</v>
      </c>
      <c r="E4" s="147"/>
      <c r="F4" s="147"/>
      <c r="G4" s="147"/>
    </row>
    <row r="5" spans="4:7" ht="17" thickBot="1" x14ac:dyDescent="0.25"/>
    <row r="6" spans="4:7" x14ac:dyDescent="0.2">
      <c r="D6" s="129">
        <v>2021</v>
      </c>
      <c r="E6" s="130"/>
      <c r="F6" s="130"/>
      <c r="G6" s="131"/>
    </row>
    <row r="7" spans="4:7" ht="16" customHeight="1" x14ac:dyDescent="0.2">
      <c r="D7" s="143" t="s">
        <v>0</v>
      </c>
      <c r="E7" s="145" t="s">
        <v>900</v>
      </c>
      <c r="F7" s="145" t="s">
        <v>2</v>
      </c>
      <c r="G7" s="148" t="s">
        <v>7</v>
      </c>
    </row>
    <row r="8" spans="4:7" x14ac:dyDescent="0.2">
      <c r="D8" s="144"/>
      <c r="E8" s="146"/>
      <c r="F8" s="146"/>
      <c r="G8" s="149"/>
    </row>
    <row r="9" spans="4:7" ht="16" customHeight="1" x14ac:dyDescent="0.2">
      <c r="D9" s="136" t="s">
        <v>1</v>
      </c>
      <c r="E9" s="6" t="s">
        <v>31</v>
      </c>
      <c r="F9" s="6" t="s">
        <v>28</v>
      </c>
      <c r="G9" s="3" t="s">
        <v>15</v>
      </c>
    </row>
    <row r="10" spans="4:7" x14ac:dyDescent="0.2">
      <c r="D10" s="136"/>
      <c r="E10" s="6" t="s">
        <v>35</v>
      </c>
      <c r="F10" s="6" t="s">
        <v>27</v>
      </c>
      <c r="G10" s="3" t="s">
        <v>29</v>
      </c>
    </row>
    <row r="11" spans="4:7" x14ac:dyDescent="0.2">
      <c r="D11" s="136"/>
      <c r="E11" s="6" t="s">
        <v>38</v>
      </c>
      <c r="F11" s="6" t="s">
        <v>24</v>
      </c>
      <c r="G11" s="3" t="s">
        <v>15</v>
      </c>
    </row>
    <row r="12" spans="4:7" ht="16" customHeight="1" x14ac:dyDescent="0.2">
      <c r="D12" s="137" t="s">
        <v>3</v>
      </c>
      <c r="E12" s="138" t="s">
        <v>42</v>
      </c>
      <c r="F12" s="132" t="s">
        <v>23</v>
      </c>
      <c r="G12" s="133" t="s">
        <v>11</v>
      </c>
    </row>
    <row r="13" spans="4:7" x14ac:dyDescent="0.2">
      <c r="D13" s="137"/>
      <c r="E13" s="138"/>
      <c r="F13" s="132"/>
      <c r="G13" s="133"/>
    </row>
    <row r="14" spans="4:7" ht="16" customHeight="1" x14ac:dyDescent="0.2">
      <c r="D14" s="139" t="s">
        <v>4</v>
      </c>
      <c r="E14" s="140" t="s">
        <v>47</v>
      </c>
      <c r="F14" s="134" t="s">
        <v>21</v>
      </c>
      <c r="G14" s="135" t="s">
        <v>22</v>
      </c>
    </row>
    <row r="15" spans="4:7" ht="11" customHeight="1" x14ac:dyDescent="0.2">
      <c r="D15" s="139"/>
      <c r="E15" s="140"/>
      <c r="F15" s="134"/>
      <c r="G15" s="135"/>
    </row>
    <row r="16" spans="4:7" ht="17" customHeight="1" x14ac:dyDescent="0.2">
      <c r="D16" s="141" t="s">
        <v>5</v>
      </c>
      <c r="E16" s="7" t="s">
        <v>51</v>
      </c>
      <c r="F16" s="7" t="s">
        <v>19</v>
      </c>
      <c r="G16" s="4" t="s">
        <v>20</v>
      </c>
    </row>
    <row r="17" spans="4:7" ht="16" customHeight="1" thickBot="1" x14ac:dyDescent="0.25">
      <c r="D17" s="142"/>
      <c r="E17" s="8" t="s">
        <v>55</v>
      </c>
      <c r="F17" s="8" t="s">
        <v>18</v>
      </c>
      <c r="G17" s="5" t="s">
        <v>13</v>
      </c>
    </row>
    <row r="18" spans="4:7" x14ac:dyDescent="0.2">
      <c r="D18" s="9"/>
      <c r="E18" s="9"/>
      <c r="F18" s="9"/>
      <c r="G18" s="9"/>
    </row>
    <row r="19" spans="4:7" ht="17" thickBot="1" x14ac:dyDescent="0.25">
      <c r="D19" s="9"/>
      <c r="E19" s="9"/>
      <c r="F19" s="9"/>
      <c r="G19" s="9"/>
    </row>
    <row r="20" spans="4:7" x14ac:dyDescent="0.2">
      <c r="D20" s="129">
        <v>2022</v>
      </c>
      <c r="E20" s="130"/>
      <c r="F20" s="130"/>
      <c r="G20" s="131"/>
    </row>
    <row r="21" spans="4:7" ht="16" customHeight="1" x14ac:dyDescent="0.2">
      <c r="D21" s="143" t="s">
        <v>0</v>
      </c>
      <c r="E21" s="145" t="s">
        <v>6</v>
      </c>
      <c r="F21" s="145" t="s">
        <v>2</v>
      </c>
      <c r="G21" s="148" t="s">
        <v>7</v>
      </c>
    </row>
    <row r="22" spans="4:7" x14ac:dyDescent="0.2">
      <c r="D22" s="144"/>
      <c r="E22" s="146"/>
      <c r="F22" s="146"/>
      <c r="G22" s="149"/>
    </row>
    <row r="23" spans="4:7" ht="16" customHeight="1" x14ac:dyDescent="0.2">
      <c r="D23" s="136" t="s">
        <v>1</v>
      </c>
      <c r="E23" s="6" t="s">
        <v>31</v>
      </c>
      <c r="F23" s="6" t="s">
        <v>25</v>
      </c>
      <c r="G23" s="3" t="s">
        <v>13</v>
      </c>
    </row>
    <row r="24" spans="4:7" x14ac:dyDescent="0.2">
      <c r="D24" s="136"/>
      <c r="E24" s="6" t="s">
        <v>35</v>
      </c>
      <c r="F24" s="6" t="s">
        <v>26</v>
      </c>
      <c r="G24" s="3" t="s">
        <v>986</v>
      </c>
    </row>
    <row r="25" spans="4:7" x14ac:dyDescent="0.2">
      <c r="D25" s="136"/>
      <c r="E25" s="6" t="s">
        <v>38</v>
      </c>
      <c r="F25" s="6" t="s">
        <v>8</v>
      </c>
      <c r="G25" s="3" t="s">
        <v>9</v>
      </c>
    </row>
    <row r="26" spans="4:7" ht="16" customHeight="1" x14ac:dyDescent="0.2">
      <c r="D26" s="137" t="s">
        <v>3</v>
      </c>
      <c r="E26" s="138" t="s">
        <v>42</v>
      </c>
      <c r="F26" s="132" t="s">
        <v>10</v>
      </c>
      <c r="G26" s="133" t="s">
        <v>11</v>
      </c>
    </row>
    <row r="27" spans="4:7" x14ac:dyDescent="0.2">
      <c r="D27" s="137"/>
      <c r="E27" s="138"/>
      <c r="F27" s="132"/>
      <c r="G27" s="133"/>
    </row>
    <row r="28" spans="4:7" ht="16" customHeight="1" x14ac:dyDescent="0.2">
      <c r="D28" s="139" t="s">
        <v>4</v>
      </c>
      <c r="E28" s="140" t="s">
        <v>47</v>
      </c>
      <c r="F28" s="134" t="s">
        <v>12</v>
      </c>
      <c r="G28" s="135" t="s">
        <v>13</v>
      </c>
    </row>
    <row r="29" spans="4:7" ht="11" customHeight="1" x14ac:dyDescent="0.2">
      <c r="D29" s="139"/>
      <c r="E29" s="140"/>
      <c r="F29" s="134"/>
      <c r="G29" s="135"/>
    </row>
    <row r="30" spans="4:7" x14ac:dyDescent="0.2">
      <c r="D30" s="141" t="s">
        <v>5</v>
      </c>
      <c r="E30" s="7" t="s">
        <v>51</v>
      </c>
      <c r="F30" s="7" t="s">
        <v>14</v>
      </c>
      <c r="G30" s="4" t="s">
        <v>15</v>
      </c>
    </row>
    <row r="31" spans="4:7" ht="17" thickBot="1" x14ac:dyDescent="0.25">
      <c r="D31" s="142"/>
      <c r="E31" s="8" t="s">
        <v>55</v>
      </c>
      <c r="F31" s="8" t="s">
        <v>16</v>
      </c>
      <c r="G31" s="5" t="s">
        <v>17</v>
      </c>
    </row>
  </sheetData>
  <mergeCells count="31">
    <mergeCell ref="D4:G4"/>
    <mergeCell ref="D20:G20"/>
    <mergeCell ref="G28:G29"/>
    <mergeCell ref="F28:F29"/>
    <mergeCell ref="E28:E29"/>
    <mergeCell ref="D28:D29"/>
    <mergeCell ref="G26:G27"/>
    <mergeCell ref="F26:F27"/>
    <mergeCell ref="E26:E27"/>
    <mergeCell ref="D26:D27"/>
    <mergeCell ref="D23:D25"/>
    <mergeCell ref="G21:G22"/>
    <mergeCell ref="F21:F22"/>
    <mergeCell ref="E21:E22"/>
    <mergeCell ref="D21:D22"/>
    <mergeCell ref="G7:G8"/>
    <mergeCell ref="D30:D31"/>
    <mergeCell ref="D16:D17"/>
    <mergeCell ref="D7:D8"/>
    <mergeCell ref="E7:E8"/>
    <mergeCell ref="F7:F8"/>
    <mergeCell ref="D6:G6"/>
    <mergeCell ref="F12:F13"/>
    <mergeCell ref="G12:G13"/>
    <mergeCell ref="F14:F15"/>
    <mergeCell ref="G14:G15"/>
    <mergeCell ref="D9:D11"/>
    <mergeCell ref="D12:D13"/>
    <mergeCell ref="E12:E13"/>
    <mergeCell ref="D14:D15"/>
    <mergeCell ref="E14:E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C4FFB-F3D6-2644-B408-7A974252ABE6}">
  <dimension ref="D3:M37"/>
  <sheetViews>
    <sheetView topLeftCell="B1" workbookViewId="0">
      <selection activeCell="E7" sqref="E7"/>
    </sheetView>
  </sheetViews>
  <sheetFormatPr baseColWidth="10" defaultRowHeight="16" x14ac:dyDescent="0.2"/>
  <cols>
    <col min="3" max="3" width="3.83203125" customWidth="1"/>
    <col min="4" max="4" width="5.83203125" hidden="1" customWidth="1"/>
    <col min="5" max="5" width="22.6640625" customWidth="1"/>
    <col min="6" max="6" width="30.33203125" customWidth="1"/>
    <col min="7" max="7" width="26.5" customWidth="1"/>
    <col min="9" max="9" width="28.83203125" customWidth="1"/>
    <col min="10" max="10" width="32.83203125" customWidth="1"/>
    <col min="11" max="11" width="26.5" customWidth="1"/>
    <col min="12" max="12" width="21" customWidth="1"/>
    <col min="13" max="13" width="22.83203125" customWidth="1"/>
  </cols>
  <sheetData>
    <row r="3" spans="5:13" ht="21" x14ac:dyDescent="0.25">
      <c r="E3" s="10" t="s">
        <v>992</v>
      </c>
      <c r="L3" s="1"/>
      <c r="M3" s="1"/>
    </row>
    <row r="4" spans="5:13" x14ac:dyDescent="0.2">
      <c r="E4" s="11"/>
      <c r="L4" s="1"/>
      <c r="M4" s="1"/>
    </row>
    <row r="5" spans="5:13" x14ac:dyDescent="0.2">
      <c r="E5" s="12"/>
      <c r="L5" s="1"/>
      <c r="M5" s="1"/>
    </row>
    <row r="6" spans="5:13" ht="34" x14ac:dyDescent="0.2">
      <c r="F6" s="13" t="s">
        <v>0</v>
      </c>
      <c r="G6" s="13" t="s">
        <v>30</v>
      </c>
      <c r="H6" s="13" t="s">
        <v>90</v>
      </c>
      <c r="I6" s="13" t="s">
        <v>894</v>
      </c>
      <c r="J6" s="13" t="s">
        <v>893</v>
      </c>
      <c r="K6" s="13" t="s">
        <v>892</v>
      </c>
      <c r="L6" s="13" t="s">
        <v>891</v>
      </c>
      <c r="M6" s="14" t="s">
        <v>895</v>
      </c>
    </row>
    <row r="7" spans="5:13" x14ac:dyDescent="0.2">
      <c r="F7" t="s">
        <v>1</v>
      </c>
      <c r="G7" s="1" t="s">
        <v>31</v>
      </c>
      <c r="H7" s="1">
        <v>2021</v>
      </c>
      <c r="I7" t="s">
        <v>32</v>
      </c>
      <c r="J7" t="s">
        <v>33</v>
      </c>
      <c r="K7" t="s">
        <v>34</v>
      </c>
      <c r="L7" s="1">
        <v>7057567</v>
      </c>
      <c r="M7" s="1">
        <v>6.3</v>
      </c>
    </row>
    <row r="8" spans="5:13" x14ac:dyDescent="0.2">
      <c r="F8" t="s">
        <v>1</v>
      </c>
      <c r="G8" s="1" t="s">
        <v>35</v>
      </c>
      <c r="H8" s="1">
        <v>2021</v>
      </c>
      <c r="I8" t="s">
        <v>36</v>
      </c>
      <c r="J8" t="s">
        <v>37</v>
      </c>
      <c r="K8" t="s">
        <v>34</v>
      </c>
      <c r="L8" s="1">
        <v>7057567</v>
      </c>
      <c r="M8" s="1">
        <v>8.1999999999999993</v>
      </c>
    </row>
    <row r="9" spans="5:13" x14ac:dyDescent="0.2">
      <c r="F9" t="s">
        <v>1</v>
      </c>
      <c r="G9" s="1" t="s">
        <v>38</v>
      </c>
      <c r="H9" s="1">
        <v>2021</v>
      </c>
      <c r="I9" t="s">
        <v>39</v>
      </c>
      <c r="J9" t="s">
        <v>40</v>
      </c>
      <c r="K9" t="s">
        <v>41</v>
      </c>
      <c r="L9" s="1">
        <v>7024254</v>
      </c>
      <c r="M9" s="1">
        <v>4.2</v>
      </c>
    </row>
    <row r="10" spans="5:13" x14ac:dyDescent="0.2">
      <c r="F10" t="s">
        <v>3</v>
      </c>
      <c r="G10" s="1" t="s">
        <v>42</v>
      </c>
      <c r="H10" s="1">
        <v>2021</v>
      </c>
      <c r="I10" t="s">
        <v>43</v>
      </c>
      <c r="J10" t="s">
        <v>44</v>
      </c>
      <c r="K10" t="s">
        <v>45</v>
      </c>
      <c r="L10" s="1" t="s">
        <v>46</v>
      </c>
      <c r="M10" s="1">
        <v>9.48</v>
      </c>
    </row>
    <row r="11" spans="5:13" x14ac:dyDescent="0.2">
      <c r="F11" t="s">
        <v>4</v>
      </c>
      <c r="G11" s="1" t="s">
        <v>47</v>
      </c>
      <c r="H11" s="1">
        <v>2021</v>
      </c>
      <c r="I11" t="s">
        <v>48</v>
      </c>
      <c r="J11" t="s">
        <v>49</v>
      </c>
      <c r="K11" t="s">
        <v>50</v>
      </c>
      <c r="L11" s="1">
        <v>7018561</v>
      </c>
      <c r="M11" s="1">
        <v>6.1</v>
      </c>
    </row>
    <row r="12" spans="5:13" x14ac:dyDescent="0.2">
      <c r="F12" t="s">
        <v>5</v>
      </c>
      <c r="G12" s="1" t="s">
        <v>51</v>
      </c>
      <c r="H12" s="1">
        <v>2021</v>
      </c>
      <c r="I12" t="s">
        <v>52</v>
      </c>
      <c r="J12" t="s">
        <v>53</v>
      </c>
      <c r="K12" t="s">
        <v>54</v>
      </c>
      <c r="L12" s="1">
        <v>7022800</v>
      </c>
      <c r="M12" s="1">
        <v>11.84</v>
      </c>
    </row>
    <row r="13" spans="5:13" x14ac:dyDescent="0.2">
      <c r="F13" t="s">
        <v>5</v>
      </c>
      <c r="G13" s="1" t="s">
        <v>55</v>
      </c>
      <c r="H13" s="1">
        <v>2021</v>
      </c>
      <c r="I13" t="s">
        <v>56</v>
      </c>
      <c r="J13" t="s">
        <v>57</v>
      </c>
      <c r="K13" t="s">
        <v>58</v>
      </c>
      <c r="L13" s="1">
        <v>7027361</v>
      </c>
      <c r="M13" s="1">
        <v>7.33</v>
      </c>
    </row>
    <row r="14" spans="5:13" x14ac:dyDescent="0.2">
      <c r="F14" t="s">
        <v>1</v>
      </c>
      <c r="G14" s="1" t="s">
        <v>31</v>
      </c>
      <c r="H14" s="1">
        <v>2022</v>
      </c>
      <c r="I14" t="s">
        <v>59</v>
      </c>
      <c r="J14" t="s">
        <v>60</v>
      </c>
      <c r="K14" t="s">
        <v>34</v>
      </c>
      <c r="L14" s="1">
        <v>7057567</v>
      </c>
      <c r="M14" s="1">
        <v>6.3</v>
      </c>
    </row>
    <row r="15" spans="5:13" x14ac:dyDescent="0.2">
      <c r="F15" t="s">
        <v>1</v>
      </c>
      <c r="G15" s="1" t="s">
        <v>35</v>
      </c>
      <c r="H15" s="1">
        <v>2022</v>
      </c>
      <c r="I15" t="s">
        <v>61</v>
      </c>
      <c r="J15" t="s">
        <v>62</v>
      </c>
      <c r="K15" t="s">
        <v>34</v>
      </c>
      <c r="L15" s="1">
        <v>7057567</v>
      </c>
      <c r="M15" s="1">
        <v>6.6</v>
      </c>
    </row>
    <row r="16" spans="5:13" x14ac:dyDescent="0.2">
      <c r="F16" t="s">
        <v>1</v>
      </c>
      <c r="G16" s="1" t="s">
        <v>38</v>
      </c>
      <c r="H16" s="1">
        <v>2022</v>
      </c>
      <c r="I16" t="s">
        <v>63</v>
      </c>
      <c r="J16" t="s">
        <v>64</v>
      </c>
      <c r="K16" t="s">
        <v>41</v>
      </c>
      <c r="L16" s="1">
        <v>7024254</v>
      </c>
      <c r="M16" s="1">
        <v>4.95</v>
      </c>
    </row>
    <row r="17" spans="5:13" x14ac:dyDescent="0.2">
      <c r="F17" t="s">
        <v>3</v>
      </c>
      <c r="G17" s="1" t="s">
        <v>42</v>
      </c>
      <c r="H17" s="1">
        <v>2022</v>
      </c>
      <c r="I17" t="s">
        <v>65</v>
      </c>
      <c r="J17" t="s">
        <v>66</v>
      </c>
      <c r="K17" t="s">
        <v>67</v>
      </c>
      <c r="L17" s="1" t="s">
        <v>46</v>
      </c>
      <c r="M17" s="1">
        <v>9.3000000000000007</v>
      </c>
    </row>
    <row r="18" spans="5:13" x14ac:dyDescent="0.2">
      <c r="F18" t="s">
        <v>4</v>
      </c>
      <c r="G18" s="1" t="s">
        <v>47</v>
      </c>
      <c r="H18" s="1">
        <v>2022</v>
      </c>
      <c r="I18" t="s">
        <v>48</v>
      </c>
      <c r="J18" t="s">
        <v>68</v>
      </c>
      <c r="K18" t="s">
        <v>50</v>
      </c>
      <c r="L18" s="1">
        <v>7018561</v>
      </c>
      <c r="M18" s="1">
        <v>6.23</v>
      </c>
    </row>
    <row r="19" spans="5:13" x14ac:dyDescent="0.2">
      <c r="F19" t="s">
        <v>5</v>
      </c>
      <c r="G19" s="1" t="s">
        <v>51</v>
      </c>
      <c r="H19" s="1">
        <v>2022</v>
      </c>
      <c r="I19" t="s">
        <v>69</v>
      </c>
      <c r="J19" t="s">
        <v>70</v>
      </c>
      <c r="K19" t="s">
        <v>54</v>
      </c>
      <c r="L19" s="1">
        <v>7022800</v>
      </c>
      <c r="M19" s="1">
        <v>8.7100000000000009</v>
      </c>
    </row>
    <row r="20" spans="5:13" x14ac:dyDescent="0.2">
      <c r="F20" t="s">
        <v>5</v>
      </c>
      <c r="G20" s="1" t="s">
        <v>55</v>
      </c>
      <c r="H20" s="1">
        <v>2022</v>
      </c>
      <c r="I20" t="s">
        <v>71</v>
      </c>
      <c r="J20" t="s">
        <v>72</v>
      </c>
      <c r="K20" t="s">
        <v>58</v>
      </c>
      <c r="L20" s="1">
        <v>7027361</v>
      </c>
      <c r="M20" s="1">
        <v>7.32</v>
      </c>
    </row>
    <row r="21" spans="5:13" x14ac:dyDescent="0.2">
      <c r="L21" s="1"/>
      <c r="M21" s="1"/>
    </row>
    <row r="22" spans="5:13" x14ac:dyDescent="0.2">
      <c r="L22" s="1"/>
      <c r="M22" s="1"/>
    </row>
    <row r="23" spans="5:13" x14ac:dyDescent="0.2">
      <c r="E23" s="11" t="s">
        <v>73</v>
      </c>
      <c r="L23" s="1"/>
      <c r="M23" s="1"/>
    </row>
    <row r="26" spans="5:13" ht="21" x14ac:dyDescent="0.25">
      <c r="E26" s="10" t="s">
        <v>74</v>
      </c>
    </row>
    <row r="29" spans="5:13" x14ac:dyDescent="0.2">
      <c r="E29" s="15" t="s">
        <v>30</v>
      </c>
      <c r="F29" s="15" t="s">
        <v>896</v>
      </c>
      <c r="G29" s="15" t="s">
        <v>897</v>
      </c>
      <c r="H29" s="15" t="s">
        <v>898</v>
      </c>
      <c r="I29" s="15" t="s">
        <v>75</v>
      </c>
      <c r="J29" s="15"/>
      <c r="K29" s="15"/>
      <c r="L29" s="15"/>
    </row>
    <row r="30" spans="5:13" x14ac:dyDescent="0.2">
      <c r="E30" t="s">
        <v>76</v>
      </c>
      <c r="F30" t="s">
        <v>77</v>
      </c>
      <c r="G30" t="s">
        <v>78</v>
      </c>
      <c r="H30" s="1">
        <v>7022579</v>
      </c>
      <c r="I30" s="1">
        <v>7.4</v>
      </c>
    </row>
    <row r="31" spans="5:13" x14ac:dyDescent="0.2">
      <c r="E31" t="s">
        <v>76</v>
      </c>
      <c r="F31" t="s">
        <v>79</v>
      </c>
      <c r="G31" t="s">
        <v>78</v>
      </c>
      <c r="H31" s="1">
        <v>7022579</v>
      </c>
      <c r="I31" s="1">
        <v>3.7</v>
      </c>
    </row>
    <row r="32" spans="5:13" x14ac:dyDescent="0.2">
      <c r="E32" t="s">
        <v>80</v>
      </c>
      <c r="F32" t="s">
        <v>81</v>
      </c>
      <c r="G32" t="s">
        <v>78</v>
      </c>
      <c r="H32" s="1">
        <v>7022579</v>
      </c>
      <c r="I32" s="1">
        <v>7.5</v>
      </c>
    </row>
    <row r="33" spans="5:9" x14ac:dyDescent="0.2">
      <c r="E33" t="s">
        <v>82</v>
      </c>
      <c r="F33" t="s">
        <v>83</v>
      </c>
      <c r="G33" t="s">
        <v>84</v>
      </c>
      <c r="H33" s="1">
        <v>7026916</v>
      </c>
      <c r="I33" s="1">
        <v>15.3</v>
      </c>
    </row>
    <row r="34" spans="5:9" x14ac:dyDescent="0.2">
      <c r="E34" t="s">
        <v>85</v>
      </c>
      <c r="F34" t="s">
        <v>86</v>
      </c>
      <c r="G34" t="s">
        <v>87</v>
      </c>
      <c r="H34" s="1">
        <v>7027039</v>
      </c>
      <c r="I34" s="1">
        <v>4.3</v>
      </c>
    </row>
    <row r="37" spans="5:9" x14ac:dyDescent="0.2">
      <c r="E37"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00F5C-6981-0A4F-B744-B3C3869744A2}">
  <dimension ref="A1:C18"/>
  <sheetViews>
    <sheetView zoomScale="204" zoomScaleNormal="204" workbookViewId="0">
      <selection activeCell="A5" sqref="A5"/>
    </sheetView>
  </sheetViews>
  <sheetFormatPr baseColWidth="10" defaultRowHeight="16" x14ac:dyDescent="0.2"/>
  <cols>
    <col min="1" max="1" width="26" customWidth="1"/>
    <col min="3" max="3" width="21.1640625" customWidth="1"/>
  </cols>
  <sheetData>
    <row r="1" spans="1:3" x14ac:dyDescent="0.2">
      <c r="A1" s="15" t="s">
        <v>993</v>
      </c>
    </row>
    <row r="3" spans="1:3" x14ac:dyDescent="0.2">
      <c r="A3" s="15" t="s">
        <v>89</v>
      </c>
      <c r="B3" s="15" t="s">
        <v>90</v>
      </c>
      <c r="C3" s="15" t="s">
        <v>106</v>
      </c>
    </row>
    <row r="4" spans="1:3" x14ac:dyDescent="0.2">
      <c r="A4" t="s">
        <v>91</v>
      </c>
      <c r="B4">
        <v>2022</v>
      </c>
      <c r="C4" t="s">
        <v>1</v>
      </c>
    </row>
    <row r="5" spans="1:3" x14ac:dyDescent="0.2">
      <c r="A5" t="s">
        <v>92</v>
      </c>
      <c r="B5">
        <v>2022</v>
      </c>
      <c r="C5" t="s">
        <v>1</v>
      </c>
    </row>
    <row r="6" spans="1:3" x14ac:dyDescent="0.2">
      <c r="A6" t="s">
        <v>93</v>
      </c>
      <c r="B6">
        <v>2022</v>
      </c>
      <c r="C6" t="s">
        <v>1</v>
      </c>
    </row>
    <row r="7" spans="1:3" x14ac:dyDescent="0.2">
      <c r="A7" t="s">
        <v>94</v>
      </c>
      <c r="B7">
        <v>2022</v>
      </c>
      <c r="C7" t="s">
        <v>1</v>
      </c>
    </row>
    <row r="8" spans="1:3" x14ac:dyDescent="0.2">
      <c r="A8" t="s">
        <v>95</v>
      </c>
      <c r="B8">
        <v>2022</v>
      </c>
      <c r="C8" t="s">
        <v>1</v>
      </c>
    </row>
    <row r="9" spans="1:3" x14ac:dyDescent="0.2">
      <c r="A9" t="s">
        <v>96</v>
      </c>
      <c r="B9">
        <v>2022</v>
      </c>
      <c r="C9" t="s">
        <v>1</v>
      </c>
    </row>
    <row r="10" spans="1:3" x14ac:dyDescent="0.2">
      <c r="A10" t="s">
        <v>97</v>
      </c>
      <c r="B10">
        <v>2022</v>
      </c>
      <c r="C10" t="s">
        <v>1</v>
      </c>
    </row>
    <row r="11" spans="1:3" x14ac:dyDescent="0.2">
      <c r="A11" t="s">
        <v>98</v>
      </c>
      <c r="B11">
        <v>2022</v>
      </c>
      <c r="C11" t="s">
        <v>1</v>
      </c>
    </row>
    <row r="12" spans="1:3" x14ac:dyDescent="0.2">
      <c r="A12" t="s">
        <v>99</v>
      </c>
      <c r="B12">
        <v>2022</v>
      </c>
      <c r="C12" t="s">
        <v>1</v>
      </c>
    </row>
    <row r="13" spans="1:3" x14ac:dyDescent="0.2">
      <c r="A13" t="s">
        <v>100</v>
      </c>
      <c r="B13">
        <v>2022</v>
      </c>
      <c r="C13" t="s">
        <v>1</v>
      </c>
    </row>
    <row r="14" spans="1:3" x14ac:dyDescent="0.2">
      <c r="A14" t="s">
        <v>101</v>
      </c>
      <c r="B14">
        <v>2022</v>
      </c>
      <c r="C14" t="s">
        <v>1</v>
      </c>
    </row>
    <row r="15" spans="1:3" x14ac:dyDescent="0.2">
      <c r="A15" t="s">
        <v>102</v>
      </c>
      <c r="B15">
        <v>2022</v>
      </c>
      <c r="C15" t="s">
        <v>1</v>
      </c>
    </row>
    <row r="16" spans="1:3" x14ac:dyDescent="0.2">
      <c r="A16" t="s">
        <v>103</v>
      </c>
      <c r="B16">
        <v>2021</v>
      </c>
      <c r="C16" t="s">
        <v>1</v>
      </c>
    </row>
    <row r="17" spans="1:3" x14ac:dyDescent="0.2">
      <c r="A17" t="s">
        <v>104</v>
      </c>
      <c r="B17">
        <v>2021</v>
      </c>
      <c r="C17" t="s">
        <v>1</v>
      </c>
    </row>
    <row r="18" spans="1:3" x14ac:dyDescent="0.2">
      <c r="A18" t="s">
        <v>105</v>
      </c>
      <c r="B18">
        <v>2021</v>
      </c>
      <c r="C18" t="s">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F906C-553D-C845-A58D-E39D6C6DFB9B}">
  <dimension ref="A1:B19"/>
  <sheetViews>
    <sheetView workbookViewId="0">
      <selection activeCell="C18" sqref="C18"/>
    </sheetView>
  </sheetViews>
  <sheetFormatPr baseColWidth="10" defaultRowHeight="16" x14ac:dyDescent="0.2"/>
  <cols>
    <col min="1" max="1" width="13.6640625" customWidth="1"/>
    <col min="2" max="2" width="28" customWidth="1"/>
  </cols>
  <sheetData>
    <row r="1" spans="1:2" x14ac:dyDescent="0.2">
      <c r="A1" s="15" t="s">
        <v>994</v>
      </c>
    </row>
    <row r="3" spans="1:2" x14ac:dyDescent="0.2">
      <c r="A3" s="15" t="s">
        <v>90</v>
      </c>
      <c r="B3" s="15" t="s">
        <v>117</v>
      </c>
    </row>
    <row r="4" spans="1:2" x14ac:dyDescent="0.2">
      <c r="A4" s="17">
        <v>41131</v>
      </c>
      <c r="B4" s="18" t="s">
        <v>107</v>
      </c>
    </row>
    <row r="5" spans="1:2" x14ac:dyDescent="0.2">
      <c r="A5" s="17">
        <v>42194</v>
      </c>
      <c r="B5" s="18" t="s">
        <v>108</v>
      </c>
    </row>
    <row r="6" spans="1:2" x14ac:dyDescent="0.2">
      <c r="A6" s="17">
        <v>42559</v>
      </c>
      <c r="B6" s="18" t="s">
        <v>109</v>
      </c>
    </row>
    <row r="7" spans="1:2" x14ac:dyDescent="0.2">
      <c r="A7" s="17">
        <v>42584</v>
      </c>
      <c r="B7" s="18" t="s">
        <v>110</v>
      </c>
    </row>
    <row r="8" spans="1:2" x14ac:dyDescent="0.2">
      <c r="A8" s="17">
        <v>42908</v>
      </c>
      <c r="B8" s="18" t="s">
        <v>109</v>
      </c>
    </row>
    <row r="9" spans="1:2" x14ac:dyDescent="0.2">
      <c r="A9" s="17">
        <v>42935</v>
      </c>
      <c r="B9" s="18" t="s">
        <v>111</v>
      </c>
    </row>
    <row r="10" spans="1:2" x14ac:dyDescent="0.2">
      <c r="A10" s="17">
        <v>43273</v>
      </c>
      <c r="B10" s="18" t="s">
        <v>112</v>
      </c>
    </row>
    <row r="11" spans="1:2" x14ac:dyDescent="0.2">
      <c r="A11" s="17">
        <v>43669</v>
      </c>
      <c r="B11" s="18" t="s">
        <v>113</v>
      </c>
    </row>
    <row r="12" spans="1:2" x14ac:dyDescent="0.2">
      <c r="A12" s="17">
        <v>43993</v>
      </c>
      <c r="B12" s="18" t="s">
        <v>114</v>
      </c>
    </row>
    <row r="13" spans="1:2" x14ac:dyDescent="0.2">
      <c r="A13" s="17">
        <v>44015</v>
      </c>
      <c r="B13" s="18" t="s">
        <v>115</v>
      </c>
    </row>
    <row r="14" spans="1:2" x14ac:dyDescent="0.2">
      <c r="A14" s="17">
        <v>44027</v>
      </c>
      <c r="B14" s="18" t="s">
        <v>114</v>
      </c>
    </row>
    <row r="15" spans="1:2" x14ac:dyDescent="0.2">
      <c r="A15" s="17">
        <v>44089</v>
      </c>
      <c r="B15" s="18" t="s">
        <v>115</v>
      </c>
    </row>
    <row r="16" spans="1:2" x14ac:dyDescent="0.2">
      <c r="A16" s="17">
        <v>44329</v>
      </c>
      <c r="B16" s="18" t="s">
        <v>114</v>
      </c>
    </row>
    <row r="17" spans="1:2" x14ac:dyDescent="0.2">
      <c r="A17" s="17">
        <v>44748</v>
      </c>
      <c r="B17" s="18" t="s">
        <v>116</v>
      </c>
    </row>
    <row r="18" spans="1:2" x14ac:dyDescent="0.2">
      <c r="A18" s="17">
        <v>44713</v>
      </c>
      <c r="B18" s="18" t="s">
        <v>115</v>
      </c>
    </row>
    <row r="19" spans="1:2" x14ac:dyDescent="0.2">
      <c r="A19" s="16">
        <v>45078</v>
      </c>
      <c r="B19" s="18" t="s">
        <v>115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0C9C4-5340-8B47-B6ED-EC7BD37E92BC}">
  <dimension ref="A2:B90"/>
  <sheetViews>
    <sheetView workbookViewId="0">
      <selection activeCell="D9" sqref="D9"/>
    </sheetView>
  </sheetViews>
  <sheetFormatPr baseColWidth="10" defaultRowHeight="16" x14ac:dyDescent="0.2"/>
  <cols>
    <col min="1" max="1" width="29.6640625" customWidth="1"/>
    <col min="2" max="2" width="29.1640625" customWidth="1"/>
  </cols>
  <sheetData>
    <row r="2" spans="1:2" x14ac:dyDescent="0.2">
      <c r="A2" s="15" t="s">
        <v>995</v>
      </c>
    </row>
    <row r="3" spans="1:2" x14ac:dyDescent="0.2">
      <c r="A3" s="15" t="s">
        <v>386</v>
      </c>
      <c r="B3" s="15" t="s">
        <v>987</v>
      </c>
    </row>
    <row r="4" spans="1:2" x14ac:dyDescent="0.2">
      <c r="A4" s="106" t="s">
        <v>879</v>
      </c>
      <c r="B4" s="12">
        <v>1</v>
      </c>
    </row>
    <row r="5" spans="1:2" x14ac:dyDescent="0.2">
      <c r="A5" s="106" t="s">
        <v>293</v>
      </c>
      <c r="B5" s="12">
        <v>8</v>
      </c>
    </row>
    <row r="6" spans="1:2" x14ac:dyDescent="0.2">
      <c r="A6" s="106" t="s">
        <v>860</v>
      </c>
      <c r="B6" s="12">
        <v>1</v>
      </c>
    </row>
    <row r="7" spans="1:2" x14ac:dyDescent="0.2">
      <c r="A7" s="106" t="s">
        <v>861</v>
      </c>
      <c r="B7" s="12">
        <v>2</v>
      </c>
    </row>
    <row r="8" spans="1:2" x14ac:dyDescent="0.2">
      <c r="A8" s="106" t="s">
        <v>290</v>
      </c>
      <c r="B8" s="12">
        <v>1</v>
      </c>
    </row>
    <row r="9" spans="1:2" x14ac:dyDescent="0.2">
      <c r="A9" s="106" t="s">
        <v>289</v>
      </c>
      <c r="B9" s="12">
        <v>1</v>
      </c>
    </row>
    <row r="10" spans="1:2" x14ac:dyDescent="0.2">
      <c r="A10" s="106" t="s">
        <v>862</v>
      </c>
      <c r="B10" s="12">
        <v>1</v>
      </c>
    </row>
    <row r="11" spans="1:2" x14ac:dyDescent="0.2">
      <c r="A11" s="106" t="s">
        <v>285</v>
      </c>
      <c r="B11" s="12">
        <v>8</v>
      </c>
    </row>
    <row r="12" spans="1:2" x14ac:dyDescent="0.2">
      <c r="A12" s="106" t="s">
        <v>284</v>
      </c>
      <c r="B12" s="12">
        <v>1</v>
      </c>
    </row>
    <row r="13" spans="1:2" x14ac:dyDescent="0.2">
      <c r="A13" s="106" t="s">
        <v>283</v>
      </c>
      <c r="B13" s="12">
        <v>1</v>
      </c>
    </row>
    <row r="14" spans="1:2" x14ac:dyDescent="0.2">
      <c r="A14" s="106" t="s">
        <v>280</v>
      </c>
      <c r="B14" s="12">
        <v>4</v>
      </c>
    </row>
    <row r="15" spans="1:2" x14ac:dyDescent="0.2">
      <c r="A15" s="106" t="s">
        <v>863</v>
      </c>
      <c r="B15" s="12">
        <v>1</v>
      </c>
    </row>
    <row r="16" spans="1:2" x14ac:dyDescent="0.2">
      <c r="A16" s="106" t="s">
        <v>275</v>
      </c>
      <c r="B16" s="12">
        <v>9</v>
      </c>
    </row>
    <row r="17" spans="1:2" x14ac:dyDescent="0.2">
      <c r="A17" s="106" t="s">
        <v>271</v>
      </c>
      <c r="B17" s="12">
        <v>9</v>
      </c>
    </row>
    <row r="18" spans="1:2" x14ac:dyDescent="0.2">
      <c r="A18" s="106" t="s">
        <v>864</v>
      </c>
      <c r="B18" s="12">
        <v>7</v>
      </c>
    </row>
    <row r="19" spans="1:2" x14ac:dyDescent="0.2">
      <c r="A19" s="106" t="s">
        <v>270</v>
      </c>
      <c r="B19" s="12">
        <v>5</v>
      </c>
    </row>
    <row r="20" spans="1:2" x14ac:dyDescent="0.2">
      <c r="A20" s="106" t="s">
        <v>128</v>
      </c>
      <c r="B20" s="12">
        <v>1208</v>
      </c>
    </row>
    <row r="21" spans="1:2" x14ac:dyDescent="0.2">
      <c r="A21" s="106" t="s">
        <v>890</v>
      </c>
      <c r="B21" s="12">
        <v>19</v>
      </c>
    </row>
    <row r="22" spans="1:2" x14ac:dyDescent="0.2">
      <c r="A22" s="106" t="s">
        <v>131</v>
      </c>
      <c r="B22" s="12">
        <v>22</v>
      </c>
    </row>
    <row r="23" spans="1:2" x14ac:dyDescent="0.2">
      <c r="A23" s="106" t="s">
        <v>865</v>
      </c>
      <c r="B23" s="12">
        <v>3</v>
      </c>
    </row>
    <row r="24" spans="1:2" x14ac:dyDescent="0.2">
      <c r="A24" s="106" t="s">
        <v>137</v>
      </c>
      <c r="B24" s="12">
        <v>7</v>
      </c>
    </row>
    <row r="25" spans="1:2" x14ac:dyDescent="0.2">
      <c r="A25" s="106" t="s">
        <v>866</v>
      </c>
      <c r="B25" s="12">
        <v>12</v>
      </c>
    </row>
    <row r="26" spans="1:2" x14ac:dyDescent="0.2">
      <c r="A26" s="106" t="s">
        <v>880</v>
      </c>
      <c r="B26" s="12">
        <v>10</v>
      </c>
    </row>
    <row r="27" spans="1:2" x14ac:dyDescent="0.2">
      <c r="A27" s="106" t="s">
        <v>263</v>
      </c>
      <c r="B27" s="12">
        <v>5</v>
      </c>
    </row>
    <row r="28" spans="1:2" x14ac:dyDescent="0.2">
      <c r="A28" s="106" t="s">
        <v>867</v>
      </c>
      <c r="B28" s="12">
        <v>1</v>
      </c>
    </row>
    <row r="29" spans="1:2" x14ac:dyDescent="0.2">
      <c r="A29" s="106" t="s">
        <v>261</v>
      </c>
      <c r="B29" s="12">
        <v>12</v>
      </c>
    </row>
    <row r="30" spans="1:2" x14ac:dyDescent="0.2">
      <c r="A30" s="106" t="s">
        <v>260</v>
      </c>
      <c r="B30" s="12">
        <v>10</v>
      </c>
    </row>
    <row r="31" spans="1:2" x14ac:dyDescent="0.2">
      <c r="A31" s="106" t="s">
        <v>881</v>
      </c>
      <c r="B31" s="12">
        <v>3</v>
      </c>
    </row>
    <row r="32" spans="1:2" x14ac:dyDescent="0.2">
      <c r="A32" s="106" t="s">
        <v>257</v>
      </c>
      <c r="B32" s="12">
        <v>14</v>
      </c>
    </row>
    <row r="33" spans="1:2" x14ac:dyDescent="0.2">
      <c r="A33" s="106" t="s">
        <v>253</v>
      </c>
      <c r="B33" s="12">
        <v>1</v>
      </c>
    </row>
    <row r="34" spans="1:2" x14ac:dyDescent="0.2">
      <c r="A34" s="106" t="s">
        <v>882</v>
      </c>
      <c r="B34" s="12">
        <v>7</v>
      </c>
    </row>
    <row r="35" spans="1:2" x14ac:dyDescent="0.2">
      <c r="A35" s="106" t="s">
        <v>883</v>
      </c>
      <c r="B35" s="12">
        <v>67</v>
      </c>
    </row>
    <row r="36" spans="1:2" x14ac:dyDescent="0.2">
      <c r="A36" s="106" t="s">
        <v>884</v>
      </c>
      <c r="B36" s="12">
        <v>9</v>
      </c>
    </row>
    <row r="37" spans="1:2" x14ac:dyDescent="0.2">
      <c r="A37" s="106" t="s">
        <v>885</v>
      </c>
      <c r="B37" s="12">
        <v>7</v>
      </c>
    </row>
    <row r="38" spans="1:2" x14ac:dyDescent="0.2">
      <c r="A38" s="106" t="s">
        <v>245</v>
      </c>
      <c r="B38" s="12">
        <v>5</v>
      </c>
    </row>
    <row r="39" spans="1:2" x14ac:dyDescent="0.2">
      <c r="A39" s="106" t="s">
        <v>244</v>
      </c>
      <c r="B39" s="12">
        <v>3</v>
      </c>
    </row>
    <row r="40" spans="1:2" x14ac:dyDescent="0.2">
      <c r="A40" s="106" t="s">
        <v>242</v>
      </c>
      <c r="B40" s="12">
        <v>4</v>
      </c>
    </row>
    <row r="41" spans="1:2" x14ac:dyDescent="0.2">
      <c r="A41" s="106" t="s">
        <v>886</v>
      </c>
      <c r="B41" s="12">
        <v>3</v>
      </c>
    </row>
    <row r="42" spans="1:2" x14ac:dyDescent="0.2">
      <c r="A42" s="106" t="s">
        <v>868</v>
      </c>
      <c r="B42" s="12">
        <v>3</v>
      </c>
    </row>
    <row r="43" spans="1:2" x14ac:dyDescent="0.2">
      <c r="A43" s="106" t="s">
        <v>869</v>
      </c>
      <c r="B43" s="12">
        <v>1</v>
      </c>
    </row>
    <row r="44" spans="1:2" x14ac:dyDescent="0.2">
      <c r="A44" s="106" t="s">
        <v>887</v>
      </c>
      <c r="B44" s="12">
        <v>5</v>
      </c>
    </row>
    <row r="45" spans="1:2" x14ac:dyDescent="0.2">
      <c r="A45" s="106" t="s">
        <v>234</v>
      </c>
      <c r="B45" s="12">
        <v>3</v>
      </c>
    </row>
    <row r="46" spans="1:2" x14ac:dyDescent="0.2">
      <c r="A46" s="106" t="s">
        <v>233</v>
      </c>
      <c r="B46" s="12">
        <v>1</v>
      </c>
    </row>
    <row r="47" spans="1:2" x14ac:dyDescent="0.2">
      <c r="A47" s="106" t="s">
        <v>227</v>
      </c>
      <c r="B47" s="12">
        <v>6</v>
      </c>
    </row>
    <row r="48" spans="1:2" x14ac:dyDescent="0.2">
      <c r="A48" s="106" t="s">
        <v>226</v>
      </c>
      <c r="B48" s="12">
        <v>2</v>
      </c>
    </row>
    <row r="49" spans="1:2" x14ac:dyDescent="0.2">
      <c r="A49" s="106" t="s">
        <v>225</v>
      </c>
      <c r="B49" s="12">
        <v>6</v>
      </c>
    </row>
    <row r="50" spans="1:2" x14ac:dyDescent="0.2">
      <c r="A50" s="106" t="s">
        <v>888</v>
      </c>
      <c r="B50" s="12">
        <v>7</v>
      </c>
    </row>
    <row r="51" spans="1:2" x14ac:dyDescent="0.2">
      <c r="A51" s="106" t="s">
        <v>870</v>
      </c>
      <c r="B51" s="12">
        <v>1</v>
      </c>
    </row>
    <row r="52" spans="1:2" x14ac:dyDescent="0.2">
      <c r="A52" s="106" t="s">
        <v>127</v>
      </c>
      <c r="B52" s="12">
        <v>1274</v>
      </c>
    </row>
    <row r="53" spans="1:2" x14ac:dyDescent="0.2">
      <c r="A53" s="106" t="s">
        <v>222</v>
      </c>
      <c r="B53" s="12">
        <v>3</v>
      </c>
    </row>
    <row r="54" spans="1:2" x14ac:dyDescent="0.2">
      <c r="A54" s="106" t="s">
        <v>219</v>
      </c>
      <c r="B54" s="12">
        <v>5</v>
      </c>
    </row>
    <row r="55" spans="1:2" x14ac:dyDescent="0.2">
      <c r="A55" s="106" t="s">
        <v>218</v>
      </c>
      <c r="B55" s="12">
        <v>7</v>
      </c>
    </row>
    <row r="56" spans="1:2" x14ac:dyDescent="0.2">
      <c r="A56" s="106" t="s">
        <v>217</v>
      </c>
      <c r="B56" s="12">
        <v>2</v>
      </c>
    </row>
    <row r="57" spans="1:2" x14ac:dyDescent="0.2">
      <c r="A57" s="106" t="s">
        <v>210</v>
      </c>
      <c r="B57" s="12">
        <v>3</v>
      </c>
    </row>
    <row r="58" spans="1:2" x14ac:dyDescent="0.2">
      <c r="A58" s="106" t="s">
        <v>208</v>
      </c>
      <c r="B58" s="12">
        <v>6</v>
      </c>
    </row>
    <row r="59" spans="1:2" x14ac:dyDescent="0.2">
      <c r="A59" s="106" t="s">
        <v>871</v>
      </c>
      <c r="B59" s="12">
        <v>1</v>
      </c>
    </row>
    <row r="60" spans="1:2" x14ac:dyDescent="0.2">
      <c r="A60" s="106" t="s">
        <v>139</v>
      </c>
      <c r="B60" s="12">
        <v>8</v>
      </c>
    </row>
    <row r="61" spans="1:2" x14ac:dyDescent="0.2">
      <c r="A61" s="106" t="s">
        <v>872</v>
      </c>
      <c r="B61" s="12">
        <v>5</v>
      </c>
    </row>
    <row r="62" spans="1:2" x14ac:dyDescent="0.2">
      <c r="A62" s="106" t="s">
        <v>206</v>
      </c>
      <c r="B62" s="12">
        <v>2</v>
      </c>
    </row>
    <row r="63" spans="1:2" x14ac:dyDescent="0.2">
      <c r="A63" s="106" t="s">
        <v>203</v>
      </c>
      <c r="B63" s="12">
        <v>2</v>
      </c>
    </row>
    <row r="64" spans="1:2" x14ac:dyDescent="0.2">
      <c r="A64" s="106" t="s">
        <v>873</v>
      </c>
      <c r="B64" s="12">
        <v>2</v>
      </c>
    </row>
    <row r="65" spans="1:2" x14ac:dyDescent="0.2">
      <c r="A65" s="106" t="s">
        <v>874</v>
      </c>
      <c r="B65" s="12">
        <v>1</v>
      </c>
    </row>
    <row r="66" spans="1:2" x14ac:dyDescent="0.2">
      <c r="A66" s="106" t="s">
        <v>197</v>
      </c>
      <c r="B66" s="12">
        <v>1</v>
      </c>
    </row>
    <row r="67" spans="1:2" x14ac:dyDescent="0.2">
      <c r="A67" s="106" t="s">
        <v>196</v>
      </c>
      <c r="B67" s="12">
        <v>3</v>
      </c>
    </row>
    <row r="68" spans="1:2" x14ac:dyDescent="0.2">
      <c r="A68" s="106" t="s">
        <v>889</v>
      </c>
      <c r="B68" s="12">
        <v>5</v>
      </c>
    </row>
    <row r="69" spans="1:2" x14ac:dyDescent="0.2">
      <c r="A69" s="106" t="s">
        <v>198</v>
      </c>
      <c r="B69" s="12">
        <v>21</v>
      </c>
    </row>
    <row r="70" spans="1:2" x14ac:dyDescent="0.2">
      <c r="A70" s="106" t="s">
        <v>195</v>
      </c>
      <c r="B70" s="12">
        <v>6</v>
      </c>
    </row>
    <row r="71" spans="1:2" x14ac:dyDescent="0.2">
      <c r="A71" s="106" t="s">
        <v>194</v>
      </c>
      <c r="B71" s="12">
        <v>3</v>
      </c>
    </row>
    <row r="72" spans="1:2" x14ac:dyDescent="0.2">
      <c r="A72" s="106" t="s">
        <v>193</v>
      </c>
      <c r="B72" s="12">
        <v>1</v>
      </c>
    </row>
    <row r="73" spans="1:2" x14ac:dyDescent="0.2">
      <c r="A73" s="106" t="s">
        <v>192</v>
      </c>
      <c r="B73" s="12">
        <v>2</v>
      </c>
    </row>
    <row r="74" spans="1:2" x14ac:dyDescent="0.2">
      <c r="A74" s="106" t="s">
        <v>191</v>
      </c>
      <c r="B74" s="12">
        <v>2</v>
      </c>
    </row>
    <row r="75" spans="1:2" x14ac:dyDescent="0.2">
      <c r="A75" s="106" t="s">
        <v>875</v>
      </c>
      <c r="B75" s="12">
        <v>5</v>
      </c>
    </row>
    <row r="76" spans="1:2" x14ac:dyDescent="0.2">
      <c r="A76" s="106" t="s">
        <v>876</v>
      </c>
      <c r="B76" s="12">
        <v>2</v>
      </c>
    </row>
    <row r="77" spans="1:2" x14ac:dyDescent="0.2">
      <c r="A77" s="106" t="s">
        <v>189</v>
      </c>
      <c r="B77" s="12">
        <v>2</v>
      </c>
    </row>
    <row r="78" spans="1:2" x14ac:dyDescent="0.2">
      <c r="A78" s="106" t="s">
        <v>877</v>
      </c>
      <c r="B78" s="12">
        <v>5</v>
      </c>
    </row>
    <row r="79" spans="1:2" x14ac:dyDescent="0.2">
      <c r="A79" s="106" t="s">
        <v>878</v>
      </c>
      <c r="B79" s="12">
        <v>2</v>
      </c>
    </row>
    <row r="80" spans="1:2" x14ac:dyDescent="0.2">
      <c r="A80" s="106" t="s">
        <v>184</v>
      </c>
      <c r="B80" s="12">
        <v>24</v>
      </c>
    </row>
    <row r="81" spans="1:2" x14ac:dyDescent="0.2">
      <c r="A81" s="106" t="s">
        <v>868</v>
      </c>
      <c r="B81" s="105">
        <v>4</v>
      </c>
    </row>
    <row r="82" spans="1:2" x14ac:dyDescent="0.2">
      <c r="A82" s="107" t="s">
        <v>869</v>
      </c>
      <c r="B82" s="105">
        <v>4</v>
      </c>
    </row>
    <row r="83" spans="1:2" x14ac:dyDescent="0.2">
      <c r="A83" s="107" t="s">
        <v>873</v>
      </c>
      <c r="B83" s="105">
        <v>1</v>
      </c>
    </row>
    <row r="84" spans="1:2" x14ac:dyDescent="0.2">
      <c r="A84" s="107" t="s">
        <v>874</v>
      </c>
      <c r="B84" s="105">
        <v>1</v>
      </c>
    </row>
    <row r="85" spans="1:2" x14ac:dyDescent="0.2">
      <c r="A85" s="107" t="s">
        <v>196</v>
      </c>
      <c r="B85" s="105">
        <v>1</v>
      </c>
    </row>
    <row r="86" spans="1:2" x14ac:dyDescent="0.2">
      <c r="A86" s="107" t="s">
        <v>189</v>
      </c>
      <c r="B86" s="12">
        <v>3</v>
      </c>
    </row>
    <row r="90" spans="1:2" x14ac:dyDescent="0.2">
      <c r="B90">
        <f>SUM(B4:B86)</f>
        <v>2946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48185-149B-F54B-B723-318BB7D382FB}">
  <dimension ref="B1:N44"/>
  <sheetViews>
    <sheetView workbookViewId="0">
      <selection activeCell="B3" sqref="B3:J3"/>
    </sheetView>
  </sheetViews>
  <sheetFormatPr baseColWidth="10" defaultRowHeight="16" x14ac:dyDescent="0.2"/>
  <cols>
    <col min="3" max="3" width="20.1640625" customWidth="1"/>
    <col min="4" max="4" width="26.33203125" customWidth="1"/>
    <col min="6" max="6" width="28.33203125" customWidth="1"/>
    <col min="8" max="8" width="26" customWidth="1"/>
    <col min="10" max="10" width="23.1640625" customWidth="1"/>
    <col min="12" max="12" width="22.83203125" customWidth="1"/>
  </cols>
  <sheetData>
    <row r="1" spans="2:14" x14ac:dyDescent="0.2">
      <c r="B1" s="15" t="s">
        <v>996</v>
      </c>
    </row>
    <row r="3" spans="2:14" x14ac:dyDescent="0.2">
      <c r="B3" s="150">
        <v>2021</v>
      </c>
      <c r="C3" s="150"/>
      <c r="D3" s="150"/>
      <c r="E3" s="150"/>
      <c r="F3" s="150"/>
      <c r="G3" s="150"/>
      <c r="H3" s="150"/>
      <c r="I3" s="150"/>
      <c r="J3" s="150"/>
      <c r="L3" s="19"/>
    </row>
    <row r="4" spans="2:14" x14ac:dyDescent="0.2">
      <c r="B4" s="19"/>
      <c r="C4" s="19"/>
      <c r="D4" s="19"/>
      <c r="F4" s="19"/>
      <c r="H4" s="19"/>
      <c r="J4" s="19"/>
      <c r="L4" s="19"/>
    </row>
    <row r="5" spans="2:14" x14ac:dyDescent="0.2">
      <c r="B5" s="20" t="s">
        <v>118</v>
      </c>
      <c r="C5" s="13" t="s">
        <v>119</v>
      </c>
      <c r="D5" s="13" t="s">
        <v>120</v>
      </c>
      <c r="E5" s="13" t="s">
        <v>121</v>
      </c>
      <c r="F5" s="13" t="s">
        <v>122</v>
      </c>
      <c r="G5" s="13" t="s">
        <v>121</v>
      </c>
      <c r="H5" s="13" t="s">
        <v>123</v>
      </c>
      <c r="I5" s="13" t="s">
        <v>121</v>
      </c>
      <c r="J5" s="13" t="s">
        <v>124</v>
      </c>
      <c r="L5" s="13"/>
      <c r="N5" s="13" t="s">
        <v>125</v>
      </c>
    </row>
    <row r="6" spans="2:14" x14ac:dyDescent="0.2">
      <c r="B6" s="19"/>
      <c r="C6" s="19"/>
      <c r="D6" s="19"/>
      <c r="F6" s="19"/>
      <c r="H6" s="19"/>
      <c r="J6" s="19"/>
      <c r="L6" s="19"/>
      <c r="N6" s="19"/>
    </row>
    <row r="7" spans="2:14" x14ac:dyDescent="0.2">
      <c r="B7" s="21" t="s">
        <v>126</v>
      </c>
      <c r="C7" s="22">
        <v>44417</v>
      </c>
      <c r="D7" s="108" t="s">
        <v>127</v>
      </c>
      <c r="E7" s="21">
        <v>7</v>
      </c>
      <c r="F7" s="108" t="s">
        <v>128</v>
      </c>
      <c r="G7" s="21">
        <v>3</v>
      </c>
      <c r="H7" s="19"/>
      <c r="J7" s="19"/>
      <c r="L7" s="19"/>
      <c r="N7" s="19">
        <f>SUM(G7:M7)</f>
        <v>3</v>
      </c>
    </row>
    <row r="8" spans="2:14" x14ac:dyDescent="0.2">
      <c r="B8" s="21" t="s">
        <v>129</v>
      </c>
      <c r="C8" s="22">
        <v>44426</v>
      </c>
      <c r="D8" s="108" t="s">
        <v>127</v>
      </c>
      <c r="E8" s="21">
        <v>5</v>
      </c>
      <c r="F8" s="108" t="s">
        <v>128</v>
      </c>
      <c r="G8" s="21">
        <v>22</v>
      </c>
      <c r="H8" s="108" t="s">
        <v>130</v>
      </c>
      <c r="I8" s="21">
        <v>2</v>
      </c>
      <c r="J8" s="19"/>
      <c r="L8" s="19"/>
      <c r="N8" s="19">
        <f>SUM(G8:M8)</f>
        <v>24</v>
      </c>
    </row>
    <row r="9" spans="2:14" x14ac:dyDescent="0.2">
      <c r="B9" s="21" t="s">
        <v>126</v>
      </c>
      <c r="C9" s="23">
        <v>44431</v>
      </c>
      <c r="D9" s="108" t="s">
        <v>127</v>
      </c>
      <c r="E9" s="21">
        <v>8</v>
      </c>
      <c r="F9" s="108" t="s">
        <v>128</v>
      </c>
      <c r="G9" s="21">
        <v>2</v>
      </c>
      <c r="H9" s="108" t="s">
        <v>130</v>
      </c>
      <c r="I9" s="21">
        <v>4</v>
      </c>
      <c r="J9" s="108" t="s">
        <v>131</v>
      </c>
      <c r="K9" s="21">
        <v>5</v>
      </c>
      <c r="L9" s="19"/>
      <c r="N9" s="19">
        <f t="shared" ref="N9:N18" si="0">SUM(G9:M9)</f>
        <v>11</v>
      </c>
    </row>
    <row r="10" spans="2:14" x14ac:dyDescent="0.2">
      <c r="B10" s="21" t="s">
        <v>126</v>
      </c>
      <c r="C10" s="22">
        <v>44396</v>
      </c>
      <c r="D10" s="108" t="s">
        <v>128</v>
      </c>
      <c r="E10" s="21">
        <v>12</v>
      </c>
      <c r="F10" s="110"/>
      <c r="H10" s="110"/>
      <c r="J10" s="19"/>
      <c r="L10" s="19"/>
      <c r="N10" s="19">
        <f t="shared" si="0"/>
        <v>0</v>
      </c>
    </row>
    <row r="11" spans="2:14" x14ac:dyDescent="0.2">
      <c r="B11" s="21" t="s">
        <v>129</v>
      </c>
      <c r="C11" s="22">
        <v>44405</v>
      </c>
      <c r="D11" s="108" t="s">
        <v>127</v>
      </c>
      <c r="E11" s="21">
        <v>1</v>
      </c>
      <c r="F11" s="108" t="s">
        <v>128</v>
      </c>
      <c r="G11" s="21">
        <v>11</v>
      </c>
      <c r="H11" s="110"/>
      <c r="J11" s="19"/>
      <c r="L11" s="19"/>
      <c r="N11" s="19">
        <f t="shared" si="0"/>
        <v>11</v>
      </c>
    </row>
    <row r="12" spans="2:14" x14ac:dyDescent="0.2">
      <c r="B12" s="21" t="s">
        <v>129</v>
      </c>
      <c r="C12" s="22">
        <v>44412</v>
      </c>
      <c r="D12" s="108" t="s">
        <v>127</v>
      </c>
      <c r="E12" s="21">
        <v>3</v>
      </c>
      <c r="F12" s="108" t="s">
        <v>128</v>
      </c>
      <c r="G12" s="21">
        <v>10</v>
      </c>
      <c r="H12" s="110"/>
      <c r="J12" s="19"/>
      <c r="L12" s="19"/>
      <c r="N12" s="19">
        <f t="shared" si="0"/>
        <v>10</v>
      </c>
    </row>
    <row r="13" spans="2:14" x14ac:dyDescent="0.2">
      <c r="B13" s="21" t="s">
        <v>126</v>
      </c>
      <c r="C13" s="22">
        <v>44396</v>
      </c>
      <c r="D13" s="108" t="s">
        <v>128</v>
      </c>
      <c r="E13" s="21">
        <v>17</v>
      </c>
      <c r="F13" s="110"/>
      <c r="H13" s="110"/>
      <c r="J13" s="19"/>
      <c r="L13" s="19"/>
      <c r="N13" s="19">
        <f t="shared" si="0"/>
        <v>0</v>
      </c>
    </row>
    <row r="14" spans="2:14" x14ac:dyDescent="0.2">
      <c r="B14" s="21" t="s">
        <v>129</v>
      </c>
      <c r="C14" s="22">
        <v>44398</v>
      </c>
      <c r="D14" s="108" t="s">
        <v>128</v>
      </c>
      <c r="E14" s="21">
        <v>10</v>
      </c>
      <c r="F14" s="110"/>
      <c r="H14" s="110"/>
      <c r="J14" s="19"/>
      <c r="L14" s="19"/>
      <c r="N14" s="19">
        <f t="shared" si="0"/>
        <v>0</v>
      </c>
    </row>
    <row r="15" spans="2:14" x14ac:dyDescent="0.2">
      <c r="B15" s="21" t="s">
        <v>126</v>
      </c>
      <c r="C15" s="22">
        <v>44403</v>
      </c>
      <c r="D15" s="108" t="s">
        <v>127</v>
      </c>
      <c r="E15" s="21">
        <v>3</v>
      </c>
      <c r="F15" s="108" t="s">
        <v>128</v>
      </c>
      <c r="G15" s="21">
        <v>10</v>
      </c>
      <c r="H15" s="110"/>
      <c r="J15" s="19"/>
      <c r="L15" s="19"/>
      <c r="N15" s="19">
        <f t="shared" si="0"/>
        <v>10</v>
      </c>
    </row>
    <row r="16" spans="2:14" x14ac:dyDescent="0.2">
      <c r="B16" s="21" t="s">
        <v>129</v>
      </c>
      <c r="C16" s="22">
        <v>44391</v>
      </c>
      <c r="D16" s="108" t="s">
        <v>128</v>
      </c>
      <c r="E16" s="21">
        <v>7</v>
      </c>
      <c r="F16" s="110"/>
      <c r="H16" s="110"/>
      <c r="J16" s="19"/>
      <c r="L16" s="19"/>
      <c r="N16" s="19">
        <f t="shared" si="0"/>
        <v>0</v>
      </c>
    </row>
    <row r="17" spans="2:14" x14ac:dyDescent="0.2">
      <c r="B17" s="21" t="s">
        <v>129</v>
      </c>
      <c r="C17" s="22">
        <v>44433</v>
      </c>
      <c r="D17" s="108" t="s">
        <v>127</v>
      </c>
      <c r="E17" s="21">
        <v>3</v>
      </c>
      <c r="F17" s="108" t="s">
        <v>132</v>
      </c>
      <c r="G17" s="21">
        <v>4</v>
      </c>
      <c r="H17" s="108" t="s">
        <v>131</v>
      </c>
      <c r="I17" s="21">
        <v>14</v>
      </c>
      <c r="J17" s="19"/>
      <c r="L17" s="19"/>
      <c r="N17" s="19">
        <f t="shared" si="0"/>
        <v>18</v>
      </c>
    </row>
    <row r="18" spans="2:14" x14ac:dyDescent="0.2">
      <c r="B18" s="21" t="s">
        <v>126</v>
      </c>
      <c r="C18" s="22">
        <v>44438</v>
      </c>
      <c r="D18" s="108" t="s">
        <v>127</v>
      </c>
      <c r="E18" s="21">
        <v>5</v>
      </c>
      <c r="F18" s="108" t="s">
        <v>128</v>
      </c>
      <c r="G18" s="21">
        <v>1</v>
      </c>
      <c r="H18" s="110"/>
      <c r="J18" s="19"/>
      <c r="L18" s="19"/>
      <c r="N18" s="19">
        <f t="shared" si="0"/>
        <v>1</v>
      </c>
    </row>
    <row r="19" spans="2:14" x14ac:dyDescent="0.2">
      <c r="B19" s="21" t="s">
        <v>126</v>
      </c>
      <c r="C19" s="22">
        <v>44417</v>
      </c>
      <c r="D19" s="108" t="s">
        <v>127</v>
      </c>
      <c r="E19" s="21">
        <v>2</v>
      </c>
      <c r="F19" s="108" t="s">
        <v>128</v>
      </c>
      <c r="G19" s="21">
        <v>8</v>
      </c>
      <c r="H19" s="108" t="s">
        <v>132</v>
      </c>
      <c r="I19" s="21">
        <v>1</v>
      </c>
      <c r="J19" s="19"/>
      <c r="L19" s="19"/>
      <c r="N19" s="19">
        <f>SUM(G19:M19)</f>
        <v>9</v>
      </c>
    </row>
    <row r="20" spans="2:14" x14ac:dyDescent="0.2">
      <c r="B20" s="21" t="s">
        <v>126</v>
      </c>
      <c r="C20" s="22">
        <v>44431</v>
      </c>
      <c r="D20" s="108" t="s">
        <v>127</v>
      </c>
      <c r="E20" s="21">
        <v>4</v>
      </c>
      <c r="F20" s="108" t="s">
        <v>128</v>
      </c>
      <c r="G20" s="21">
        <v>17</v>
      </c>
      <c r="H20" s="19"/>
      <c r="J20" s="19"/>
      <c r="L20" s="19"/>
      <c r="N20" s="19">
        <f>SUM(G20:M20)</f>
        <v>17</v>
      </c>
    </row>
    <row r="21" spans="2:14" x14ac:dyDescent="0.2">
      <c r="B21" s="21" t="s">
        <v>126</v>
      </c>
      <c r="C21" s="22">
        <v>44426</v>
      </c>
      <c r="D21" s="108" t="s">
        <v>127</v>
      </c>
      <c r="E21" s="21">
        <v>8</v>
      </c>
      <c r="F21" s="19"/>
      <c r="H21" s="19"/>
      <c r="J21" s="19"/>
      <c r="L21" s="19"/>
      <c r="N21" s="19">
        <v>8</v>
      </c>
    </row>
    <row r="22" spans="2:14" x14ac:dyDescent="0.2">
      <c r="B22" s="19"/>
      <c r="C22" s="19"/>
      <c r="D22" s="19"/>
      <c r="F22" s="19"/>
      <c r="H22" s="19"/>
      <c r="J22" s="19"/>
      <c r="L22" s="19"/>
      <c r="N22" s="19">
        <f>SUM(N7:N21)</f>
        <v>122</v>
      </c>
    </row>
    <row r="23" spans="2:14" x14ac:dyDescent="0.2">
      <c r="B23" s="19"/>
      <c r="C23" s="19"/>
      <c r="D23" s="19"/>
      <c r="F23" s="19"/>
      <c r="H23" s="19"/>
      <c r="J23" s="19"/>
      <c r="L23" s="19"/>
    </row>
    <row r="24" spans="2:14" x14ac:dyDescent="0.2">
      <c r="B24" s="19"/>
      <c r="C24" s="19"/>
      <c r="D24" s="19"/>
      <c r="F24" s="19"/>
      <c r="H24" s="19"/>
      <c r="J24" s="19"/>
      <c r="L24" s="19"/>
    </row>
    <row r="25" spans="2:14" x14ac:dyDescent="0.2">
      <c r="B25" s="150">
        <v>2022</v>
      </c>
      <c r="C25" s="150"/>
      <c r="D25" s="150"/>
      <c r="E25" s="150"/>
      <c r="F25" s="150"/>
      <c r="G25" s="150"/>
      <c r="H25" s="150"/>
      <c r="I25" s="150"/>
      <c r="J25" s="150"/>
      <c r="L25" s="19"/>
    </row>
    <row r="26" spans="2:14" x14ac:dyDescent="0.2">
      <c r="B26" s="13"/>
      <c r="C26" s="13"/>
      <c r="D26" s="13"/>
      <c r="E26" s="13"/>
      <c r="F26" s="13"/>
      <c r="G26" s="13"/>
      <c r="H26" s="13"/>
      <c r="I26" s="13"/>
      <c r="J26" s="13"/>
      <c r="L26" s="19"/>
    </row>
    <row r="27" spans="2:14" x14ac:dyDescent="0.2">
      <c r="B27" s="20" t="s">
        <v>118</v>
      </c>
      <c r="C27" s="13" t="s">
        <v>119</v>
      </c>
      <c r="D27" s="13" t="s">
        <v>120</v>
      </c>
      <c r="E27" s="13" t="s">
        <v>121</v>
      </c>
      <c r="F27" s="13" t="s">
        <v>122</v>
      </c>
      <c r="G27" s="13" t="s">
        <v>121</v>
      </c>
      <c r="H27" s="13" t="s">
        <v>123</v>
      </c>
      <c r="I27" s="13" t="s">
        <v>121</v>
      </c>
      <c r="J27" s="13" t="s">
        <v>124</v>
      </c>
      <c r="K27" s="13" t="s">
        <v>121</v>
      </c>
      <c r="L27" s="13" t="s">
        <v>133</v>
      </c>
      <c r="M27" s="13" t="s">
        <v>121</v>
      </c>
    </row>
    <row r="28" spans="2:14" x14ac:dyDescent="0.2">
      <c r="B28" s="20"/>
      <c r="C28" s="13"/>
      <c r="D28" s="13"/>
      <c r="E28" s="13"/>
      <c r="F28" s="13"/>
      <c r="G28" s="13"/>
      <c r="H28" s="13"/>
      <c r="I28" s="13"/>
      <c r="J28" s="13"/>
      <c r="L28" s="19"/>
    </row>
    <row r="29" spans="2:14" ht="17" x14ac:dyDescent="0.2">
      <c r="B29" s="19" t="s">
        <v>129</v>
      </c>
      <c r="C29" s="23">
        <v>44747</v>
      </c>
      <c r="D29" s="109" t="s">
        <v>127</v>
      </c>
      <c r="E29" s="21">
        <v>5</v>
      </c>
      <c r="F29" s="108" t="s">
        <v>128</v>
      </c>
      <c r="G29" s="21">
        <v>10</v>
      </c>
      <c r="H29" s="108" t="s">
        <v>130</v>
      </c>
      <c r="I29" s="21">
        <v>4</v>
      </c>
      <c r="J29" s="21" t="s">
        <v>134</v>
      </c>
      <c r="K29" s="21">
        <v>2</v>
      </c>
      <c r="L29" s="19"/>
      <c r="N29" s="19">
        <f>SUM(E29:M29)</f>
        <v>21</v>
      </c>
    </row>
    <row r="30" spans="2:14" ht="17" x14ac:dyDescent="0.2">
      <c r="B30" s="21" t="s">
        <v>126</v>
      </c>
      <c r="C30" s="22">
        <v>44774</v>
      </c>
      <c r="D30" s="109" t="s">
        <v>127</v>
      </c>
      <c r="E30" s="21">
        <v>7</v>
      </c>
      <c r="F30" s="108" t="s">
        <v>128</v>
      </c>
      <c r="G30" s="21">
        <v>8</v>
      </c>
      <c r="H30" s="108" t="s">
        <v>130</v>
      </c>
      <c r="I30" s="21">
        <v>6</v>
      </c>
      <c r="J30" s="108" t="s">
        <v>135</v>
      </c>
      <c r="K30" s="21">
        <v>1</v>
      </c>
      <c r="L30" s="108" t="s">
        <v>136</v>
      </c>
      <c r="M30" s="21">
        <v>1</v>
      </c>
      <c r="N30" s="19">
        <f t="shared" ref="N30:N34" si="1">SUM(E30:M30)</f>
        <v>23</v>
      </c>
    </row>
    <row r="31" spans="2:14" x14ac:dyDescent="0.2">
      <c r="B31" s="19" t="s">
        <v>129</v>
      </c>
      <c r="C31" s="23">
        <v>44768</v>
      </c>
      <c r="D31" s="108" t="s">
        <v>128</v>
      </c>
      <c r="E31" s="21">
        <v>26</v>
      </c>
      <c r="F31" s="108" t="s">
        <v>137</v>
      </c>
      <c r="G31" s="21">
        <v>2</v>
      </c>
      <c r="H31" s="108" t="s">
        <v>138</v>
      </c>
      <c r="I31" s="21">
        <v>1</v>
      </c>
      <c r="J31" s="108" t="s">
        <v>132</v>
      </c>
      <c r="K31" s="21">
        <v>2</v>
      </c>
      <c r="L31" s="19"/>
      <c r="N31" s="19">
        <f t="shared" si="1"/>
        <v>31</v>
      </c>
    </row>
    <row r="32" spans="2:14" x14ac:dyDescent="0.2">
      <c r="B32" s="21" t="s">
        <v>126</v>
      </c>
      <c r="C32" s="23">
        <v>44761</v>
      </c>
      <c r="D32" s="108" t="s">
        <v>128</v>
      </c>
      <c r="E32" s="21">
        <v>26</v>
      </c>
      <c r="F32" s="108" t="s">
        <v>137</v>
      </c>
      <c r="G32" s="21">
        <v>2</v>
      </c>
      <c r="H32" s="108" t="s">
        <v>138</v>
      </c>
      <c r="I32" s="21">
        <v>1</v>
      </c>
      <c r="J32" s="108" t="s">
        <v>132</v>
      </c>
      <c r="K32" s="21">
        <v>2</v>
      </c>
      <c r="L32" s="19"/>
      <c r="N32" s="19">
        <f t="shared" si="1"/>
        <v>31</v>
      </c>
    </row>
    <row r="33" spans="2:14" x14ac:dyDescent="0.2">
      <c r="B33" s="21" t="s">
        <v>126</v>
      </c>
      <c r="C33" s="23">
        <v>44767</v>
      </c>
      <c r="D33" s="108" t="s">
        <v>128</v>
      </c>
      <c r="E33" s="21">
        <v>18</v>
      </c>
      <c r="F33" s="108" t="s">
        <v>127</v>
      </c>
      <c r="G33" s="21">
        <v>4</v>
      </c>
      <c r="H33" s="108" t="s">
        <v>130</v>
      </c>
      <c r="I33" s="21">
        <v>1</v>
      </c>
      <c r="J33" s="108" t="s">
        <v>139</v>
      </c>
      <c r="K33" s="21">
        <v>1</v>
      </c>
      <c r="L33" s="19"/>
      <c r="N33" s="19">
        <f t="shared" si="1"/>
        <v>24</v>
      </c>
    </row>
    <row r="34" spans="2:14" x14ac:dyDescent="0.2">
      <c r="B34" s="21" t="s">
        <v>126</v>
      </c>
      <c r="C34" s="23">
        <v>44739</v>
      </c>
      <c r="D34" s="108" t="s">
        <v>128</v>
      </c>
      <c r="E34" s="21">
        <v>12</v>
      </c>
      <c r="F34" s="108" t="s">
        <v>127</v>
      </c>
      <c r="G34" s="21">
        <v>7</v>
      </c>
      <c r="H34" s="108" t="s">
        <v>132</v>
      </c>
      <c r="I34" s="21">
        <v>6</v>
      </c>
      <c r="J34" s="21" t="s">
        <v>134</v>
      </c>
      <c r="K34" s="21">
        <v>1</v>
      </c>
      <c r="L34" s="19"/>
      <c r="N34" s="19">
        <f t="shared" si="1"/>
        <v>26</v>
      </c>
    </row>
    <row r="35" spans="2:14" x14ac:dyDescent="0.2">
      <c r="B35" s="21" t="s">
        <v>129</v>
      </c>
      <c r="C35" s="23">
        <v>44740</v>
      </c>
      <c r="D35" s="108" t="s">
        <v>128</v>
      </c>
      <c r="E35" s="21">
        <v>5</v>
      </c>
      <c r="F35" s="108" t="s">
        <v>127</v>
      </c>
      <c r="G35" s="21">
        <v>4</v>
      </c>
      <c r="H35" s="19"/>
      <c r="J35" s="19"/>
      <c r="L35" s="19"/>
      <c r="N35" s="19">
        <f>SUM(N29:N34)</f>
        <v>156</v>
      </c>
    </row>
    <row r="36" spans="2:14" x14ac:dyDescent="0.2">
      <c r="B36" s="19"/>
      <c r="C36" s="19"/>
      <c r="D36" s="19"/>
      <c r="F36" s="19"/>
      <c r="H36" s="19"/>
      <c r="J36" s="19"/>
      <c r="L36" s="19"/>
    </row>
    <row r="37" spans="2:14" x14ac:dyDescent="0.2">
      <c r="B37" s="19"/>
      <c r="C37" s="19"/>
      <c r="D37" s="19"/>
      <c r="F37" s="19"/>
      <c r="H37" s="19"/>
      <c r="J37" s="19"/>
      <c r="L37" s="19"/>
    </row>
    <row r="38" spans="2:14" x14ac:dyDescent="0.2">
      <c r="B38" s="19"/>
      <c r="C38" s="19"/>
      <c r="D38" s="19"/>
      <c r="F38" s="19"/>
      <c r="H38" s="19"/>
      <c r="J38" s="19"/>
      <c r="L38" s="19" t="s">
        <v>899</v>
      </c>
    </row>
    <row r="39" spans="2:14" x14ac:dyDescent="0.2">
      <c r="B39" s="19"/>
      <c r="C39" s="19"/>
      <c r="D39" s="19"/>
      <c r="F39" s="19"/>
      <c r="H39" s="19"/>
      <c r="J39" s="19"/>
      <c r="L39" s="19"/>
    </row>
    <row r="40" spans="2:14" x14ac:dyDescent="0.2">
      <c r="B40" s="19"/>
      <c r="C40" s="150" t="s">
        <v>140</v>
      </c>
      <c r="D40" s="150"/>
      <c r="F40" s="19"/>
      <c r="H40" s="19"/>
      <c r="J40" s="19"/>
      <c r="L40" s="19"/>
    </row>
    <row r="41" spans="2:14" x14ac:dyDescent="0.2">
      <c r="B41" s="19"/>
      <c r="C41" s="13" t="s">
        <v>141</v>
      </c>
      <c r="D41" s="13" t="s">
        <v>1</v>
      </c>
      <c r="F41" s="19"/>
      <c r="H41" s="19"/>
      <c r="J41" s="19"/>
      <c r="L41" s="19"/>
      <c r="N41">
        <f>SUM(N22,N35)</f>
        <v>278</v>
      </c>
    </row>
    <row r="42" spans="2:14" x14ac:dyDescent="0.2">
      <c r="B42" s="19"/>
      <c r="C42" s="13" t="s">
        <v>142</v>
      </c>
      <c r="D42" s="13" t="s">
        <v>143</v>
      </c>
      <c r="F42" s="19"/>
      <c r="H42" s="19"/>
      <c r="J42" s="19"/>
      <c r="L42" s="19"/>
    </row>
    <row r="43" spans="2:14" x14ac:dyDescent="0.2">
      <c r="B43" s="19"/>
      <c r="C43" s="19"/>
      <c r="D43" s="19"/>
      <c r="F43" s="19"/>
      <c r="H43" s="19"/>
      <c r="J43" s="19"/>
      <c r="L43" s="19"/>
    </row>
    <row r="44" spans="2:14" x14ac:dyDescent="0.2">
      <c r="B44" s="19"/>
      <c r="C44" s="19"/>
      <c r="D44" s="19"/>
      <c r="F44" s="19"/>
      <c r="H44" s="19"/>
      <c r="J44" s="19"/>
      <c r="L44" s="19"/>
    </row>
  </sheetData>
  <mergeCells count="3">
    <mergeCell ref="B3:J3"/>
    <mergeCell ref="B25:J25"/>
    <mergeCell ref="C40:D4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58AD6-47EA-8348-BBC6-D7F1355630BA}">
  <dimension ref="A1:J72"/>
  <sheetViews>
    <sheetView workbookViewId="0">
      <selection activeCell="H9" sqref="H9"/>
    </sheetView>
  </sheetViews>
  <sheetFormatPr baseColWidth="10" defaultRowHeight="16" x14ac:dyDescent="0.2"/>
  <cols>
    <col min="2" max="2" width="32.83203125" customWidth="1"/>
    <col min="4" max="4" width="30.83203125" customWidth="1"/>
    <col min="6" max="6" width="24.6640625" customWidth="1"/>
    <col min="7" max="7" width="25.33203125" customWidth="1"/>
    <col min="8" max="8" width="31.33203125" customWidth="1"/>
  </cols>
  <sheetData>
    <row r="1" spans="1:10" x14ac:dyDescent="0.2">
      <c r="A1" s="15" t="s">
        <v>997</v>
      </c>
    </row>
    <row r="2" spans="1:10" x14ac:dyDescent="0.2">
      <c r="A2" s="15">
        <v>2021</v>
      </c>
    </row>
    <row r="3" spans="1:10" ht="17" thickBot="1" x14ac:dyDescent="0.25"/>
    <row r="4" spans="1:10" ht="17" thickBot="1" x14ac:dyDescent="0.25">
      <c r="A4" s="12"/>
      <c r="B4" s="82" t="s">
        <v>854</v>
      </c>
      <c r="C4" s="83" t="s">
        <v>855</v>
      </c>
      <c r="D4" s="83" t="s">
        <v>856</v>
      </c>
      <c r="E4" s="84" t="s">
        <v>30</v>
      </c>
      <c r="F4" s="84" t="s">
        <v>119</v>
      </c>
      <c r="G4" s="102" t="s">
        <v>857</v>
      </c>
      <c r="H4" s="98"/>
      <c r="I4" s="99"/>
      <c r="J4" s="99"/>
    </row>
    <row r="5" spans="1:10" ht="17" thickBot="1" x14ac:dyDescent="0.25">
      <c r="A5" s="12"/>
      <c r="B5" s="85"/>
      <c r="C5" s="12"/>
      <c r="D5" s="12"/>
      <c r="E5" s="12"/>
      <c r="F5" s="12"/>
      <c r="G5" s="103"/>
      <c r="H5" s="12"/>
      <c r="I5" s="12"/>
      <c r="J5" s="12"/>
    </row>
    <row r="6" spans="1:10" x14ac:dyDescent="0.2">
      <c r="A6" s="151" t="s">
        <v>858</v>
      </c>
      <c r="B6" s="86" t="s">
        <v>127</v>
      </c>
      <c r="C6" s="87">
        <v>91</v>
      </c>
      <c r="D6" s="87" t="s">
        <v>1</v>
      </c>
      <c r="E6" s="87" t="s">
        <v>31</v>
      </c>
      <c r="F6" s="88">
        <v>44377</v>
      </c>
      <c r="G6" s="87">
        <v>10</v>
      </c>
      <c r="H6" s="100"/>
      <c r="I6" s="91"/>
      <c r="J6" s="91"/>
    </row>
    <row r="7" spans="1:10" x14ac:dyDescent="0.2">
      <c r="A7" s="152"/>
      <c r="B7" s="86" t="s">
        <v>127</v>
      </c>
      <c r="C7" s="86">
        <v>135</v>
      </c>
      <c r="D7" s="86" t="s">
        <v>1</v>
      </c>
      <c r="E7" s="86" t="s">
        <v>31</v>
      </c>
      <c r="F7" s="89">
        <v>44377</v>
      </c>
      <c r="G7" s="86">
        <v>10</v>
      </c>
      <c r="H7" s="91"/>
      <c r="I7" s="91"/>
      <c r="J7" s="91"/>
    </row>
    <row r="8" spans="1:10" x14ac:dyDescent="0.2">
      <c r="A8" s="152"/>
      <c r="B8" s="86" t="s">
        <v>127</v>
      </c>
      <c r="C8" s="86">
        <v>136</v>
      </c>
      <c r="D8" s="86" t="s">
        <v>1</v>
      </c>
      <c r="E8" s="86" t="s">
        <v>31</v>
      </c>
      <c r="F8" s="89">
        <v>44377</v>
      </c>
      <c r="G8" s="86">
        <v>10</v>
      </c>
      <c r="H8" s="91"/>
      <c r="I8" s="91"/>
      <c r="J8" s="91"/>
    </row>
    <row r="9" spans="1:10" x14ac:dyDescent="0.2">
      <c r="A9" s="152"/>
      <c r="B9" s="86" t="s">
        <v>127</v>
      </c>
      <c r="C9" s="86">
        <v>137</v>
      </c>
      <c r="D9" s="86" t="s">
        <v>1</v>
      </c>
      <c r="E9" s="86" t="s">
        <v>31</v>
      </c>
      <c r="F9" s="89">
        <v>44377</v>
      </c>
      <c r="G9" s="86">
        <v>10</v>
      </c>
      <c r="H9" s="91"/>
      <c r="I9" s="91"/>
      <c r="J9" s="91"/>
    </row>
    <row r="10" spans="1:10" x14ac:dyDescent="0.2">
      <c r="A10" s="152"/>
      <c r="B10" s="86" t="s">
        <v>127</v>
      </c>
      <c r="C10" s="86">
        <v>138</v>
      </c>
      <c r="D10" s="86" t="s">
        <v>1</v>
      </c>
      <c r="E10" s="86" t="s">
        <v>31</v>
      </c>
      <c r="F10" s="89">
        <v>44377</v>
      </c>
      <c r="G10" s="86">
        <v>10</v>
      </c>
      <c r="H10" s="91"/>
      <c r="I10" s="91"/>
      <c r="J10" s="91"/>
    </row>
    <row r="11" spans="1:10" x14ac:dyDescent="0.2">
      <c r="A11" s="152"/>
      <c r="B11" s="86" t="s">
        <v>127</v>
      </c>
      <c r="C11" s="86">
        <v>131</v>
      </c>
      <c r="D11" s="86" t="s">
        <v>4</v>
      </c>
      <c r="E11" s="86" t="s">
        <v>47</v>
      </c>
      <c r="F11" s="89">
        <v>44375</v>
      </c>
      <c r="G11" s="86">
        <v>10</v>
      </c>
      <c r="H11" s="91"/>
      <c r="I11" s="91"/>
      <c r="J11" s="91"/>
    </row>
    <row r="12" spans="1:10" x14ac:dyDescent="0.2">
      <c r="A12" s="152"/>
      <c r="B12" s="86" t="s">
        <v>127</v>
      </c>
      <c r="C12" s="86">
        <v>132</v>
      </c>
      <c r="D12" s="86" t="s">
        <v>4</v>
      </c>
      <c r="E12" s="86" t="s">
        <v>47</v>
      </c>
      <c r="F12" s="89">
        <v>44375</v>
      </c>
      <c r="G12" s="86">
        <v>10</v>
      </c>
      <c r="H12" s="91"/>
      <c r="I12" s="91"/>
      <c r="J12" s="91"/>
    </row>
    <row r="13" spans="1:10" x14ac:dyDescent="0.2">
      <c r="A13" s="152"/>
      <c r="B13" s="86" t="s">
        <v>127</v>
      </c>
      <c r="C13" s="86">
        <v>133</v>
      </c>
      <c r="D13" s="86" t="s">
        <v>4</v>
      </c>
      <c r="E13" s="86" t="s">
        <v>47</v>
      </c>
      <c r="F13" s="89">
        <v>44375</v>
      </c>
      <c r="G13" s="86">
        <v>10</v>
      </c>
      <c r="H13" s="91"/>
      <c r="I13" s="91"/>
      <c r="J13" s="91"/>
    </row>
    <row r="14" spans="1:10" x14ac:dyDescent="0.2">
      <c r="A14" s="152"/>
      <c r="B14" s="86" t="s">
        <v>127</v>
      </c>
      <c r="C14" s="86">
        <v>134</v>
      </c>
      <c r="D14" s="86" t="s">
        <v>4</v>
      </c>
      <c r="E14" s="86" t="s">
        <v>47</v>
      </c>
      <c r="F14" s="89">
        <v>44375</v>
      </c>
      <c r="G14" s="86">
        <v>10</v>
      </c>
      <c r="H14" s="91"/>
      <c r="I14" s="91"/>
      <c r="J14" s="91"/>
    </row>
    <row r="15" spans="1:10" x14ac:dyDescent="0.2">
      <c r="A15" s="152"/>
      <c r="B15" s="86" t="s">
        <v>127</v>
      </c>
      <c r="C15" s="86">
        <v>90</v>
      </c>
      <c r="D15" s="86" t="s">
        <v>4</v>
      </c>
      <c r="E15" s="86" t="s">
        <v>47</v>
      </c>
      <c r="F15" s="89">
        <v>44375</v>
      </c>
      <c r="G15" s="86">
        <v>10</v>
      </c>
      <c r="H15" s="100"/>
      <c r="I15" s="91"/>
      <c r="J15" s="91"/>
    </row>
    <row r="16" spans="1:10" x14ac:dyDescent="0.2">
      <c r="A16" s="152"/>
      <c r="B16" s="86" t="s">
        <v>127</v>
      </c>
      <c r="C16" s="86">
        <v>127</v>
      </c>
      <c r="D16" s="86" t="s">
        <v>5</v>
      </c>
      <c r="E16" s="86" t="s">
        <v>51</v>
      </c>
      <c r="F16" s="89">
        <v>44375</v>
      </c>
      <c r="G16" s="86">
        <v>10</v>
      </c>
      <c r="H16" s="91"/>
      <c r="I16" s="91"/>
      <c r="J16" s="91"/>
    </row>
    <row r="17" spans="1:10" x14ac:dyDescent="0.2">
      <c r="A17" s="152"/>
      <c r="B17" s="86" t="s">
        <v>127</v>
      </c>
      <c r="C17" s="86">
        <v>128</v>
      </c>
      <c r="D17" s="86" t="s">
        <v>5</v>
      </c>
      <c r="E17" s="86" t="s">
        <v>51</v>
      </c>
      <c r="F17" s="89">
        <v>44375</v>
      </c>
      <c r="G17" s="86">
        <v>10</v>
      </c>
      <c r="H17" s="91"/>
      <c r="I17" s="91"/>
      <c r="J17" s="91"/>
    </row>
    <row r="18" spans="1:10" x14ac:dyDescent="0.2">
      <c r="A18" s="152"/>
      <c r="B18" s="86" t="s">
        <v>127</v>
      </c>
      <c r="C18" s="86">
        <v>129</v>
      </c>
      <c r="D18" s="86" t="s">
        <v>5</v>
      </c>
      <c r="E18" s="86" t="s">
        <v>51</v>
      </c>
      <c r="F18" s="89">
        <v>44375</v>
      </c>
      <c r="G18" s="86">
        <v>10</v>
      </c>
      <c r="H18" s="91"/>
      <c r="I18" s="91"/>
      <c r="J18" s="91"/>
    </row>
    <row r="19" spans="1:10" x14ac:dyDescent="0.2">
      <c r="A19" s="152"/>
      <c r="B19" s="86" t="s">
        <v>127</v>
      </c>
      <c r="C19" s="86">
        <v>130</v>
      </c>
      <c r="D19" s="86" t="s">
        <v>5</v>
      </c>
      <c r="E19" s="86" t="s">
        <v>51</v>
      </c>
      <c r="F19" s="89">
        <v>44375</v>
      </c>
      <c r="G19" s="86">
        <v>10</v>
      </c>
      <c r="H19" s="91"/>
      <c r="I19" s="91"/>
      <c r="J19" s="91"/>
    </row>
    <row r="20" spans="1:10" ht="17" thickBot="1" x14ac:dyDescent="0.25">
      <c r="A20" s="153"/>
      <c r="B20" s="86" t="s">
        <v>127</v>
      </c>
      <c r="C20" s="86">
        <v>89</v>
      </c>
      <c r="D20" s="86" t="s">
        <v>5</v>
      </c>
      <c r="E20" s="86" t="s">
        <v>51</v>
      </c>
      <c r="F20" s="89">
        <v>44375</v>
      </c>
      <c r="G20" s="86">
        <v>10</v>
      </c>
      <c r="H20" s="100"/>
      <c r="I20" s="91"/>
      <c r="J20" s="91"/>
    </row>
    <row r="21" spans="1:10" ht="17" thickBot="1" x14ac:dyDescent="0.25">
      <c r="A21" s="90"/>
      <c r="B21" s="91"/>
      <c r="C21" s="91"/>
      <c r="D21" s="91"/>
      <c r="E21" s="91"/>
      <c r="F21" s="91"/>
      <c r="G21" s="104"/>
      <c r="H21" s="12"/>
      <c r="I21" s="12"/>
      <c r="J21" s="12"/>
    </row>
    <row r="22" spans="1:10" x14ac:dyDescent="0.2">
      <c r="A22" s="151" t="s">
        <v>859</v>
      </c>
      <c r="B22" s="87" t="s">
        <v>127</v>
      </c>
      <c r="C22" s="87">
        <v>87</v>
      </c>
      <c r="D22" s="87" t="s">
        <v>1</v>
      </c>
      <c r="E22" s="87" t="s">
        <v>38</v>
      </c>
      <c r="F22" s="88">
        <v>44426</v>
      </c>
      <c r="G22" s="87">
        <v>10</v>
      </c>
      <c r="H22" s="101"/>
      <c r="I22" s="91"/>
      <c r="J22" s="91"/>
    </row>
    <row r="23" spans="1:10" x14ac:dyDescent="0.2">
      <c r="A23" s="152"/>
      <c r="B23" s="86" t="s">
        <v>127</v>
      </c>
      <c r="C23" s="86">
        <v>147</v>
      </c>
      <c r="D23" s="86" t="s">
        <v>1</v>
      </c>
      <c r="E23" s="86" t="s">
        <v>38</v>
      </c>
      <c r="F23" s="89">
        <v>44426</v>
      </c>
      <c r="G23" s="86">
        <v>10</v>
      </c>
      <c r="H23" s="91"/>
      <c r="I23" s="91"/>
      <c r="J23" s="91"/>
    </row>
    <row r="24" spans="1:10" x14ac:dyDescent="0.2">
      <c r="A24" s="152"/>
      <c r="B24" s="86" t="s">
        <v>127</v>
      </c>
      <c r="C24" s="86">
        <v>148</v>
      </c>
      <c r="D24" s="86" t="s">
        <v>1</v>
      </c>
      <c r="E24" s="86" t="s">
        <v>38</v>
      </c>
      <c r="F24" s="89">
        <v>44426</v>
      </c>
      <c r="G24" s="86">
        <v>10</v>
      </c>
      <c r="H24" s="91"/>
      <c r="I24" s="91"/>
      <c r="J24" s="91"/>
    </row>
    <row r="25" spans="1:10" x14ac:dyDescent="0.2">
      <c r="A25" s="152"/>
      <c r="B25" s="86" t="s">
        <v>127</v>
      </c>
      <c r="C25" s="86">
        <v>149</v>
      </c>
      <c r="D25" s="86" t="s">
        <v>1</v>
      </c>
      <c r="E25" s="86" t="s">
        <v>38</v>
      </c>
      <c r="F25" s="89">
        <v>44426</v>
      </c>
      <c r="G25" s="86">
        <v>10</v>
      </c>
      <c r="H25" s="91"/>
      <c r="I25" s="91"/>
      <c r="J25" s="91"/>
    </row>
    <row r="26" spans="1:10" x14ac:dyDescent="0.2">
      <c r="A26" s="152"/>
      <c r="B26" s="86" t="s">
        <v>127</v>
      </c>
      <c r="C26" s="86">
        <v>150</v>
      </c>
      <c r="D26" s="86" t="s">
        <v>1</v>
      </c>
      <c r="E26" s="86" t="s">
        <v>38</v>
      </c>
      <c r="F26" s="89">
        <v>44426</v>
      </c>
      <c r="G26" s="86">
        <v>10</v>
      </c>
      <c r="H26" s="91"/>
      <c r="I26" s="91"/>
      <c r="J26" s="91"/>
    </row>
    <row r="27" spans="1:10" x14ac:dyDescent="0.2">
      <c r="A27" s="152"/>
      <c r="B27" s="86" t="s">
        <v>127</v>
      </c>
      <c r="C27" s="86">
        <v>143</v>
      </c>
      <c r="D27" s="86" t="s">
        <v>4</v>
      </c>
      <c r="E27" s="86" t="s">
        <v>47</v>
      </c>
      <c r="F27" s="89">
        <v>44431</v>
      </c>
      <c r="G27" s="86">
        <v>10</v>
      </c>
      <c r="H27" s="91"/>
      <c r="I27" s="91"/>
      <c r="J27" s="91"/>
    </row>
    <row r="28" spans="1:10" x14ac:dyDescent="0.2">
      <c r="A28" s="152"/>
      <c r="B28" s="86" t="s">
        <v>127</v>
      </c>
      <c r="C28" s="86">
        <v>144</v>
      </c>
      <c r="D28" s="86" t="s">
        <v>4</v>
      </c>
      <c r="E28" s="86" t="s">
        <v>47</v>
      </c>
      <c r="F28" s="89">
        <v>44431</v>
      </c>
      <c r="G28" s="86">
        <v>10</v>
      </c>
      <c r="H28" s="91"/>
      <c r="I28" s="91"/>
      <c r="J28" s="91"/>
    </row>
    <row r="29" spans="1:10" x14ac:dyDescent="0.2">
      <c r="A29" s="152"/>
      <c r="B29" s="86" t="s">
        <v>127</v>
      </c>
      <c r="C29" s="86">
        <v>145</v>
      </c>
      <c r="D29" s="86" t="s">
        <v>4</v>
      </c>
      <c r="E29" s="86" t="s">
        <v>47</v>
      </c>
      <c r="F29" s="89">
        <v>44431</v>
      </c>
      <c r="G29" s="86">
        <v>10</v>
      </c>
      <c r="H29" s="91"/>
      <c r="I29" s="91"/>
      <c r="J29" s="91"/>
    </row>
    <row r="30" spans="1:10" x14ac:dyDescent="0.2">
      <c r="A30" s="152"/>
      <c r="B30" s="86" t="s">
        <v>127</v>
      </c>
      <c r="C30" s="86">
        <v>146</v>
      </c>
      <c r="D30" s="86" t="s">
        <v>4</v>
      </c>
      <c r="E30" s="86" t="s">
        <v>47</v>
      </c>
      <c r="F30" s="89">
        <v>44431</v>
      </c>
      <c r="G30" s="86">
        <v>10</v>
      </c>
      <c r="H30" s="91"/>
      <c r="I30" s="91"/>
      <c r="J30" s="91"/>
    </row>
    <row r="31" spans="1:10" x14ac:dyDescent="0.2">
      <c r="A31" s="152"/>
      <c r="B31" s="86" t="s">
        <v>127</v>
      </c>
      <c r="C31" s="86">
        <v>86</v>
      </c>
      <c r="D31" s="86" t="s">
        <v>4</v>
      </c>
      <c r="E31" s="86" t="s">
        <v>47</v>
      </c>
      <c r="F31" s="89">
        <v>44431</v>
      </c>
      <c r="G31" s="86">
        <v>10</v>
      </c>
      <c r="H31" s="100"/>
      <c r="I31" s="91"/>
      <c r="J31" s="91"/>
    </row>
    <row r="32" spans="1:10" x14ac:dyDescent="0.2">
      <c r="A32" s="152"/>
      <c r="B32" s="86" t="s">
        <v>127</v>
      </c>
      <c r="C32" s="86">
        <v>139</v>
      </c>
      <c r="D32" s="86" t="s">
        <v>5</v>
      </c>
      <c r="E32" s="86" t="s">
        <v>55</v>
      </c>
      <c r="F32" s="89">
        <v>44427</v>
      </c>
      <c r="G32" s="86">
        <v>10</v>
      </c>
      <c r="H32" s="91"/>
      <c r="I32" s="91"/>
      <c r="J32" s="91"/>
    </row>
    <row r="33" spans="1:10" x14ac:dyDescent="0.2">
      <c r="A33" s="152"/>
      <c r="B33" s="86" t="s">
        <v>127</v>
      </c>
      <c r="C33" s="86">
        <v>140</v>
      </c>
      <c r="D33" s="86" t="s">
        <v>5</v>
      </c>
      <c r="E33" s="86" t="s">
        <v>55</v>
      </c>
      <c r="F33" s="89">
        <v>44428</v>
      </c>
      <c r="G33" s="86">
        <v>10</v>
      </c>
      <c r="H33" s="91"/>
      <c r="I33" s="91"/>
      <c r="J33" s="91"/>
    </row>
    <row r="34" spans="1:10" x14ac:dyDescent="0.2">
      <c r="A34" s="152"/>
      <c r="B34" s="86" t="s">
        <v>127</v>
      </c>
      <c r="C34" s="86">
        <v>141</v>
      </c>
      <c r="D34" s="86" t="s">
        <v>5</v>
      </c>
      <c r="E34" s="86" t="s">
        <v>55</v>
      </c>
      <c r="F34" s="89">
        <v>44429</v>
      </c>
      <c r="G34" s="86">
        <v>10</v>
      </c>
      <c r="H34" s="91"/>
      <c r="I34" s="91"/>
      <c r="J34" s="91"/>
    </row>
    <row r="35" spans="1:10" x14ac:dyDescent="0.2">
      <c r="A35" s="152"/>
      <c r="B35" s="86" t="s">
        <v>127</v>
      </c>
      <c r="C35" s="86">
        <v>142</v>
      </c>
      <c r="D35" s="86" t="s">
        <v>5</v>
      </c>
      <c r="E35" s="86" t="s">
        <v>55</v>
      </c>
      <c r="F35" s="89">
        <v>44430</v>
      </c>
      <c r="G35" s="86">
        <v>10</v>
      </c>
      <c r="H35" s="91"/>
      <c r="I35" s="91"/>
      <c r="J35" s="91"/>
    </row>
    <row r="36" spans="1:10" ht="17" thickBot="1" x14ac:dyDescent="0.25">
      <c r="A36" s="153"/>
      <c r="B36" s="86" t="s">
        <v>127</v>
      </c>
      <c r="C36" s="86">
        <v>88</v>
      </c>
      <c r="D36" s="86" t="s">
        <v>5</v>
      </c>
      <c r="E36" s="86" t="s">
        <v>55</v>
      </c>
      <c r="F36" s="89">
        <v>44431</v>
      </c>
      <c r="G36" s="86">
        <v>10</v>
      </c>
      <c r="H36" s="100"/>
      <c r="I36" s="91"/>
      <c r="J36" s="91"/>
    </row>
    <row r="39" spans="1:10" ht="17" thickBot="1" x14ac:dyDescent="0.25">
      <c r="A39" s="15">
        <v>2022</v>
      </c>
    </row>
    <row r="40" spans="1:10" ht="17" thickBot="1" x14ac:dyDescent="0.25">
      <c r="B40" s="92" t="s">
        <v>854</v>
      </c>
      <c r="C40" s="92" t="s">
        <v>855</v>
      </c>
      <c r="D40" s="92" t="s">
        <v>856</v>
      </c>
      <c r="E40" s="93" t="s">
        <v>30</v>
      </c>
      <c r="F40" s="93" t="s">
        <v>119</v>
      </c>
      <c r="G40" s="92" t="s">
        <v>857</v>
      </c>
    </row>
    <row r="41" spans="1:10" ht="17" thickBot="1" x14ac:dyDescent="0.25">
      <c r="B41" s="94"/>
    </row>
    <row r="42" spans="1:10" x14ac:dyDescent="0.2">
      <c r="A42" s="154" t="s">
        <v>859</v>
      </c>
      <c r="B42" s="59" t="s">
        <v>127</v>
      </c>
      <c r="C42" s="95">
        <v>1</v>
      </c>
      <c r="D42" s="95" t="s">
        <v>1</v>
      </c>
      <c r="E42" s="95" t="s">
        <v>31</v>
      </c>
      <c r="F42" s="96">
        <v>44803</v>
      </c>
      <c r="G42" s="95">
        <v>10</v>
      </c>
    </row>
    <row r="43" spans="1:10" x14ac:dyDescent="0.2">
      <c r="A43" s="155"/>
      <c r="B43" s="59" t="s">
        <v>127</v>
      </c>
      <c r="C43" s="95">
        <v>2</v>
      </c>
      <c r="D43" s="95" t="s">
        <v>1</v>
      </c>
      <c r="E43" s="95" t="s">
        <v>31</v>
      </c>
      <c r="F43" s="96">
        <v>44803</v>
      </c>
      <c r="G43" s="95">
        <v>10</v>
      </c>
    </row>
    <row r="44" spans="1:10" x14ac:dyDescent="0.2">
      <c r="A44" s="155"/>
      <c r="B44" s="59" t="s">
        <v>127</v>
      </c>
      <c r="C44" s="95">
        <v>3</v>
      </c>
      <c r="D44" s="95" t="s">
        <v>1</v>
      </c>
      <c r="E44" s="95" t="s">
        <v>31</v>
      </c>
      <c r="F44" s="96">
        <v>44803</v>
      </c>
      <c r="G44" s="95">
        <v>10</v>
      </c>
    </row>
    <row r="45" spans="1:10" x14ac:dyDescent="0.2">
      <c r="A45" s="155"/>
      <c r="B45" s="59" t="s">
        <v>127</v>
      </c>
      <c r="C45" s="95">
        <v>4</v>
      </c>
      <c r="D45" s="95" t="s">
        <v>1</v>
      </c>
      <c r="E45" s="95" t="s">
        <v>31</v>
      </c>
      <c r="F45" s="96">
        <v>44803</v>
      </c>
      <c r="G45" s="95">
        <v>10</v>
      </c>
    </row>
    <row r="46" spans="1:10" x14ac:dyDescent="0.2">
      <c r="A46" s="155"/>
      <c r="B46" s="59" t="s">
        <v>127</v>
      </c>
      <c r="C46" s="95">
        <v>5</v>
      </c>
      <c r="D46" s="95" t="s">
        <v>1</v>
      </c>
      <c r="E46" s="95" t="s">
        <v>31</v>
      </c>
      <c r="F46" s="96">
        <v>44803</v>
      </c>
      <c r="G46" s="95">
        <v>10</v>
      </c>
    </row>
    <row r="47" spans="1:10" x14ac:dyDescent="0.2">
      <c r="A47" s="155"/>
      <c r="B47" s="59" t="s">
        <v>127</v>
      </c>
      <c r="C47" s="95">
        <v>6</v>
      </c>
      <c r="D47" s="95" t="s">
        <v>4</v>
      </c>
      <c r="E47" s="95" t="s">
        <v>47</v>
      </c>
      <c r="F47" s="96">
        <v>44795</v>
      </c>
      <c r="G47" s="95">
        <v>10</v>
      </c>
    </row>
    <row r="48" spans="1:10" x14ac:dyDescent="0.2">
      <c r="A48" s="155"/>
      <c r="B48" s="59" t="s">
        <v>127</v>
      </c>
      <c r="C48" s="95">
        <v>7</v>
      </c>
      <c r="D48" s="95" t="s">
        <v>4</v>
      </c>
      <c r="E48" s="95" t="s">
        <v>47</v>
      </c>
      <c r="F48" s="96">
        <v>44795</v>
      </c>
      <c r="G48" s="95">
        <v>10</v>
      </c>
    </row>
    <row r="49" spans="1:7" x14ac:dyDescent="0.2">
      <c r="A49" s="155"/>
      <c r="B49" s="59" t="s">
        <v>127</v>
      </c>
      <c r="C49" s="95">
        <v>8</v>
      </c>
      <c r="D49" s="95" t="s">
        <v>4</v>
      </c>
      <c r="E49" s="95" t="s">
        <v>47</v>
      </c>
      <c r="F49" s="96">
        <v>44795</v>
      </c>
      <c r="G49" s="95">
        <v>10</v>
      </c>
    </row>
    <row r="50" spans="1:7" x14ac:dyDescent="0.2">
      <c r="A50" s="155"/>
      <c r="B50" s="59" t="s">
        <v>127</v>
      </c>
      <c r="C50" s="95">
        <v>9</v>
      </c>
      <c r="D50" s="95" t="s">
        <v>4</v>
      </c>
      <c r="E50" s="95" t="s">
        <v>47</v>
      </c>
      <c r="F50" s="96">
        <v>44795</v>
      </c>
      <c r="G50" s="95">
        <v>10</v>
      </c>
    </row>
    <row r="51" spans="1:7" x14ac:dyDescent="0.2">
      <c r="A51" s="155"/>
      <c r="B51" s="59" t="s">
        <v>127</v>
      </c>
      <c r="C51" s="95">
        <v>10</v>
      </c>
      <c r="D51" s="95" t="s">
        <v>4</v>
      </c>
      <c r="E51" s="95" t="s">
        <v>47</v>
      </c>
      <c r="F51" s="96">
        <v>44795</v>
      </c>
      <c r="G51" s="95">
        <v>10</v>
      </c>
    </row>
    <row r="52" spans="1:7" x14ac:dyDescent="0.2">
      <c r="A52" s="155"/>
      <c r="B52" s="59" t="s">
        <v>127</v>
      </c>
      <c r="C52" s="95">
        <v>11</v>
      </c>
      <c r="D52" s="95" t="s">
        <v>5</v>
      </c>
      <c r="E52" s="95" t="s">
        <v>55</v>
      </c>
      <c r="F52" s="96">
        <v>44785</v>
      </c>
      <c r="G52" s="95">
        <v>10</v>
      </c>
    </row>
    <row r="53" spans="1:7" x14ac:dyDescent="0.2">
      <c r="A53" s="155"/>
      <c r="B53" s="59" t="s">
        <v>127</v>
      </c>
      <c r="C53" s="95">
        <v>12</v>
      </c>
      <c r="D53" s="95" t="s">
        <v>5</v>
      </c>
      <c r="E53" s="95" t="s">
        <v>55</v>
      </c>
      <c r="F53" s="96">
        <v>44785</v>
      </c>
      <c r="G53" s="95">
        <v>10</v>
      </c>
    </row>
    <row r="54" spans="1:7" x14ac:dyDescent="0.2">
      <c r="A54" s="155"/>
      <c r="B54" s="59" t="s">
        <v>127</v>
      </c>
      <c r="C54" s="95">
        <v>13</v>
      </c>
      <c r="D54" s="95" t="s">
        <v>5</v>
      </c>
      <c r="E54" s="95" t="s">
        <v>55</v>
      </c>
      <c r="F54" s="96">
        <v>44785</v>
      </c>
      <c r="G54" s="95">
        <v>10</v>
      </c>
    </row>
    <row r="55" spans="1:7" x14ac:dyDescent="0.2">
      <c r="A55" s="155"/>
      <c r="B55" s="59" t="s">
        <v>127</v>
      </c>
      <c r="C55" s="95">
        <v>14</v>
      </c>
      <c r="D55" s="95" t="s">
        <v>5</v>
      </c>
      <c r="E55" s="95" t="s">
        <v>55</v>
      </c>
      <c r="F55" s="96">
        <v>44785</v>
      </c>
      <c r="G55" s="95">
        <v>10</v>
      </c>
    </row>
    <row r="56" spans="1:7" ht="17" thickBot="1" x14ac:dyDescent="0.25">
      <c r="A56" s="156"/>
      <c r="B56" s="59" t="s">
        <v>127</v>
      </c>
      <c r="C56" s="95">
        <v>15</v>
      </c>
      <c r="D56" s="95" t="s">
        <v>5</v>
      </c>
      <c r="E56" s="95" t="s">
        <v>55</v>
      </c>
      <c r="F56" s="96">
        <v>44785</v>
      </c>
      <c r="G56" s="95">
        <v>10</v>
      </c>
    </row>
    <row r="57" spans="1:7" ht="17" thickBot="1" x14ac:dyDescent="0.25">
      <c r="A57" s="97"/>
      <c r="B57" s="19"/>
      <c r="C57" s="19"/>
      <c r="D57" s="19"/>
      <c r="E57" s="19"/>
      <c r="F57" s="19"/>
      <c r="G57" s="19"/>
    </row>
    <row r="58" spans="1:7" x14ac:dyDescent="0.2">
      <c r="A58" s="154" t="s">
        <v>858</v>
      </c>
      <c r="B58" s="59" t="s">
        <v>127</v>
      </c>
      <c r="C58" s="95">
        <v>16</v>
      </c>
      <c r="D58" s="95" t="s">
        <v>1</v>
      </c>
      <c r="E58" s="95" t="s">
        <v>35</v>
      </c>
      <c r="F58" s="96">
        <v>44733</v>
      </c>
      <c r="G58" s="95">
        <v>10</v>
      </c>
    </row>
    <row r="59" spans="1:7" x14ac:dyDescent="0.2">
      <c r="A59" s="155"/>
      <c r="B59" s="59" t="s">
        <v>127</v>
      </c>
      <c r="C59" s="95">
        <v>17</v>
      </c>
      <c r="D59" s="95" t="s">
        <v>1</v>
      </c>
      <c r="E59" s="95" t="s">
        <v>35</v>
      </c>
      <c r="F59" s="96">
        <v>44733</v>
      </c>
      <c r="G59" s="95">
        <v>10</v>
      </c>
    </row>
    <row r="60" spans="1:7" x14ac:dyDescent="0.2">
      <c r="A60" s="155"/>
      <c r="B60" s="59" t="s">
        <v>127</v>
      </c>
      <c r="C60" s="95">
        <v>18</v>
      </c>
      <c r="D60" s="95" t="s">
        <v>1</v>
      </c>
      <c r="E60" s="95" t="s">
        <v>35</v>
      </c>
      <c r="F60" s="96">
        <v>44733</v>
      </c>
      <c r="G60" s="95">
        <v>10</v>
      </c>
    </row>
    <row r="61" spans="1:7" x14ac:dyDescent="0.2">
      <c r="A61" s="155"/>
      <c r="B61" s="59" t="s">
        <v>127</v>
      </c>
      <c r="C61" s="95">
        <v>19</v>
      </c>
      <c r="D61" s="95" t="s">
        <v>1</v>
      </c>
      <c r="E61" s="95" t="s">
        <v>35</v>
      </c>
      <c r="F61" s="96">
        <v>44733</v>
      </c>
      <c r="G61" s="95">
        <v>10</v>
      </c>
    </row>
    <row r="62" spans="1:7" x14ac:dyDescent="0.2">
      <c r="A62" s="155"/>
      <c r="B62" s="59" t="s">
        <v>127</v>
      </c>
      <c r="C62" s="95">
        <v>20</v>
      </c>
      <c r="D62" s="95" t="s">
        <v>1</v>
      </c>
      <c r="E62" s="95" t="s">
        <v>35</v>
      </c>
      <c r="F62" s="96">
        <v>44733</v>
      </c>
      <c r="G62" s="95">
        <v>10</v>
      </c>
    </row>
    <row r="63" spans="1:7" x14ac:dyDescent="0.2">
      <c r="A63" s="155"/>
      <c r="B63" s="59" t="s">
        <v>127</v>
      </c>
      <c r="C63" s="95">
        <v>21</v>
      </c>
      <c r="D63" s="95" t="s">
        <v>4</v>
      </c>
      <c r="E63" s="95" t="s">
        <v>47</v>
      </c>
      <c r="F63" s="96">
        <v>44725</v>
      </c>
      <c r="G63" s="95">
        <v>10</v>
      </c>
    </row>
    <row r="64" spans="1:7" x14ac:dyDescent="0.2">
      <c r="A64" s="155"/>
      <c r="B64" s="59" t="s">
        <v>127</v>
      </c>
      <c r="C64" s="95">
        <v>22</v>
      </c>
      <c r="D64" s="95" t="s">
        <v>4</v>
      </c>
      <c r="E64" s="95" t="s">
        <v>47</v>
      </c>
      <c r="F64" s="96">
        <v>44725</v>
      </c>
      <c r="G64" s="95">
        <v>10</v>
      </c>
    </row>
    <row r="65" spans="1:7" x14ac:dyDescent="0.2">
      <c r="A65" s="155"/>
      <c r="B65" s="59" t="s">
        <v>127</v>
      </c>
      <c r="C65" s="95">
        <v>23</v>
      </c>
      <c r="D65" s="95" t="s">
        <v>4</v>
      </c>
      <c r="E65" s="95" t="s">
        <v>47</v>
      </c>
      <c r="F65" s="96">
        <v>44725</v>
      </c>
      <c r="G65" s="95">
        <v>10</v>
      </c>
    </row>
    <row r="66" spans="1:7" x14ac:dyDescent="0.2">
      <c r="A66" s="155"/>
      <c r="B66" s="59" t="s">
        <v>127</v>
      </c>
      <c r="C66" s="95">
        <v>24</v>
      </c>
      <c r="D66" s="95" t="s">
        <v>4</v>
      </c>
      <c r="E66" s="95" t="s">
        <v>47</v>
      </c>
      <c r="F66" s="96">
        <v>44725</v>
      </c>
      <c r="G66" s="95">
        <v>10</v>
      </c>
    </row>
    <row r="67" spans="1:7" x14ac:dyDescent="0.2">
      <c r="A67" s="155"/>
      <c r="B67" s="59" t="s">
        <v>127</v>
      </c>
      <c r="C67" s="95">
        <v>25</v>
      </c>
      <c r="D67" s="95" t="s">
        <v>4</v>
      </c>
      <c r="E67" s="95" t="s">
        <v>47</v>
      </c>
      <c r="F67" s="96">
        <v>44725</v>
      </c>
      <c r="G67" s="95">
        <v>10</v>
      </c>
    </row>
    <row r="68" spans="1:7" x14ac:dyDescent="0.2">
      <c r="A68" s="155"/>
      <c r="B68" s="59" t="s">
        <v>127</v>
      </c>
      <c r="C68" s="95">
        <v>26</v>
      </c>
      <c r="D68" s="95" t="s">
        <v>5</v>
      </c>
      <c r="E68" s="95" t="s">
        <v>51</v>
      </c>
      <c r="F68" s="96">
        <v>44725</v>
      </c>
      <c r="G68" s="95">
        <v>10</v>
      </c>
    </row>
    <row r="69" spans="1:7" x14ac:dyDescent="0.2">
      <c r="A69" s="155"/>
      <c r="B69" s="59" t="s">
        <v>127</v>
      </c>
      <c r="C69" s="95">
        <v>27</v>
      </c>
      <c r="D69" s="95" t="s">
        <v>5</v>
      </c>
      <c r="E69" s="95" t="s">
        <v>51</v>
      </c>
      <c r="F69" s="96">
        <v>44725</v>
      </c>
      <c r="G69" s="95">
        <v>10</v>
      </c>
    </row>
    <row r="70" spans="1:7" x14ac:dyDescent="0.2">
      <c r="A70" s="155"/>
      <c r="B70" s="59" t="s">
        <v>127</v>
      </c>
      <c r="C70" s="95">
        <v>28</v>
      </c>
      <c r="D70" s="95" t="s">
        <v>5</v>
      </c>
      <c r="E70" s="95" t="s">
        <v>51</v>
      </c>
      <c r="F70" s="96">
        <v>44725</v>
      </c>
      <c r="G70" s="95">
        <v>10</v>
      </c>
    </row>
    <row r="71" spans="1:7" x14ac:dyDescent="0.2">
      <c r="A71" s="155"/>
      <c r="B71" s="59" t="s">
        <v>127</v>
      </c>
      <c r="C71" s="95">
        <v>29</v>
      </c>
      <c r="D71" s="95" t="s">
        <v>5</v>
      </c>
      <c r="E71" s="95" t="s">
        <v>51</v>
      </c>
      <c r="F71" s="96">
        <v>44725</v>
      </c>
      <c r="G71" s="95">
        <v>10</v>
      </c>
    </row>
    <row r="72" spans="1:7" ht="17" thickBot="1" x14ac:dyDescent="0.25">
      <c r="A72" s="156"/>
      <c r="B72" s="59" t="s">
        <v>127</v>
      </c>
      <c r="C72" s="95">
        <v>30</v>
      </c>
      <c r="D72" s="95" t="s">
        <v>5</v>
      </c>
      <c r="E72" s="95" t="s">
        <v>51</v>
      </c>
      <c r="F72" s="96">
        <v>44725</v>
      </c>
      <c r="G72" s="95">
        <v>10</v>
      </c>
    </row>
  </sheetData>
  <mergeCells count="4">
    <mergeCell ref="A6:A20"/>
    <mergeCell ref="A22:A36"/>
    <mergeCell ref="A42:A56"/>
    <mergeCell ref="A58:A7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E1E52-2950-3242-8006-1489AFE225B6}">
  <dimension ref="A1:V65"/>
  <sheetViews>
    <sheetView zoomScale="77" zoomScaleNormal="77" workbookViewId="0">
      <selection activeCell="B15" sqref="B15"/>
    </sheetView>
  </sheetViews>
  <sheetFormatPr baseColWidth="10" defaultRowHeight="16" x14ac:dyDescent="0.2"/>
  <cols>
    <col min="4" max="4" width="25.33203125" customWidth="1"/>
    <col min="5" max="5" width="21.1640625" customWidth="1"/>
    <col min="6" max="6" width="26.83203125" customWidth="1"/>
    <col min="7" max="7" width="24.5" customWidth="1"/>
    <col min="11" max="11" width="27.33203125" customWidth="1"/>
    <col min="12" max="12" width="20.6640625" customWidth="1"/>
    <col min="13" max="13" width="28" customWidth="1"/>
    <col min="14" max="14" width="26.83203125" customWidth="1"/>
    <col min="15" max="15" width="23.83203125" customWidth="1"/>
    <col min="16" max="16" width="31.6640625" customWidth="1"/>
    <col min="17" max="18" width="20.6640625" customWidth="1"/>
    <col min="19" max="19" width="22.6640625" customWidth="1"/>
    <col min="20" max="20" width="38.33203125" customWidth="1"/>
    <col min="21" max="21" width="18.6640625" customWidth="1"/>
  </cols>
  <sheetData>
    <row r="1" spans="1:22" x14ac:dyDescent="0.2">
      <c r="A1" s="15" t="s">
        <v>998</v>
      </c>
    </row>
    <row r="2" spans="1:22" ht="17" thickBot="1" x14ac:dyDescent="0.25"/>
    <row r="3" spans="1:22" ht="22" thickBot="1" x14ac:dyDescent="0.3">
      <c r="A3" s="159" t="s">
        <v>144</v>
      </c>
      <c r="B3" s="160"/>
      <c r="C3" s="161"/>
      <c r="K3" s="10" t="s">
        <v>491</v>
      </c>
    </row>
    <row r="4" spans="1:22" x14ac:dyDescent="0.2">
      <c r="C4" s="13"/>
      <c r="D4" s="13" t="s">
        <v>145</v>
      </c>
      <c r="E4" s="13" t="s">
        <v>175</v>
      </c>
      <c r="F4" s="13" t="s">
        <v>174</v>
      </c>
      <c r="G4" s="13" t="s">
        <v>176</v>
      </c>
    </row>
    <row r="5" spans="1:22" ht="16" customHeight="1" x14ac:dyDescent="0.2">
      <c r="C5" s="1"/>
      <c r="D5" s="24">
        <v>44708</v>
      </c>
      <c r="E5" s="122" t="s">
        <v>146</v>
      </c>
      <c r="F5" s="1" t="s">
        <v>147</v>
      </c>
      <c r="G5" s="1" t="s">
        <v>148</v>
      </c>
      <c r="K5" s="157" t="s">
        <v>985</v>
      </c>
      <c r="L5" s="157"/>
      <c r="M5" s="157"/>
      <c r="N5" s="158"/>
      <c r="O5" s="158"/>
      <c r="P5" s="158"/>
      <c r="Q5" s="158"/>
      <c r="R5" s="158"/>
      <c r="S5" s="158"/>
      <c r="T5" s="158"/>
      <c r="U5" s="158"/>
    </row>
    <row r="6" spans="1:22" x14ac:dyDescent="0.2">
      <c r="C6" s="1"/>
      <c r="D6" s="24">
        <v>44737</v>
      </c>
      <c r="E6" s="122" t="s">
        <v>146</v>
      </c>
      <c r="F6" s="1" t="s">
        <v>147</v>
      </c>
      <c r="G6" s="1" t="s">
        <v>148</v>
      </c>
      <c r="K6" s="157"/>
      <c r="L6" s="157"/>
      <c r="M6" s="157"/>
      <c r="N6" s="20"/>
      <c r="O6" s="20"/>
      <c r="P6" s="20"/>
      <c r="Q6" s="20"/>
      <c r="R6" s="20"/>
      <c r="S6" s="20"/>
      <c r="T6" s="20"/>
      <c r="U6" s="20"/>
      <c r="V6" s="20"/>
    </row>
    <row r="7" spans="1:22" ht="16" customHeight="1" x14ac:dyDescent="0.2">
      <c r="C7" s="1"/>
      <c r="D7" s="24">
        <v>44746</v>
      </c>
      <c r="E7" s="123" t="s">
        <v>149</v>
      </c>
      <c r="F7" t="s">
        <v>150</v>
      </c>
      <c r="G7" s="25" t="s">
        <v>151</v>
      </c>
      <c r="K7" s="162" t="s">
        <v>901</v>
      </c>
      <c r="L7" s="162" t="s">
        <v>902</v>
      </c>
      <c r="M7" s="162" t="s">
        <v>481</v>
      </c>
      <c r="N7" s="164" t="s">
        <v>482</v>
      </c>
      <c r="O7" s="165"/>
      <c r="P7" s="164" t="s">
        <v>483</v>
      </c>
      <c r="Q7" s="165"/>
      <c r="R7" s="166" t="s">
        <v>484</v>
      </c>
    </row>
    <row r="8" spans="1:22" x14ac:dyDescent="0.2">
      <c r="C8" s="1"/>
      <c r="D8" s="24">
        <v>44757</v>
      </c>
      <c r="E8" s="123" t="s">
        <v>149</v>
      </c>
      <c r="F8" t="s">
        <v>150</v>
      </c>
      <c r="G8" s="25" t="s">
        <v>151</v>
      </c>
      <c r="K8" s="163"/>
      <c r="L8" s="163"/>
      <c r="M8" s="163"/>
      <c r="N8" s="111" t="s">
        <v>903</v>
      </c>
      <c r="O8" s="112" t="s">
        <v>904</v>
      </c>
      <c r="P8" s="111" t="s">
        <v>903</v>
      </c>
      <c r="Q8" s="112" t="s">
        <v>904</v>
      </c>
      <c r="R8" s="167"/>
    </row>
    <row r="9" spans="1:22" ht="16" customHeight="1" x14ac:dyDescent="0.2">
      <c r="C9" s="1"/>
      <c r="D9" s="24">
        <v>44779</v>
      </c>
      <c r="E9" s="1" t="s">
        <v>152</v>
      </c>
      <c r="F9" t="s">
        <v>153</v>
      </c>
      <c r="G9" s="1">
        <v>29</v>
      </c>
      <c r="K9" s="123" t="s">
        <v>154</v>
      </c>
      <c r="L9" s="40" t="s">
        <v>439</v>
      </c>
      <c r="M9" s="6">
        <v>9</v>
      </c>
      <c r="N9" s="113" t="s">
        <v>440</v>
      </c>
      <c r="O9" s="30" t="s">
        <v>441</v>
      </c>
      <c r="P9" s="113" t="s">
        <v>442</v>
      </c>
      <c r="Q9" s="30" t="s">
        <v>443</v>
      </c>
      <c r="R9" s="6" t="s">
        <v>485</v>
      </c>
    </row>
    <row r="10" spans="1:22" x14ac:dyDescent="0.2">
      <c r="C10" s="1"/>
      <c r="D10" s="24">
        <v>44793</v>
      </c>
      <c r="E10" s="123" t="s">
        <v>154</v>
      </c>
      <c r="F10" t="s">
        <v>155</v>
      </c>
      <c r="G10" s="1" t="s">
        <v>156</v>
      </c>
      <c r="K10" s="36" t="s">
        <v>152</v>
      </c>
      <c r="L10" s="36" t="s">
        <v>153</v>
      </c>
      <c r="M10" s="7">
        <v>3</v>
      </c>
      <c r="N10" s="114" t="s">
        <v>444</v>
      </c>
      <c r="O10" s="35" t="s">
        <v>316</v>
      </c>
      <c r="P10" s="114" t="s">
        <v>445</v>
      </c>
      <c r="Q10" s="35" t="s">
        <v>446</v>
      </c>
      <c r="R10" s="7" t="s">
        <v>486</v>
      </c>
    </row>
    <row r="11" spans="1:22" x14ac:dyDescent="0.2">
      <c r="C11" s="1"/>
      <c r="D11" s="24"/>
      <c r="E11" s="1"/>
      <c r="G11" s="1"/>
      <c r="K11" s="40" t="s">
        <v>447</v>
      </c>
      <c r="L11" s="40" t="s">
        <v>448</v>
      </c>
      <c r="M11" s="6">
        <v>2</v>
      </c>
      <c r="N11" s="113" t="s">
        <v>905</v>
      </c>
      <c r="O11" s="30" t="s">
        <v>906</v>
      </c>
      <c r="P11" s="113" t="s">
        <v>907</v>
      </c>
      <c r="Q11" s="30" t="s">
        <v>908</v>
      </c>
      <c r="R11" s="6" t="s">
        <v>403</v>
      </c>
    </row>
    <row r="12" spans="1:22" x14ac:dyDescent="0.2">
      <c r="C12" s="1"/>
      <c r="D12" s="24">
        <v>44707</v>
      </c>
      <c r="E12" s="122" t="s">
        <v>146</v>
      </c>
      <c r="F12" s="1" t="s">
        <v>147</v>
      </c>
      <c r="G12" s="1" t="s">
        <v>148</v>
      </c>
      <c r="K12" s="124" t="s">
        <v>149</v>
      </c>
      <c r="L12" s="36" t="s">
        <v>449</v>
      </c>
      <c r="M12" s="7">
        <v>10</v>
      </c>
      <c r="N12" s="114" t="s">
        <v>450</v>
      </c>
      <c r="O12" s="35" t="s">
        <v>451</v>
      </c>
      <c r="P12" s="114" t="s">
        <v>452</v>
      </c>
      <c r="Q12" s="35" t="s">
        <v>453</v>
      </c>
      <c r="R12" s="7" t="s">
        <v>487</v>
      </c>
    </row>
    <row r="13" spans="1:22" x14ac:dyDescent="0.2">
      <c r="C13" s="1"/>
      <c r="D13" s="24">
        <v>44707</v>
      </c>
      <c r="E13" s="1" t="s">
        <v>152</v>
      </c>
      <c r="F13" s="1" t="s">
        <v>153</v>
      </c>
      <c r="G13" s="1">
        <v>29</v>
      </c>
      <c r="K13" s="40" t="s">
        <v>165</v>
      </c>
      <c r="L13" s="40" t="s">
        <v>454</v>
      </c>
      <c r="M13" s="6">
        <v>1</v>
      </c>
      <c r="N13" s="113" t="s">
        <v>455</v>
      </c>
      <c r="O13" s="30" t="s">
        <v>403</v>
      </c>
      <c r="P13" s="113" t="s">
        <v>456</v>
      </c>
      <c r="Q13" s="30" t="s">
        <v>403</v>
      </c>
      <c r="R13" s="6" t="s">
        <v>403</v>
      </c>
    </row>
    <row r="14" spans="1:22" x14ac:dyDescent="0.2">
      <c r="C14" s="1"/>
      <c r="D14" s="24">
        <v>44731</v>
      </c>
      <c r="E14" s="122" t="s">
        <v>157</v>
      </c>
      <c r="F14" s="1" t="s">
        <v>158</v>
      </c>
      <c r="G14" s="1" t="s">
        <v>148</v>
      </c>
      <c r="K14" s="122" t="s">
        <v>163</v>
      </c>
      <c r="L14" s="36" t="s">
        <v>164</v>
      </c>
      <c r="M14" s="7">
        <v>1</v>
      </c>
      <c r="N14" s="114" t="s">
        <v>457</v>
      </c>
      <c r="O14" s="35" t="s">
        <v>403</v>
      </c>
      <c r="P14" s="114" t="s">
        <v>458</v>
      </c>
      <c r="Q14" s="35" t="s">
        <v>403</v>
      </c>
      <c r="R14" s="7" t="s">
        <v>403</v>
      </c>
    </row>
    <row r="15" spans="1:22" x14ac:dyDescent="0.2">
      <c r="C15" s="1"/>
      <c r="D15" s="24">
        <v>44739</v>
      </c>
      <c r="E15" s="1" t="s">
        <v>159</v>
      </c>
      <c r="F15" s="1" t="s">
        <v>160</v>
      </c>
      <c r="G15" s="1" t="s">
        <v>161</v>
      </c>
      <c r="K15" s="123" t="s">
        <v>171</v>
      </c>
      <c r="L15" s="40" t="s">
        <v>459</v>
      </c>
      <c r="M15" s="6">
        <v>5</v>
      </c>
      <c r="N15" s="113" t="s">
        <v>460</v>
      </c>
      <c r="O15" s="30" t="s">
        <v>461</v>
      </c>
      <c r="P15" s="113" t="s">
        <v>462</v>
      </c>
      <c r="Q15" s="30" t="s">
        <v>463</v>
      </c>
      <c r="R15" s="6" t="s">
        <v>488</v>
      </c>
    </row>
    <row r="16" spans="1:22" x14ac:dyDescent="0.2">
      <c r="C16" s="1"/>
      <c r="D16" s="24">
        <v>44749</v>
      </c>
      <c r="E16" s="123" t="s">
        <v>154</v>
      </c>
      <c r="F16" t="s">
        <v>155</v>
      </c>
      <c r="G16" s="1" t="s">
        <v>156</v>
      </c>
      <c r="K16" s="122" t="s">
        <v>157</v>
      </c>
      <c r="L16" s="36" t="s">
        <v>158</v>
      </c>
      <c r="M16" s="7">
        <v>5</v>
      </c>
      <c r="N16" s="114" t="s">
        <v>909</v>
      </c>
      <c r="O16" s="35" t="s">
        <v>322</v>
      </c>
      <c r="P16" s="114" t="s">
        <v>910</v>
      </c>
      <c r="Q16" s="35" t="s">
        <v>911</v>
      </c>
      <c r="R16" s="7" t="s">
        <v>489</v>
      </c>
    </row>
    <row r="17" spans="3:18" x14ac:dyDescent="0.2">
      <c r="C17" s="1"/>
      <c r="D17" s="24">
        <v>44764</v>
      </c>
      <c r="E17" s="123" t="s">
        <v>149</v>
      </c>
      <c r="F17" s="1" t="s">
        <v>150</v>
      </c>
      <c r="G17" s="25" t="s">
        <v>151</v>
      </c>
      <c r="K17" s="123" t="s">
        <v>167</v>
      </c>
      <c r="L17" s="40" t="s">
        <v>464</v>
      </c>
      <c r="M17" s="6">
        <v>1</v>
      </c>
      <c r="N17" s="113" t="s">
        <v>465</v>
      </c>
      <c r="O17" s="30" t="s">
        <v>403</v>
      </c>
      <c r="P17" s="113" t="s">
        <v>466</v>
      </c>
      <c r="Q17" s="30" t="s">
        <v>403</v>
      </c>
      <c r="R17" s="6" t="s">
        <v>403</v>
      </c>
    </row>
    <row r="18" spans="3:18" x14ac:dyDescent="0.2">
      <c r="C18" s="1"/>
      <c r="D18" s="24">
        <v>44772</v>
      </c>
      <c r="E18" s="123" t="s">
        <v>154</v>
      </c>
      <c r="F18" t="s">
        <v>155</v>
      </c>
      <c r="G18" s="1" t="s">
        <v>162</v>
      </c>
      <c r="K18" s="36" t="s">
        <v>159</v>
      </c>
      <c r="L18" s="36" t="s">
        <v>160</v>
      </c>
      <c r="M18" s="7">
        <v>2</v>
      </c>
      <c r="N18" s="114" t="s">
        <v>467</v>
      </c>
      <c r="O18" s="35" t="s">
        <v>468</v>
      </c>
      <c r="P18" s="114" t="s">
        <v>469</v>
      </c>
      <c r="Q18" s="35" t="s">
        <v>470</v>
      </c>
      <c r="R18" s="7" t="s">
        <v>403</v>
      </c>
    </row>
    <row r="19" spans="3:18" x14ac:dyDescent="0.2">
      <c r="C19" s="1"/>
      <c r="D19" s="24">
        <v>44784</v>
      </c>
      <c r="E19" s="122" t="s">
        <v>163</v>
      </c>
      <c r="F19" s="1" t="s">
        <v>164</v>
      </c>
      <c r="G19" s="1">
        <v>28</v>
      </c>
      <c r="K19" s="125" t="s">
        <v>471</v>
      </c>
      <c r="L19" s="40" t="s">
        <v>472</v>
      </c>
      <c r="M19" s="6">
        <v>5</v>
      </c>
      <c r="N19" s="113" t="s">
        <v>473</v>
      </c>
      <c r="O19" s="30" t="s">
        <v>474</v>
      </c>
      <c r="P19" s="113" t="s">
        <v>475</v>
      </c>
      <c r="Q19" s="30" t="s">
        <v>476</v>
      </c>
      <c r="R19" s="6" t="s">
        <v>490</v>
      </c>
    </row>
    <row r="20" spans="3:18" x14ac:dyDescent="0.2">
      <c r="C20" s="1"/>
      <c r="D20" s="24">
        <v>44798</v>
      </c>
      <c r="E20" s="123" t="s">
        <v>149</v>
      </c>
      <c r="F20" s="1" t="s">
        <v>150</v>
      </c>
      <c r="G20" s="25" t="s">
        <v>151</v>
      </c>
      <c r="K20" s="126" t="s">
        <v>477</v>
      </c>
      <c r="L20" s="115" t="s">
        <v>478</v>
      </c>
      <c r="M20" s="116">
        <v>1</v>
      </c>
      <c r="N20" s="117" t="s">
        <v>479</v>
      </c>
      <c r="O20" s="118" t="s">
        <v>403</v>
      </c>
      <c r="P20" s="117" t="s">
        <v>480</v>
      </c>
      <c r="Q20" s="118" t="s">
        <v>403</v>
      </c>
      <c r="R20" s="116" t="s">
        <v>403</v>
      </c>
    </row>
    <row r="21" spans="3:18" x14ac:dyDescent="0.2">
      <c r="C21" s="1"/>
      <c r="D21" s="24"/>
      <c r="E21" s="1"/>
      <c r="F21" s="1"/>
      <c r="G21" s="25"/>
    </row>
    <row r="22" spans="3:18" x14ac:dyDescent="0.2">
      <c r="C22" s="1"/>
      <c r="D22" s="24">
        <v>44704</v>
      </c>
      <c r="E22" s="122" t="s">
        <v>157</v>
      </c>
      <c r="F22" s="1" t="s">
        <v>158</v>
      </c>
      <c r="G22" s="1" t="s">
        <v>148</v>
      </c>
    </row>
    <row r="23" spans="3:18" x14ac:dyDescent="0.2">
      <c r="C23" s="1"/>
      <c r="D23" s="24">
        <v>44758</v>
      </c>
      <c r="E23" s="1" t="s">
        <v>165</v>
      </c>
      <c r="F23" s="1" t="s">
        <v>166</v>
      </c>
      <c r="G23" s="1">
        <v>5</v>
      </c>
      <c r="K23" s="119" t="s">
        <v>912</v>
      </c>
    </row>
    <row r="24" spans="3:18" ht="16" customHeight="1" x14ac:dyDescent="0.2">
      <c r="C24" s="1"/>
      <c r="D24" s="24">
        <v>44765</v>
      </c>
      <c r="E24" s="122" t="s">
        <v>146</v>
      </c>
      <c r="F24" s="1" t="s">
        <v>147</v>
      </c>
      <c r="G24" s="1" t="s">
        <v>148</v>
      </c>
      <c r="K24" s="157" t="s">
        <v>901</v>
      </c>
      <c r="L24" s="157" t="s">
        <v>902</v>
      </c>
      <c r="M24" s="157" t="s">
        <v>481</v>
      </c>
      <c r="N24" s="158" t="s">
        <v>482</v>
      </c>
      <c r="O24" s="158"/>
      <c r="P24" s="158" t="s">
        <v>483</v>
      </c>
      <c r="Q24" s="158"/>
      <c r="R24" s="20"/>
    </row>
    <row r="25" spans="3:18" x14ac:dyDescent="0.2">
      <c r="C25" s="1"/>
      <c r="D25" s="24">
        <v>44776</v>
      </c>
      <c r="E25" s="123" t="s">
        <v>149</v>
      </c>
      <c r="F25" s="1" t="s">
        <v>150</v>
      </c>
      <c r="G25" s="25" t="s">
        <v>151</v>
      </c>
      <c r="K25" s="157"/>
      <c r="L25" s="157"/>
      <c r="M25" s="157"/>
      <c r="N25" s="20" t="s">
        <v>903</v>
      </c>
      <c r="O25" s="20" t="s">
        <v>904</v>
      </c>
      <c r="P25" s="20" t="s">
        <v>903</v>
      </c>
      <c r="Q25" s="20" t="s">
        <v>904</v>
      </c>
      <c r="R25" s="20" t="s">
        <v>484</v>
      </c>
    </row>
    <row r="26" spans="3:18" ht="16" customHeight="1" x14ac:dyDescent="0.2">
      <c r="C26" s="1"/>
      <c r="D26" s="24">
        <v>44793</v>
      </c>
      <c r="E26" s="123" t="s">
        <v>149</v>
      </c>
      <c r="F26" s="1" t="s">
        <v>150</v>
      </c>
      <c r="G26" s="25" t="s">
        <v>151</v>
      </c>
      <c r="K26" s="123" t="s">
        <v>154</v>
      </c>
      <c r="L26" t="s">
        <v>439</v>
      </c>
      <c r="M26" s="19">
        <v>9</v>
      </c>
      <c r="N26" s="120" t="s">
        <v>913</v>
      </c>
      <c r="O26" s="120" t="s">
        <v>914</v>
      </c>
      <c r="P26" s="120" t="s">
        <v>915</v>
      </c>
      <c r="Q26" s="120" t="s">
        <v>916</v>
      </c>
      <c r="R26" s="19">
        <v>0.55600000000000005</v>
      </c>
    </row>
    <row r="27" spans="3:18" x14ac:dyDescent="0.2">
      <c r="C27" s="1"/>
      <c r="D27" s="24"/>
      <c r="E27" s="1"/>
      <c r="F27" s="1"/>
      <c r="G27" s="25"/>
      <c r="K27" t="s">
        <v>152</v>
      </c>
      <c r="L27" t="s">
        <v>153</v>
      </c>
      <c r="M27" s="19">
        <v>3</v>
      </c>
      <c r="N27" s="120" t="s">
        <v>917</v>
      </c>
      <c r="O27" s="120" t="s">
        <v>918</v>
      </c>
      <c r="P27" s="120" t="s">
        <v>919</v>
      </c>
      <c r="Q27" s="120" t="s">
        <v>920</v>
      </c>
      <c r="R27" s="19">
        <v>0.97599999999999998</v>
      </c>
    </row>
    <row r="28" spans="3:18" x14ac:dyDescent="0.2">
      <c r="C28" s="1"/>
      <c r="D28" s="24">
        <v>44720</v>
      </c>
      <c r="E28" s="123" t="s">
        <v>149</v>
      </c>
      <c r="F28" s="1" t="s">
        <v>150</v>
      </c>
      <c r="G28" s="25" t="s">
        <v>151</v>
      </c>
      <c r="K28" t="s">
        <v>447</v>
      </c>
      <c r="L28" t="s">
        <v>448</v>
      </c>
      <c r="M28" s="19">
        <v>2</v>
      </c>
      <c r="N28" s="120" t="s">
        <v>921</v>
      </c>
      <c r="O28" s="120" t="s">
        <v>922</v>
      </c>
      <c r="P28" s="120" t="s">
        <v>923</v>
      </c>
      <c r="Q28" s="120" t="s">
        <v>924</v>
      </c>
      <c r="R28" s="121" t="s">
        <v>403</v>
      </c>
    </row>
    <row r="29" spans="3:18" x14ac:dyDescent="0.2">
      <c r="C29" s="1"/>
      <c r="D29" s="24">
        <v>44726</v>
      </c>
      <c r="E29" s="123" t="s">
        <v>167</v>
      </c>
      <c r="F29" s="1" t="s">
        <v>168</v>
      </c>
      <c r="G29" s="1" t="s">
        <v>148</v>
      </c>
      <c r="K29" s="127" t="s">
        <v>149</v>
      </c>
      <c r="L29" t="s">
        <v>449</v>
      </c>
      <c r="M29" s="19">
        <v>10</v>
      </c>
      <c r="N29" s="120" t="s">
        <v>925</v>
      </c>
      <c r="O29" s="120" t="s">
        <v>926</v>
      </c>
      <c r="P29" s="120" t="s">
        <v>927</v>
      </c>
      <c r="Q29" s="120" t="s">
        <v>928</v>
      </c>
      <c r="R29" s="19">
        <v>0.85</v>
      </c>
    </row>
    <row r="30" spans="3:18" x14ac:dyDescent="0.2">
      <c r="C30" s="1"/>
      <c r="D30" s="24">
        <v>44755</v>
      </c>
      <c r="E30" s="123" t="s">
        <v>154</v>
      </c>
      <c r="F30" t="s">
        <v>155</v>
      </c>
      <c r="G30" s="25" t="s">
        <v>162</v>
      </c>
      <c r="K30" t="s">
        <v>165</v>
      </c>
      <c r="L30" t="s">
        <v>454</v>
      </c>
      <c r="M30" s="19">
        <v>1</v>
      </c>
      <c r="N30" s="120" t="s">
        <v>929</v>
      </c>
      <c r="O30" s="121" t="s">
        <v>403</v>
      </c>
      <c r="P30" s="120" t="s">
        <v>930</v>
      </c>
      <c r="Q30" s="121" t="s">
        <v>403</v>
      </c>
      <c r="R30" s="121" t="s">
        <v>403</v>
      </c>
    </row>
    <row r="31" spans="3:18" x14ac:dyDescent="0.2">
      <c r="C31" s="1"/>
      <c r="D31" s="24">
        <v>44761</v>
      </c>
      <c r="E31" s="122" t="s">
        <v>169</v>
      </c>
      <c r="F31" s="1" t="s">
        <v>170</v>
      </c>
      <c r="G31" s="25" t="s">
        <v>148</v>
      </c>
      <c r="K31" s="122" t="s">
        <v>163</v>
      </c>
      <c r="L31" t="s">
        <v>164</v>
      </c>
      <c r="M31" s="19">
        <v>1</v>
      </c>
      <c r="N31" s="120" t="s">
        <v>465</v>
      </c>
      <c r="O31" s="121" t="s">
        <v>403</v>
      </c>
      <c r="P31" s="120" t="s">
        <v>931</v>
      </c>
      <c r="Q31" s="121" t="s">
        <v>403</v>
      </c>
      <c r="R31" s="121" t="s">
        <v>403</v>
      </c>
    </row>
    <row r="32" spans="3:18" x14ac:dyDescent="0.2">
      <c r="C32" s="1"/>
      <c r="D32" s="24"/>
      <c r="E32" s="1"/>
      <c r="F32" s="1"/>
      <c r="G32" s="25"/>
      <c r="K32" s="123" t="s">
        <v>171</v>
      </c>
      <c r="L32" t="s">
        <v>459</v>
      </c>
      <c r="M32" s="19">
        <v>4</v>
      </c>
      <c r="N32" s="120" t="s">
        <v>932</v>
      </c>
      <c r="O32" s="120" t="s">
        <v>933</v>
      </c>
      <c r="P32" s="120" t="s">
        <v>934</v>
      </c>
      <c r="Q32" s="120" t="s">
        <v>935</v>
      </c>
      <c r="R32" s="19">
        <v>0.77300000000000002</v>
      </c>
    </row>
    <row r="33" spans="3:18" x14ac:dyDescent="0.2">
      <c r="C33" s="1"/>
      <c r="D33" s="24">
        <v>44705</v>
      </c>
      <c r="E33" s="123" t="s">
        <v>171</v>
      </c>
      <c r="F33" s="1" t="s">
        <v>172</v>
      </c>
      <c r="G33" s="25" t="s">
        <v>173</v>
      </c>
      <c r="K33" s="122" t="s">
        <v>157</v>
      </c>
      <c r="L33" t="s">
        <v>158</v>
      </c>
      <c r="M33" s="19">
        <v>3</v>
      </c>
      <c r="N33" s="120" t="s">
        <v>936</v>
      </c>
      <c r="O33" s="120" t="s">
        <v>937</v>
      </c>
      <c r="P33" s="120" t="s">
        <v>938</v>
      </c>
      <c r="Q33" s="120" t="s">
        <v>939</v>
      </c>
      <c r="R33" s="19">
        <v>0.38500000000000001</v>
      </c>
    </row>
    <row r="34" spans="3:18" x14ac:dyDescent="0.2">
      <c r="C34" s="1"/>
      <c r="D34" s="24">
        <v>44711</v>
      </c>
      <c r="E34" s="123" t="s">
        <v>171</v>
      </c>
      <c r="F34" s="1" t="s">
        <v>172</v>
      </c>
      <c r="G34" s="25" t="s">
        <v>173</v>
      </c>
      <c r="K34" s="123" t="s">
        <v>167</v>
      </c>
      <c r="L34" t="s">
        <v>464</v>
      </c>
      <c r="M34" s="19">
        <v>1</v>
      </c>
      <c r="N34" s="120" t="s">
        <v>940</v>
      </c>
      <c r="O34" s="121" t="s">
        <v>403</v>
      </c>
      <c r="P34" s="120" t="s">
        <v>941</v>
      </c>
      <c r="Q34" s="121" t="s">
        <v>403</v>
      </c>
      <c r="R34" s="121" t="s">
        <v>403</v>
      </c>
    </row>
    <row r="35" spans="3:18" x14ac:dyDescent="0.2">
      <c r="C35" s="1"/>
      <c r="D35" s="24">
        <v>44742</v>
      </c>
      <c r="E35" s="122" t="s">
        <v>157</v>
      </c>
      <c r="F35" s="1" t="s">
        <v>158</v>
      </c>
      <c r="G35" s="25" t="s">
        <v>148</v>
      </c>
      <c r="K35" t="s">
        <v>159</v>
      </c>
      <c r="L35" t="s">
        <v>160</v>
      </c>
      <c r="M35" s="19">
        <v>2</v>
      </c>
      <c r="N35" s="120" t="s">
        <v>942</v>
      </c>
      <c r="O35" s="120" t="s">
        <v>914</v>
      </c>
      <c r="P35" s="120" t="s">
        <v>943</v>
      </c>
      <c r="Q35" s="121" t="s">
        <v>944</v>
      </c>
      <c r="R35" s="121" t="s">
        <v>403</v>
      </c>
    </row>
    <row r="36" spans="3:18" x14ac:dyDescent="0.2">
      <c r="C36" s="1"/>
      <c r="D36" s="24">
        <v>44753</v>
      </c>
      <c r="E36" s="123" t="s">
        <v>154</v>
      </c>
      <c r="F36" t="s">
        <v>155</v>
      </c>
      <c r="G36" s="25" t="s">
        <v>162</v>
      </c>
      <c r="K36" s="128" t="s">
        <v>471</v>
      </c>
      <c r="L36" t="s">
        <v>472</v>
      </c>
      <c r="M36" s="19">
        <v>3</v>
      </c>
      <c r="N36" s="120" t="s">
        <v>945</v>
      </c>
      <c r="O36" s="120" t="s">
        <v>946</v>
      </c>
      <c r="P36" s="120" t="s">
        <v>947</v>
      </c>
      <c r="Q36" s="120" t="s">
        <v>948</v>
      </c>
      <c r="R36" s="120">
        <v>0.27700000000000002</v>
      </c>
    </row>
    <row r="37" spans="3:18" x14ac:dyDescent="0.2">
      <c r="C37" s="1"/>
      <c r="D37" s="24">
        <v>44761</v>
      </c>
      <c r="E37" s="123" t="s">
        <v>171</v>
      </c>
      <c r="F37" s="1" t="s">
        <v>172</v>
      </c>
      <c r="G37" s="25" t="s">
        <v>173</v>
      </c>
      <c r="K37" s="128" t="s">
        <v>477</v>
      </c>
      <c r="L37" t="s">
        <v>478</v>
      </c>
      <c r="M37" s="19">
        <v>1</v>
      </c>
      <c r="N37" s="120" t="s">
        <v>949</v>
      </c>
      <c r="O37" s="121" t="s">
        <v>403</v>
      </c>
      <c r="P37" s="120" t="s">
        <v>950</v>
      </c>
      <c r="Q37" s="121" t="s">
        <v>403</v>
      </c>
      <c r="R37" s="121" t="s">
        <v>403</v>
      </c>
    </row>
    <row r="38" spans="3:18" x14ac:dyDescent="0.2">
      <c r="C38" s="1"/>
      <c r="D38" s="24">
        <v>44776</v>
      </c>
      <c r="E38" s="1" t="s">
        <v>165</v>
      </c>
      <c r="F38" s="1" t="s">
        <v>166</v>
      </c>
      <c r="G38" s="1">
        <v>5</v>
      </c>
    </row>
    <row r="39" spans="3:18" x14ac:dyDescent="0.2">
      <c r="C39" s="1"/>
      <c r="D39" s="24">
        <v>44778</v>
      </c>
      <c r="E39" s="1" t="s">
        <v>152</v>
      </c>
      <c r="F39" s="1" t="s">
        <v>153</v>
      </c>
      <c r="G39" s="1">
        <v>29</v>
      </c>
      <c r="K39" s="119" t="s">
        <v>951</v>
      </c>
    </row>
    <row r="40" spans="3:18" ht="16" customHeight="1" x14ac:dyDescent="0.2">
      <c r="C40" s="1"/>
      <c r="D40" s="24">
        <v>44787</v>
      </c>
      <c r="E40" s="123" t="s">
        <v>171</v>
      </c>
      <c r="F40" t="s">
        <v>172</v>
      </c>
      <c r="G40" s="25" t="s">
        <v>173</v>
      </c>
      <c r="K40" s="157" t="s">
        <v>901</v>
      </c>
      <c r="L40" s="157" t="s">
        <v>902</v>
      </c>
      <c r="M40" s="157" t="s">
        <v>481</v>
      </c>
      <c r="N40" s="158" t="s">
        <v>482</v>
      </c>
      <c r="O40" s="158"/>
      <c r="P40" s="158" t="s">
        <v>483</v>
      </c>
      <c r="Q40" s="158"/>
      <c r="R40" s="20"/>
    </row>
    <row r="41" spans="3:18" x14ac:dyDescent="0.2">
      <c r="C41" s="1"/>
      <c r="D41" s="24">
        <v>44797</v>
      </c>
      <c r="E41" s="123" t="s">
        <v>149</v>
      </c>
      <c r="F41" s="1" t="s">
        <v>150</v>
      </c>
      <c r="G41" s="25" t="s">
        <v>151</v>
      </c>
      <c r="K41" s="157"/>
      <c r="L41" s="157"/>
      <c r="M41" s="157"/>
      <c r="N41" s="20" t="s">
        <v>903</v>
      </c>
      <c r="O41" s="20" t="s">
        <v>904</v>
      </c>
      <c r="P41" s="20" t="s">
        <v>903</v>
      </c>
      <c r="Q41" s="20" t="s">
        <v>904</v>
      </c>
      <c r="R41" s="20" t="s">
        <v>484</v>
      </c>
    </row>
    <row r="42" spans="3:18" ht="16" customHeight="1" x14ac:dyDescent="0.2">
      <c r="C42" s="1"/>
      <c r="D42" s="24"/>
      <c r="E42" s="1"/>
      <c r="F42" s="1"/>
      <c r="G42" s="25"/>
      <c r="K42" s="123" t="s">
        <v>154</v>
      </c>
      <c r="L42" t="s">
        <v>439</v>
      </c>
      <c r="M42" s="121">
        <v>9</v>
      </c>
      <c r="N42" s="121" t="s">
        <v>952</v>
      </c>
      <c r="O42" s="121" t="s">
        <v>953</v>
      </c>
      <c r="P42" s="121" t="s">
        <v>954</v>
      </c>
      <c r="Q42" s="121" t="s">
        <v>955</v>
      </c>
      <c r="R42" s="19">
        <v>0.81</v>
      </c>
    </row>
    <row r="43" spans="3:18" x14ac:dyDescent="0.2">
      <c r="C43" s="1"/>
      <c r="D43" s="24">
        <v>44706</v>
      </c>
      <c r="E43" s="122" t="s">
        <v>157</v>
      </c>
      <c r="F43" s="1" t="s">
        <v>158</v>
      </c>
      <c r="G43" s="25" t="s">
        <v>148</v>
      </c>
      <c r="K43" t="s">
        <v>152</v>
      </c>
      <c r="L43" t="s">
        <v>153</v>
      </c>
      <c r="M43" s="121">
        <v>3</v>
      </c>
      <c r="N43" s="121" t="s">
        <v>956</v>
      </c>
      <c r="O43" s="121" t="s">
        <v>957</v>
      </c>
      <c r="P43" s="121" t="s">
        <v>958</v>
      </c>
      <c r="Q43" s="121" t="s">
        <v>959</v>
      </c>
      <c r="R43" s="19">
        <v>0.82599999999999996</v>
      </c>
    </row>
    <row r="44" spans="3:18" x14ac:dyDescent="0.2">
      <c r="C44" s="1"/>
      <c r="D44" s="24">
        <v>44714</v>
      </c>
      <c r="E44" s="122" t="s">
        <v>157</v>
      </c>
      <c r="F44" s="1" t="s">
        <v>158</v>
      </c>
      <c r="G44" s="25" t="s">
        <v>148</v>
      </c>
      <c r="K44" t="s">
        <v>447</v>
      </c>
      <c r="L44" t="s">
        <v>448</v>
      </c>
      <c r="M44" s="121">
        <v>2</v>
      </c>
      <c r="N44" s="121" t="s">
        <v>960</v>
      </c>
      <c r="O44" s="121" t="s">
        <v>922</v>
      </c>
      <c r="P44" s="121" t="s">
        <v>943</v>
      </c>
      <c r="Q44" s="121" t="s">
        <v>961</v>
      </c>
      <c r="R44" s="19" t="s">
        <v>403</v>
      </c>
    </row>
    <row r="45" spans="3:18" x14ac:dyDescent="0.2">
      <c r="C45" s="1"/>
      <c r="D45" s="24">
        <v>44746</v>
      </c>
      <c r="E45" s="122" t="s">
        <v>157</v>
      </c>
      <c r="F45" s="1" t="s">
        <v>158</v>
      </c>
      <c r="G45" s="25" t="s">
        <v>148</v>
      </c>
      <c r="K45" s="127" t="s">
        <v>149</v>
      </c>
      <c r="L45" t="s">
        <v>449</v>
      </c>
      <c r="M45" s="121">
        <v>9</v>
      </c>
      <c r="N45" s="121" t="s">
        <v>962</v>
      </c>
      <c r="O45" s="121" t="s">
        <v>963</v>
      </c>
      <c r="P45" s="121" t="s">
        <v>964</v>
      </c>
      <c r="Q45" s="121" t="s">
        <v>965</v>
      </c>
      <c r="R45" s="19">
        <v>0.98</v>
      </c>
    </row>
    <row r="46" spans="3:18" x14ac:dyDescent="0.2">
      <c r="C46" s="1"/>
      <c r="D46" s="24">
        <v>44759</v>
      </c>
      <c r="E46" s="123" t="s">
        <v>171</v>
      </c>
      <c r="F46" s="1" t="s">
        <v>172</v>
      </c>
      <c r="G46" s="25" t="s">
        <v>173</v>
      </c>
      <c r="K46" t="s">
        <v>165</v>
      </c>
      <c r="L46" t="s">
        <v>454</v>
      </c>
      <c r="M46" s="121">
        <v>1</v>
      </c>
      <c r="N46" s="121" t="s">
        <v>966</v>
      </c>
      <c r="O46" s="121" t="s">
        <v>403</v>
      </c>
      <c r="P46" s="121" t="s">
        <v>967</v>
      </c>
      <c r="Q46" s="121" t="s">
        <v>403</v>
      </c>
      <c r="R46" s="19" t="s">
        <v>403</v>
      </c>
    </row>
    <row r="47" spans="3:18" x14ac:dyDescent="0.2">
      <c r="C47" s="1"/>
      <c r="D47" s="24">
        <v>44776</v>
      </c>
      <c r="E47" s="123" t="s">
        <v>154</v>
      </c>
      <c r="F47" s="1" t="s">
        <v>155</v>
      </c>
      <c r="G47" s="25" t="s">
        <v>162</v>
      </c>
      <c r="K47" s="122" t="s">
        <v>163</v>
      </c>
      <c r="L47" t="s">
        <v>164</v>
      </c>
      <c r="M47" s="121">
        <v>1</v>
      </c>
      <c r="N47" s="121" t="s">
        <v>968</v>
      </c>
      <c r="O47" s="121" t="s">
        <v>403</v>
      </c>
      <c r="P47" s="121" t="s">
        <v>969</v>
      </c>
      <c r="Q47" s="121" t="s">
        <v>403</v>
      </c>
      <c r="R47" s="19" t="s">
        <v>403</v>
      </c>
    </row>
    <row r="48" spans="3:18" x14ac:dyDescent="0.2">
      <c r="C48" s="1"/>
      <c r="D48" s="24">
        <v>44793</v>
      </c>
      <c r="E48" s="1" t="s">
        <v>152</v>
      </c>
      <c r="F48" s="1" t="s">
        <v>153</v>
      </c>
      <c r="G48" s="1">
        <v>29</v>
      </c>
      <c r="K48" s="123" t="s">
        <v>171</v>
      </c>
      <c r="L48" t="s">
        <v>459</v>
      </c>
      <c r="M48" s="121">
        <v>5</v>
      </c>
      <c r="N48" s="121" t="s">
        <v>970</v>
      </c>
      <c r="O48" s="121" t="s">
        <v>962</v>
      </c>
      <c r="P48" s="121" t="s">
        <v>971</v>
      </c>
      <c r="Q48" s="121" t="s">
        <v>972</v>
      </c>
      <c r="R48" s="19">
        <v>0.66700000000000004</v>
      </c>
    </row>
    <row r="49" spans="1:18" x14ac:dyDescent="0.2">
      <c r="C49" s="1"/>
      <c r="D49" s="24">
        <v>44800</v>
      </c>
      <c r="E49" s="123" t="s">
        <v>154</v>
      </c>
      <c r="F49" s="1" t="s">
        <v>155</v>
      </c>
      <c r="G49" s="25" t="s">
        <v>162</v>
      </c>
      <c r="K49" s="122" t="s">
        <v>157</v>
      </c>
      <c r="L49" t="s">
        <v>158</v>
      </c>
      <c r="M49" s="121">
        <v>2</v>
      </c>
      <c r="N49" s="121" t="s">
        <v>973</v>
      </c>
      <c r="O49" s="121" t="s">
        <v>946</v>
      </c>
      <c r="P49" s="121" t="s">
        <v>974</v>
      </c>
      <c r="Q49" s="121" t="s">
        <v>975</v>
      </c>
      <c r="R49" s="19" t="s">
        <v>403</v>
      </c>
    </row>
    <row r="50" spans="1:18" x14ac:dyDescent="0.2">
      <c r="C50" s="1"/>
      <c r="D50" s="24"/>
      <c r="E50" s="1"/>
      <c r="F50" s="1"/>
      <c r="G50" s="25"/>
      <c r="K50" s="123" t="s">
        <v>167</v>
      </c>
      <c r="L50" t="s">
        <v>464</v>
      </c>
      <c r="M50" s="121">
        <v>1</v>
      </c>
      <c r="N50" s="121" t="s">
        <v>976</v>
      </c>
      <c r="O50" s="121" t="s">
        <v>403</v>
      </c>
      <c r="P50" s="121" t="s">
        <v>977</v>
      </c>
      <c r="Q50" s="121" t="s">
        <v>403</v>
      </c>
      <c r="R50" s="19" t="s">
        <v>403</v>
      </c>
    </row>
    <row r="51" spans="1:18" ht="17" thickBot="1" x14ac:dyDescent="0.25">
      <c r="C51" s="1"/>
      <c r="D51" s="24"/>
      <c r="E51" s="1"/>
      <c r="F51" s="1"/>
      <c r="G51" s="25"/>
      <c r="K51" t="s">
        <v>159</v>
      </c>
      <c r="L51" t="s">
        <v>160</v>
      </c>
      <c r="M51" s="121">
        <v>2</v>
      </c>
      <c r="N51" s="121" t="s">
        <v>978</v>
      </c>
      <c r="O51" s="121" t="s">
        <v>979</v>
      </c>
      <c r="P51" s="121" t="s">
        <v>980</v>
      </c>
      <c r="Q51" s="121" t="s">
        <v>981</v>
      </c>
      <c r="R51" s="19" t="s">
        <v>403</v>
      </c>
    </row>
    <row r="52" spans="1:18" ht="17" thickBot="1" x14ac:dyDescent="0.25">
      <c r="A52" s="159">
        <v>2021</v>
      </c>
      <c r="B52" s="160"/>
      <c r="C52" s="161"/>
      <c r="D52" s="24"/>
      <c r="E52" s="1"/>
      <c r="F52" s="1"/>
      <c r="G52" s="25"/>
      <c r="K52" s="128" t="s">
        <v>471</v>
      </c>
      <c r="L52" t="s">
        <v>472</v>
      </c>
      <c r="M52" s="121">
        <v>4</v>
      </c>
      <c r="N52" s="121" t="s">
        <v>982</v>
      </c>
      <c r="O52" s="121" t="s">
        <v>983</v>
      </c>
      <c r="P52" s="121" t="s">
        <v>466</v>
      </c>
      <c r="Q52" s="121" t="s">
        <v>984</v>
      </c>
      <c r="R52" s="19">
        <v>0.25900000000000001</v>
      </c>
    </row>
    <row r="53" spans="1:18" x14ac:dyDescent="0.2">
      <c r="C53" s="1"/>
      <c r="D53" s="24">
        <v>44345</v>
      </c>
      <c r="E53" s="122" t="s">
        <v>146</v>
      </c>
      <c r="F53" s="1" t="s">
        <v>147</v>
      </c>
      <c r="G53" s="1" t="s">
        <v>148</v>
      </c>
      <c r="K53" s="128" t="s">
        <v>477</v>
      </c>
      <c r="L53" t="s">
        <v>478</v>
      </c>
      <c r="M53" s="121">
        <v>1</v>
      </c>
      <c r="N53" s="121" t="s">
        <v>976</v>
      </c>
      <c r="O53" s="121" t="s">
        <v>403</v>
      </c>
      <c r="P53" s="121" t="s">
        <v>977</v>
      </c>
      <c r="Q53" s="121" t="s">
        <v>403</v>
      </c>
      <c r="R53" s="19" t="s">
        <v>403</v>
      </c>
    </row>
    <row r="54" spans="1:18" x14ac:dyDescent="0.2">
      <c r="C54" s="1"/>
      <c r="D54" s="24">
        <v>44350</v>
      </c>
      <c r="E54" s="122" t="s">
        <v>146</v>
      </c>
      <c r="F54" s="1" t="s">
        <v>147</v>
      </c>
      <c r="G54" s="1" t="s">
        <v>148</v>
      </c>
    </row>
    <row r="55" spans="1:18" x14ac:dyDescent="0.2">
      <c r="C55" s="1"/>
      <c r="D55" s="24">
        <v>44372</v>
      </c>
      <c r="E55" s="123" t="s">
        <v>149</v>
      </c>
      <c r="F55" s="1" t="s">
        <v>150</v>
      </c>
      <c r="G55" s="25" t="s">
        <v>151</v>
      </c>
    </row>
    <row r="56" spans="1:18" x14ac:dyDescent="0.2">
      <c r="C56" s="1"/>
      <c r="D56" s="24">
        <v>44394</v>
      </c>
      <c r="E56" s="123" t="s">
        <v>149</v>
      </c>
      <c r="F56" s="1" t="s">
        <v>150</v>
      </c>
      <c r="G56" s="25" t="s">
        <v>151</v>
      </c>
    </row>
    <row r="57" spans="1:18" x14ac:dyDescent="0.2">
      <c r="C57" s="1"/>
      <c r="D57" s="24">
        <v>44410</v>
      </c>
      <c r="E57" s="1" t="s">
        <v>152</v>
      </c>
      <c r="F57" s="1" t="s">
        <v>153</v>
      </c>
      <c r="G57" s="1">
        <v>29</v>
      </c>
    </row>
    <row r="58" spans="1:18" x14ac:dyDescent="0.2">
      <c r="C58" s="1"/>
      <c r="D58" s="24">
        <v>44415</v>
      </c>
      <c r="E58" s="1" t="s">
        <v>165</v>
      </c>
      <c r="F58" s="1" t="s">
        <v>166</v>
      </c>
      <c r="G58" s="1">
        <v>5</v>
      </c>
    </row>
    <row r="59" spans="1:18" x14ac:dyDescent="0.2">
      <c r="C59" s="1"/>
      <c r="D59" s="24">
        <v>44419</v>
      </c>
      <c r="E59" s="1" t="s">
        <v>152</v>
      </c>
      <c r="F59" s="1" t="s">
        <v>153</v>
      </c>
      <c r="G59" s="1">
        <v>29</v>
      </c>
      <c r="K59" s="127" t="s">
        <v>988</v>
      </c>
    </row>
    <row r="60" spans="1:18" x14ac:dyDescent="0.2">
      <c r="C60" s="1"/>
      <c r="D60" s="24">
        <v>44431</v>
      </c>
      <c r="E60" s="1" t="s">
        <v>165</v>
      </c>
      <c r="F60" s="1" t="s">
        <v>166</v>
      </c>
      <c r="G60" s="1">
        <v>5</v>
      </c>
      <c r="K60" s="128" t="s">
        <v>989</v>
      </c>
    </row>
    <row r="61" spans="1:18" x14ac:dyDescent="0.2">
      <c r="C61" s="1"/>
      <c r="D61" s="1"/>
      <c r="E61" s="1"/>
      <c r="F61" s="1"/>
      <c r="G61" s="1"/>
    </row>
    <row r="62" spans="1:18" x14ac:dyDescent="0.2">
      <c r="C62" s="1"/>
      <c r="D62" s="24">
        <v>44382</v>
      </c>
      <c r="E62" s="123" t="s">
        <v>149</v>
      </c>
      <c r="F62" s="1" t="s">
        <v>150</v>
      </c>
      <c r="G62" s="25" t="s">
        <v>151</v>
      </c>
    </row>
    <row r="63" spans="1:18" x14ac:dyDescent="0.2">
      <c r="C63" s="1"/>
      <c r="D63" s="24">
        <v>44404</v>
      </c>
      <c r="E63" s="123" t="s">
        <v>154</v>
      </c>
      <c r="F63" s="1" t="s">
        <v>155</v>
      </c>
      <c r="G63" s="25" t="s">
        <v>162</v>
      </c>
    </row>
    <row r="64" spans="1:18" x14ac:dyDescent="0.2">
      <c r="C64" s="1"/>
      <c r="D64" s="24">
        <v>44426</v>
      </c>
      <c r="E64" s="1" t="s">
        <v>159</v>
      </c>
      <c r="F64" s="1" t="s">
        <v>160</v>
      </c>
      <c r="G64" s="1" t="s">
        <v>161</v>
      </c>
    </row>
    <row r="65" spans="3:7" x14ac:dyDescent="0.2">
      <c r="C65" s="1"/>
      <c r="D65" s="24">
        <v>44433</v>
      </c>
      <c r="E65" s="123" t="s">
        <v>154</v>
      </c>
      <c r="F65" s="1" t="s">
        <v>155</v>
      </c>
      <c r="G65" s="25" t="s">
        <v>162</v>
      </c>
    </row>
  </sheetData>
  <mergeCells count="25">
    <mergeCell ref="P5:Q5"/>
    <mergeCell ref="R5:S5"/>
    <mergeCell ref="T5:U5"/>
    <mergeCell ref="A3:C3"/>
    <mergeCell ref="A52:C52"/>
    <mergeCell ref="K5:K6"/>
    <mergeCell ref="L5:L6"/>
    <mergeCell ref="M5:M6"/>
    <mergeCell ref="N5:O5"/>
    <mergeCell ref="K7:K8"/>
    <mergeCell ref="L7:L8"/>
    <mergeCell ref="M7:M8"/>
    <mergeCell ref="N7:O7"/>
    <mergeCell ref="P7:Q7"/>
    <mergeCell ref="R7:R8"/>
    <mergeCell ref="K24:K25"/>
    <mergeCell ref="L24:L25"/>
    <mergeCell ref="M24:M25"/>
    <mergeCell ref="N24:O24"/>
    <mergeCell ref="P24:Q24"/>
    <mergeCell ref="K40:K41"/>
    <mergeCell ref="L40:L41"/>
    <mergeCell ref="M40:M41"/>
    <mergeCell ref="N40:O40"/>
    <mergeCell ref="P40:Q4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09CF2-3131-E747-B1BF-2A0A47D6AE3F}">
  <dimension ref="B1:L126"/>
  <sheetViews>
    <sheetView workbookViewId="0">
      <selection activeCell="C1" sqref="C1"/>
    </sheetView>
  </sheetViews>
  <sheetFormatPr baseColWidth="10" defaultRowHeight="16" x14ac:dyDescent="0.2"/>
  <cols>
    <col min="2" max="2" width="28.33203125" customWidth="1"/>
    <col min="3" max="3" width="30.6640625" customWidth="1"/>
  </cols>
  <sheetData>
    <row r="1" spans="2:12" x14ac:dyDescent="0.2">
      <c r="B1" s="15" t="s">
        <v>999</v>
      </c>
    </row>
    <row r="3" spans="2:12" ht="17" thickBot="1" x14ac:dyDescent="0.25"/>
    <row r="4" spans="2:12" x14ac:dyDescent="0.2">
      <c r="B4" s="183" t="s">
        <v>305</v>
      </c>
      <c r="C4" s="185" t="s">
        <v>304</v>
      </c>
      <c r="D4" s="179">
        <v>2021</v>
      </c>
      <c r="E4" s="179"/>
      <c r="F4" s="179"/>
      <c r="G4" s="180"/>
      <c r="H4" s="179">
        <v>2022</v>
      </c>
      <c r="I4" s="179"/>
      <c r="J4" s="179"/>
      <c r="K4" s="179"/>
      <c r="L4" s="168" t="s">
        <v>125</v>
      </c>
    </row>
    <row r="5" spans="2:12" x14ac:dyDescent="0.2">
      <c r="B5" s="184"/>
      <c r="C5" s="186"/>
      <c r="D5" s="56" t="s">
        <v>303</v>
      </c>
      <c r="E5" s="55" t="s">
        <v>302</v>
      </c>
      <c r="F5" s="55" t="s">
        <v>301</v>
      </c>
      <c r="G5" s="54" t="s">
        <v>300</v>
      </c>
      <c r="H5" s="55" t="s">
        <v>303</v>
      </c>
      <c r="I5" s="55" t="s">
        <v>302</v>
      </c>
      <c r="J5" s="55" t="s">
        <v>301</v>
      </c>
      <c r="K5" s="54" t="s">
        <v>300</v>
      </c>
      <c r="L5" s="169"/>
    </row>
    <row r="6" spans="2:12" x14ac:dyDescent="0.2">
      <c r="B6" s="53" t="s">
        <v>299</v>
      </c>
      <c r="C6" s="52" t="s">
        <v>288</v>
      </c>
      <c r="D6" s="19">
        <v>2</v>
      </c>
      <c r="E6" s="19">
        <v>4</v>
      </c>
      <c r="F6" s="19">
        <v>2</v>
      </c>
      <c r="G6" s="30">
        <v>19</v>
      </c>
      <c r="H6" s="19">
        <v>0</v>
      </c>
      <c r="I6" s="19">
        <v>0</v>
      </c>
      <c r="J6" s="19">
        <v>0</v>
      </c>
      <c r="K6" s="19">
        <v>0</v>
      </c>
      <c r="L6" s="51">
        <f t="shared" ref="L6:L37" si="0">SUM(D6:K6)</f>
        <v>27</v>
      </c>
    </row>
    <row r="7" spans="2:12" x14ac:dyDescent="0.2">
      <c r="B7" s="39" t="s">
        <v>298</v>
      </c>
      <c r="C7" s="7" t="s">
        <v>288</v>
      </c>
      <c r="D7" s="34">
        <v>5</v>
      </c>
      <c r="E7" s="34">
        <v>6</v>
      </c>
      <c r="F7" s="34">
        <v>0</v>
      </c>
      <c r="G7" s="35">
        <v>3</v>
      </c>
      <c r="H7" s="34">
        <v>1</v>
      </c>
      <c r="I7" s="34">
        <v>2</v>
      </c>
      <c r="J7" s="34">
        <v>0</v>
      </c>
      <c r="K7" s="34">
        <v>0</v>
      </c>
      <c r="L7" s="33">
        <f t="shared" si="0"/>
        <v>17</v>
      </c>
    </row>
    <row r="8" spans="2:12" x14ac:dyDescent="0.2">
      <c r="B8" s="50" t="s">
        <v>297</v>
      </c>
      <c r="C8" s="40" t="s">
        <v>202</v>
      </c>
      <c r="D8" s="19">
        <v>0</v>
      </c>
      <c r="E8" s="19">
        <v>0</v>
      </c>
      <c r="F8" s="19">
        <v>0</v>
      </c>
      <c r="G8" s="30">
        <v>0</v>
      </c>
      <c r="H8" s="19">
        <v>0</v>
      </c>
      <c r="I8" s="19">
        <v>1</v>
      </c>
      <c r="J8" s="19">
        <v>0</v>
      </c>
      <c r="K8" s="19">
        <v>0</v>
      </c>
      <c r="L8" s="29">
        <f t="shared" si="0"/>
        <v>1</v>
      </c>
    </row>
    <row r="9" spans="2:12" x14ac:dyDescent="0.2">
      <c r="B9" s="37" t="s">
        <v>296</v>
      </c>
      <c r="C9" s="36" t="s">
        <v>182</v>
      </c>
      <c r="D9" s="34">
        <v>0</v>
      </c>
      <c r="E9" s="34">
        <v>0</v>
      </c>
      <c r="F9" s="34">
        <v>0</v>
      </c>
      <c r="G9" s="35">
        <v>2</v>
      </c>
      <c r="H9" s="34">
        <v>3</v>
      </c>
      <c r="I9" s="34">
        <v>1</v>
      </c>
      <c r="J9" s="34">
        <v>1</v>
      </c>
      <c r="K9" s="34">
        <v>0</v>
      </c>
      <c r="L9" s="33">
        <f t="shared" si="0"/>
        <v>7</v>
      </c>
    </row>
    <row r="10" spans="2:12" x14ac:dyDescent="0.2">
      <c r="B10" s="32" t="s">
        <v>295</v>
      </c>
      <c r="C10" s="38" t="s">
        <v>182</v>
      </c>
      <c r="D10" s="19">
        <v>0</v>
      </c>
      <c r="E10" s="19">
        <v>0</v>
      </c>
      <c r="F10" s="19">
        <v>0</v>
      </c>
      <c r="G10" s="30">
        <v>0</v>
      </c>
      <c r="H10" s="19">
        <v>0</v>
      </c>
      <c r="I10" s="19">
        <v>1</v>
      </c>
      <c r="J10" s="19">
        <v>0</v>
      </c>
      <c r="K10" s="19">
        <v>0</v>
      </c>
      <c r="L10" s="29">
        <f t="shared" si="0"/>
        <v>1</v>
      </c>
    </row>
    <row r="11" spans="2:12" x14ac:dyDescent="0.2">
      <c r="B11" s="37" t="s">
        <v>294</v>
      </c>
      <c r="C11" s="36" t="s">
        <v>182</v>
      </c>
      <c r="D11" s="34">
        <v>0</v>
      </c>
      <c r="E11" s="34">
        <v>0</v>
      </c>
      <c r="F11" s="34">
        <v>0</v>
      </c>
      <c r="G11" s="35">
        <v>6</v>
      </c>
      <c r="H11" s="34">
        <v>0</v>
      </c>
      <c r="I11" s="34">
        <v>1</v>
      </c>
      <c r="J11" s="34">
        <v>0</v>
      </c>
      <c r="K11" s="34">
        <v>0</v>
      </c>
      <c r="L11" s="33">
        <f t="shared" si="0"/>
        <v>7</v>
      </c>
    </row>
    <row r="12" spans="2:12" x14ac:dyDescent="0.2">
      <c r="B12" s="32" t="s">
        <v>293</v>
      </c>
      <c r="C12" s="40" t="s">
        <v>188</v>
      </c>
      <c r="D12" s="19">
        <v>5</v>
      </c>
      <c r="E12" s="19">
        <v>1</v>
      </c>
      <c r="F12" s="19">
        <v>2</v>
      </c>
      <c r="G12" s="30">
        <v>4</v>
      </c>
      <c r="H12" s="19">
        <v>15</v>
      </c>
      <c r="I12" s="19">
        <v>5</v>
      </c>
      <c r="J12" s="19">
        <v>0</v>
      </c>
      <c r="K12" s="19">
        <v>3</v>
      </c>
      <c r="L12" s="29">
        <f t="shared" si="0"/>
        <v>35</v>
      </c>
    </row>
    <row r="13" spans="2:12" x14ac:dyDescent="0.2">
      <c r="B13" s="37" t="s">
        <v>292</v>
      </c>
      <c r="C13" s="36" t="s">
        <v>188</v>
      </c>
      <c r="D13" s="34">
        <v>2</v>
      </c>
      <c r="E13" s="34">
        <v>0</v>
      </c>
      <c r="F13" s="34">
        <v>1</v>
      </c>
      <c r="G13" s="35">
        <v>0</v>
      </c>
      <c r="H13" s="34">
        <v>1</v>
      </c>
      <c r="I13" s="34">
        <v>0</v>
      </c>
      <c r="J13" s="34">
        <v>0</v>
      </c>
      <c r="K13" s="34">
        <v>0</v>
      </c>
      <c r="L13" s="33">
        <f t="shared" si="0"/>
        <v>4</v>
      </c>
    </row>
    <row r="14" spans="2:12" x14ac:dyDescent="0.2">
      <c r="B14" s="32" t="s">
        <v>291</v>
      </c>
      <c r="C14" s="40" t="s">
        <v>188</v>
      </c>
      <c r="D14" s="19">
        <v>1</v>
      </c>
      <c r="E14" s="19">
        <v>0</v>
      </c>
      <c r="F14" s="19">
        <v>1</v>
      </c>
      <c r="G14" s="30">
        <v>0</v>
      </c>
      <c r="H14" s="19">
        <v>0</v>
      </c>
      <c r="I14" s="19">
        <v>0</v>
      </c>
      <c r="J14" s="19">
        <v>0</v>
      </c>
      <c r="K14" s="19">
        <v>0</v>
      </c>
      <c r="L14" s="29">
        <f t="shared" si="0"/>
        <v>2</v>
      </c>
    </row>
    <row r="15" spans="2:12" x14ac:dyDescent="0.2">
      <c r="B15" s="37" t="s">
        <v>290</v>
      </c>
      <c r="C15" s="36" t="s">
        <v>188</v>
      </c>
      <c r="D15" s="34">
        <v>2</v>
      </c>
      <c r="E15" s="34">
        <v>0</v>
      </c>
      <c r="F15" s="34">
        <v>3</v>
      </c>
      <c r="G15" s="35">
        <v>0</v>
      </c>
      <c r="H15" s="34">
        <v>6</v>
      </c>
      <c r="I15" s="34">
        <v>1</v>
      </c>
      <c r="J15" s="34">
        <v>3</v>
      </c>
      <c r="K15" s="34">
        <v>0</v>
      </c>
      <c r="L15" s="33">
        <f t="shared" si="0"/>
        <v>15</v>
      </c>
    </row>
    <row r="16" spans="2:12" x14ac:dyDescent="0.2">
      <c r="B16" s="32" t="s">
        <v>289</v>
      </c>
      <c r="C16" s="38" t="s">
        <v>288</v>
      </c>
      <c r="D16" s="19">
        <v>5</v>
      </c>
      <c r="E16" s="19">
        <v>1</v>
      </c>
      <c r="F16" s="19">
        <v>0</v>
      </c>
      <c r="G16" s="30">
        <v>0</v>
      </c>
      <c r="H16" s="19">
        <v>3</v>
      </c>
      <c r="I16" s="19">
        <v>0</v>
      </c>
      <c r="J16" s="19">
        <v>0</v>
      </c>
      <c r="K16" s="19">
        <v>0</v>
      </c>
      <c r="L16" s="29">
        <f t="shared" si="0"/>
        <v>9</v>
      </c>
    </row>
    <row r="17" spans="2:12" x14ac:dyDescent="0.2">
      <c r="B17" s="37" t="s">
        <v>287</v>
      </c>
      <c r="C17" s="36" t="s">
        <v>188</v>
      </c>
      <c r="D17" s="34">
        <v>2</v>
      </c>
      <c r="E17" s="34">
        <v>3</v>
      </c>
      <c r="F17" s="34">
        <v>0</v>
      </c>
      <c r="G17" s="35">
        <v>0</v>
      </c>
      <c r="H17" s="34">
        <v>1</v>
      </c>
      <c r="I17" s="34">
        <v>1</v>
      </c>
      <c r="J17" s="34">
        <v>0</v>
      </c>
      <c r="K17" s="34">
        <v>0</v>
      </c>
      <c r="L17" s="33">
        <f t="shared" si="0"/>
        <v>7</v>
      </c>
    </row>
    <row r="18" spans="2:12" x14ac:dyDescent="0.2">
      <c r="B18" s="32" t="s">
        <v>286</v>
      </c>
      <c r="C18" s="40" t="s">
        <v>188</v>
      </c>
      <c r="D18" s="19">
        <v>0</v>
      </c>
      <c r="E18" s="19">
        <v>0</v>
      </c>
      <c r="F18" s="19">
        <v>1</v>
      </c>
      <c r="G18" s="30">
        <v>0</v>
      </c>
      <c r="H18" s="19">
        <v>0</v>
      </c>
      <c r="I18" s="19">
        <v>0</v>
      </c>
      <c r="J18" s="19">
        <v>1</v>
      </c>
      <c r="K18" s="19">
        <v>0</v>
      </c>
      <c r="L18" s="29">
        <f t="shared" si="0"/>
        <v>2</v>
      </c>
    </row>
    <row r="19" spans="2:12" x14ac:dyDescent="0.2">
      <c r="B19" s="37" t="s">
        <v>285</v>
      </c>
      <c r="C19" s="36" t="s">
        <v>188</v>
      </c>
      <c r="D19" s="34">
        <v>0</v>
      </c>
      <c r="E19" s="34">
        <v>1</v>
      </c>
      <c r="F19" s="34">
        <v>7</v>
      </c>
      <c r="G19" s="35">
        <v>2</v>
      </c>
      <c r="H19" s="34">
        <v>0</v>
      </c>
      <c r="I19" s="34">
        <v>0</v>
      </c>
      <c r="J19" s="34">
        <v>2</v>
      </c>
      <c r="K19" s="34">
        <v>1</v>
      </c>
      <c r="L19" s="33">
        <f t="shared" si="0"/>
        <v>13</v>
      </c>
    </row>
    <row r="20" spans="2:12" x14ac:dyDescent="0.2">
      <c r="B20" s="32" t="s">
        <v>284</v>
      </c>
      <c r="C20" s="40" t="s">
        <v>188</v>
      </c>
      <c r="D20" s="19">
        <v>0</v>
      </c>
      <c r="E20" s="19">
        <v>0</v>
      </c>
      <c r="F20" s="19">
        <v>0</v>
      </c>
      <c r="G20" s="30">
        <v>3</v>
      </c>
      <c r="H20" s="19">
        <v>0</v>
      </c>
      <c r="I20" s="19">
        <v>0</v>
      </c>
      <c r="J20" s="19">
        <v>0</v>
      </c>
      <c r="K20" s="19">
        <v>0</v>
      </c>
      <c r="L20" s="29">
        <f t="shared" si="0"/>
        <v>3</v>
      </c>
    </row>
    <row r="21" spans="2:12" x14ac:dyDescent="0.2">
      <c r="B21" s="37" t="s">
        <v>283</v>
      </c>
      <c r="C21" s="36" t="s">
        <v>186</v>
      </c>
      <c r="D21" s="34">
        <v>0</v>
      </c>
      <c r="E21" s="34">
        <v>0</v>
      </c>
      <c r="F21" s="34">
        <v>6</v>
      </c>
      <c r="G21" s="35">
        <v>0</v>
      </c>
      <c r="H21" s="34">
        <v>0</v>
      </c>
      <c r="I21" s="34">
        <v>0</v>
      </c>
      <c r="J21" s="34">
        <v>3</v>
      </c>
      <c r="K21" s="34">
        <v>0</v>
      </c>
      <c r="L21" s="33">
        <f t="shared" si="0"/>
        <v>9</v>
      </c>
    </row>
    <row r="22" spans="2:12" x14ac:dyDescent="0.2">
      <c r="B22" s="32" t="s">
        <v>282</v>
      </c>
      <c r="C22" s="40" t="s">
        <v>188</v>
      </c>
      <c r="D22" s="19">
        <v>1</v>
      </c>
      <c r="E22" s="19">
        <v>0</v>
      </c>
      <c r="F22" s="19">
        <v>0</v>
      </c>
      <c r="G22" s="30">
        <v>0</v>
      </c>
      <c r="H22" s="19">
        <v>1</v>
      </c>
      <c r="I22" s="19">
        <v>0</v>
      </c>
      <c r="J22" s="19">
        <v>0</v>
      </c>
      <c r="K22" s="19">
        <v>1</v>
      </c>
      <c r="L22" s="29">
        <f t="shared" si="0"/>
        <v>3</v>
      </c>
    </row>
    <row r="23" spans="2:12" x14ac:dyDescent="0.2">
      <c r="B23" s="37" t="s">
        <v>281</v>
      </c>
      <c r="C23" s="36" t="s">
        <v>202</v>
      </c>
      <c r="D23" s="34">
        <v>2</v>
      </c>
      <c r="E23" s="34">
        <v>2</v>
      </c>
      <c r="F23" s="34">
        <v>10</v>
      </c>
      <c r="G23" s="35">
        <v>4</v>
      </c>
      <c r="H23" s="34">
        <v>0</v>
      </c>
      <c r="I23" s="34">
        <v>0</v>
      </c>
      <c r="J23" s="34">
        <v>0</v>
      </c>
      <c r="K23" s="34">
        <v>0</v>
      </c>
      <c r="L23" s="33">
        <f t="shared" si="0"/>
        <v>18</v>
      </c>
    </row>
    <row r="24" spans="2:12" x14ac:dyDescent="0.2">
      <c r="B24" s="32" t="s">
        <v>280</v>
      </c>
      <c r="C24" s="38" t="s">
        <v>202</v>
      </c>
      <c r="D24" s="19">
        <v>12</v>
      </c>
      <c r="E24" s="19">
        <v>3</v>
      </c>
      <c r="F24" s="19">
        <v>15</v>
      </c>
      <c r="G24" s="30">
        <v>4</v>
      </c>
      <c r="H24" s="19">
        <v>0</v>
      </c>
      <c r="I24" s="19">
        <v>0</v>
      </c>
      <c r="J24" s="19">
        <v>0</v>
      </c>
      <c r="K24" s="19">
        <v>0</v>
      </c>
      <c r="L24" s="29">
        <f t="shared" si="0"/>
        <v>34</v>
      </c>
    </row>
    <row r="25" spans="2:12" x14ac:dyDescent="0.2">
      <c r="B25" s="37" t="s">
        <v>279</v>
      </c>
      <c r="C25" s="36" t="s">
        <v>202</v>
      </c>
      <c r="D25" s="34">
        <v>1</v>
      </c>
      <c r="E25" s="34">
        <v>5</v>
      </c>
      <c r="F25" s="34">
        <v>0</v>
      </c>
      <c r="G25" s="35">
        <v>0</v>
      </c>
      <c r="H25" s="34">
        <v>0</v>
      </c>
      <c r="I25" s="34">
        <v>0</v>
      </c>
      <c r="J25" s="34">
        <v>0</v>
      </c>
      <c r="K25" s="34">
        <v>0</v>
      </c>
      <c r="L25" s="33">
        <f t="shared" si="0"/>
        <v>6</v>
      </c>
    </row>
    <row r="26" spans="2:12" x14ac:dyDescent="0.2">
      <c r="B26" s="32" t="s">
        <v>278</v>
      </c>
      <c r="C26" s="40" t="s">
        <v>188</v>
      </c>
      <c r="D26" s="19">
        <v>5</v>
      </c>
      <c r="E26" s="19">
        <v>0</v>
      </c>
      <c r="F26" s="19">
        <v>2</v>
      </c>
      <c r="G26" s="30">
        <v>1</v>
      </c>
      <c r="H26" s="19">
        <v>3</v>
      </c>
      <c r="I26" s="19">
        <v>2</v>
      </c>
      <c r="J26" s="19">
        <v>0</v>
      </c>
      <c r="K26" s="19">
        <v>0</v>
      </c>
      <c r="L26" s="29">
        <f t="shared" si="0"/>
        <v>13</v>
      </c>
    </row>
    <row r="27" spans="2:12" x14ac:dyDescent="0.2">
      <c r="B27" s="37" t="s">
        <v>277</v>
      </c>
      <c r="C27" s="36" t="s">
        <v>188</v>
      </c>
      <c r="D27" s="34">
        <v>0</v>
      </c>
      <c r="E27" s="34">
        <v>0</v>
      </c>
      <c r="F27" s="34">
        <v>0</v>
      </c>
      <c r="G27" s="35">
        <v>2</v>
      </c>
      <c r="H27" s="34">
        <v>0</v>
      </c>
      <c r="I27" s="34">
        <v>0</v>
      </c>
      <c r="J27" s="34">
        <v>0</v>
      </c>
      <c r="K27" s="34">
        <v>0</v>
      </c>
      <c r="L27" s="33">
        <f t="shared" si="0"/>
        <v>2</v>
      </c>
    </row>
    <row r="28" spans="2:12" x14ac:dyDescent="0.2">
      <c r="B28" s="32" t="s">
        <v>276</v>
      </c>
      <c r="C28" s="40" t="s">
        <v>186</v>
      </c>
      <c r="D28" s="19">
        <v>5</v>
      </c>
      <c r="E28" s="19">
        <v>0</v>
      </c>
      <c r="F28" s="19">
        <v>4</v>
      </c>
      <c r="G28" s="30">
        <v>1</v>
      </c>
      <c r="H28" s="19">
        <v>10</v>
      </c>
      <c r="I28" s="19">
        <v>0</v>
      </c>
      <c r="J28" s="19">
        <v>0</v>
      </c>
      <c r="K28" s="19">
        <v>1</v>
      </c>
      <c r="L28" s="29">
        <f t="shared" si="0"/>
        <v>21</v>
      </c>
    </row>
    <row r="29" spans="2:12" x14ac:dyDescent="0.2">
      <c r="B29" s="37" t="s">
        <v>275</v>
      </c>
      <c r="C29" s="36" t="s">
        <v>186</v>
      </c>
      <c r="D29" s="34">
        <v>6</v>
      </c>
      <c r="E29" s="34">
        <v>1</v>
      </c>
      <c r="F29" s="34">
        <v>8</v>
      </c>
      <c r="G29" s="35">
        <v>0</v>
      </c>
      <c r="H29" s="34">
        <v>19</v>
      </c>
      <c r="I29" s="34">
        <v>2</v>
      </c>
      <c r="J29" s="34">
        <v>1</v>
      </c>
      <c r="K29" s="34">
        <v>0</v>
      </c>
      <c r="L29" s="33">
        <f t="shared" si="0"/>
        <v>37</v>
      </c>
    </row>
    <row r="30" spans="2:12" x14ac:dyDescent="0.2">
      <c r="B30" s="32" t="s">
        <v>274</v>
      </c>
      <c r="C30" s="40" t="s">
        <v>186</v>
      </c>
      <c r="D30" s="19">
        <v>0</v>
      </c>
      <c r="E30" s="19">
        <v>0</v>
      </c>
      <c r="F30" s="19">
        <v>0</v>
      </c>
      <c r="G30" s="30">
        <v>0</v>
      </c>
      <c r="H30" s="19">
        <v>1</v>
      </c>
      <c r="I30" s="19">
        <v>2</v>
      </c>
      <c r="J30" s="19">
        <v>0</v>
      </c>
      <c r="K30" s="19">
        <v>0</v>
      </c>
      <c r="L30" s="29">
        <f t="shared" si="0"/>
        <v>3</v>
      </c>
    </row>
    <row r="31" spans="2:12" x14ac:dyDescent="0.2">
      <c r="B31" s="37" t="s">
        <v>273</v>
      </c>
      <c r="C31" s="36" t="s">
        <v>186</v>
      </c>
      <c r="D31" s="34">
        <v>1</v>
      </c>
      <c r="E31" s="34">
        <v>0</v>
      </c>
      <c r="F31" s="34">
        <v>0</v>
      </c>
      <c r="G31" s="35">
        <v>0</v>
      </c>
      <c r="H31" s="34">
        <v>1</v>
      </c>
      <c r="I31" s="34">
        <v>0</v>
      </c>
      <c r="J31" s="34">
        <v>1</v>
      </c>
      <c r="K31" s="34">
        <v>0</v>
      </c>
      <c r="L31" s="33">
        <f t="shared" si="0"/>
        <v>3</v>
      </c>
    </row>
    <row r="32" spans="2:12" x14ac:dyDescent="0.2">
      <c r="B32" s="32" t="s">
        <v>272</v>
      </c>
      <c r="C32" s="40" t="s">
        <v>186</v>
      </c>
      <c r="D32" s="19">
        <v>1</v>
      </c>
      <c r="E32" s="19">
        <v>0</v>
      </c>
      <c r="F32" s="19">
        <v>0</v>
      </c>
      <c r="G32" s="30">
        <v>0</v>
      </c>
      <c r="H32" s="19">
        <v>0</v>
      </c>
      <c r="I32" s="19">
        <v>0</v>
      </c>
      <c r="J32" s="19">
        <v>0</v>
      </c>
      <c r="K32" s="19">
        <v>0</v>
      </c>
      <c r="L32" s="29">
        <f t="shared" si="0"/>
        <v>1</v>
      </c>
    </row>
    <row r="33" spans="2:12" x14ac:dyDescent="0.2">
      <c r="B33" s="37" t="s">
        <v>271</v>
      </c>
      <c r="C33" s="36" t="s">
        <v>186</v>
      </c>
      <c r="D33" s="34">
        <v>23</v>
      </c>
      <c r="E33" s="34">
        <v>0</v>
      </c>
      <c r="F33" s="34">
        <v>14</v>
      </c>
      <c r="G33" s="35">
        <v>2</v>
      </c>
      <c r="H33" s="34">
        <v>8</v>
      </c>
      <c r="I33" s="34">
        <v>1</v>
      </c>
      <c r="J33" s="34">
        <v>4</v>
      </c>
      <c r="K33" s="34">
        <v>4</v>
      </c>
      <c r="L33" s="33">
        <f t="shared" si="0"/>
        <v>56</v>
      </c>
    </row>
    <row r="34" spans="2:12" x14ac:dyDescent="0.2">
      <c r="B34" s="32" t="s">
        <v>270</v>
      </c>
      <c r="C34" s="40" t="s">
        <v>188</v>
      </c>
      <c r="D34" s="19">
        <v>6</v>
      </c>
      <c r="E34" s="19">
        <v>0</v>
      </c>
      <c r="F34" s="19">
        <v>3</v>
      </c>
      <c r="G34" s="30">
        <v>0</v>
      </c>
      <c r="H34" s="19">
        <v>5</v>
      </c>
      <c r="I34" s="19">
        <v>0</v>
      </c>
      <c r="J34" s="19">
        <v>0</v>
      </c>
      <c r="K34" s="19">
        <v>0</v>
      </c>
      <c r="L34" s="29">
        <f t="shared" si="0"/>
        <v>14</v>
      </c>
    </row>
    <row r="35" spans="2:12" x14ac:dyDescent="0.2">
      <c r="B35" s="37" t="s">
        <v>269</v>
      </c>
      <c r="C35" s="36" t="s">
        <v>188</v>
      </c>
      <c r="D35" s="34">
        <v>9</v>
      </c>
      <c r="E35" s="34">
        <v>0</v>
      </c>
      <c r="F35" s="34">
        <v>8</v>
      </c>
      <c r="G35" s="35">
        <v>0</v>
      </c>
      <c r="H35" s="34">
        <v>2</v>
      </c>
      <c r="I35" s="34">
        <v>0</v>
      </c>
      <c r="J35" s="34">
        <v>1</v>
      </c>
      <c r="K35" s="34">
        <v>0</v>
      </c>
      <c r="L35" s="33">
        <f t="shared" si="0"/>
        <v>20</v>
      </c>
    </row>
    <row r="36" spans="2:12" x14ac:dyDescent="0.2">
      <c r="B36" s="32" t="s">
        <v>268</v>
      </c>
      <c r="C36" s="38" t="s">
        <v>202</v>
      </c>
      <c r="D36" s="19">
        <v>0</v>
      </c>
      <c r="E36" s="19">
        <v>0</v>
      </c>
      <c r="F36" s="19">
        <v>4</v>
      </c>
      <c r="G36" s="30">
        <v>0</v>
      </c>
      <c r="H36" s="19">
        <v>2</v>
      </c>
      <c r="I36" s="19">
        <v>1</v>
      </c>
      <c r="J36" s="19">
        <v>2</v>
      </c>
      <c r="K36" s="19">
        <v>2</v>
      </c>
      <c r="L36" s="29">
        <f t="shared" si="0"/>
        <v>11</v>
      </c>
    </row>
    <row r="37" spans="2:12" x14ac:dyDescent="0.2">
      <c r="B37" s="37" t="s">
        <v>128</v>
      </c>
      <c r="C37" s="36" t="s">
        <v>202</v>
      </c>
      <c r="D37" s="34">
        <v>4869</v>
      </c>
      <c r="E37" s="34">
        <v>564</v>
      </c>
      <c r="F37" s="34">
        <v>4139</v>
      </c>
      <c r="G37" s="35">
        <v>2125</v>
      </c>
      <c r="H37" s="34">
        <v>1462</v>
      </c>
      <c r="I37" s="34">
        <v>327</v>
      </c>
      <c r="J37" s="34">
        <v>613</v>
      </c>
      <c r="K37" s="34">
        <v>1793</v>
      </c>
      <c r="L37" s="33">
        <f t="shared" si="0"/>
        <v>15892</v>
      </c>
    </row>
    <row r="38" spans="2:12" x14ac:dyDescent="0.2">
      <c r="B38" s="32" t="s">
        <v>131</v>
      </c>
      <c r="C38" s="40" t="s">
        <v>188</v>
      </c>
      <c r="D38" s="19">
        <v>33</v>
      </c>
      <c r="E38" s="19">
        <v>11</v>
      </c>
      <c r="F38" s="19">
        <v>21</v>
      </c>
      <c r="G38" s="30">
        <v>16</v>
      </c>
      <c r="H38" s="19">
        <v>11</v>
      </c>
      <c r="I38" s="19">
        <v>4</v>
      </c>
      <c r="J38" s="19">
        <v>11</v>
      </c>
      <c r="K38" s="19">
        <v>20</v>
      </c>
      <c r="L38" s="29">
        <f t="shared" ref="L38:L69" si="1">SUM(D38:K38)</f>
        <v>127</v>
      </c>
    </row>
    <row r="39" spans="2:12" x14ac:dyDescent="0.2">
      <c r="B39" s="37" t="s">
        <v>267</v>
      </c>
      <c r="C39" s="36" t="s">
        <v>202</v>
      </c>
      <c r="D39" s="34">
        <v>0</v>
      </c>
      <c r="E39" s="34">
        <v>0</v>
      </c>
      <c r="F39" s="34">
        <v>0</v>
      </c>
      <c r="G39" s="35">
        <v>0</v>
      </c>
      <c r="H39" s="34">
        <v>0</v>
      </c>
      <c r="I39" s="34">
        <v>1</v>
      </c>
      <c r="J39" s="34">
        <v>0</v>
      </c>
      <c r="K39" s="34">
        <v>0</v>
      </c>
      <c r="L39" s="33">
        <f t="shared" si="1"/>
        <v>1</v>
      </c>
    </row>
    <row r="40" spans="2:12" x14ac:dyDescent="0.2">
      <c r="B40" s="32" t="s">
        <v>266</v>
      </c>
      <c r="C40" s="38" t="s">
        <v>202</v>
      </c>
      <c r="D40" s="19">
        <v>0</v>
      </c>
      <c r="E40" s="19">
        <v>0</v>
      </c>
      <c r="F40" s="19">
        <v>13</v>
      </c>
      <c r="G40" s="30">
        <v>0</v>
      </c>
      <c r="H40" s="19">
        <v>3</v>
      </c>
      <c r="I40" s="19">
        <v>3</v>
      </c>
      <c r="J40" s="19">
        <v>11</v>
      </c>
      <c r="K40" s="19">
        <v>2</v>
      </c>
      <c r="L40" s="29">
        <f t="shared" si="1"/>
        <v>32</v>
      </c>
    </row>
    <row r="41" spans="2:12" x14ac:dyDescent="0.2">
      <c r="B41" s="37" t="s">
        <v>265</v>
      </c>
      <c r="C41" s="36" t="s">
        <v>202</v>
      </c>
      <c r="D41" s="34">
        <v>30</v>
      </c>
      <c r="E41" s="34">
        <v>2</v>
      </c>
      <c r="F41" s="34">
        <v>3</v>
      </c>
      <c r="G41" s="35">
        <v>0</v>
      </c>
      <c r="H41" s="34">
        <v>26</v>
      </c>
      <c r="I41" s="34">
        <v>17</v>
      </c>
      <c r="J41" s="34">
        <v>0</v>
      </c>
      <c r="K41" s="34">
        <v>0</v>
      </c>
      <c r="L41" s="33">
        <f t="shared" si="1"/>
        <v>78</v>
      </c>
    </row>
    <row r="42" spans="2:12" x14ac:dyDescent="0.2">
      <c r="B42" s="32" t="s">
        <v>137</v>
      </c>
      <c r="C42" s="40" t="s">
        <v>188</v>
      </c>
      <c r="D42" s="19">
        <v>18</v>
      </c>
      <c r="E42" s="19">
        <v>2</v>
      </c>
      <c r="F42" s="19">
        <v>7</v>
      </c>
      <c r="G42" s="30">
        <v>16</v>
      </c>
      <c r="H42" s="19">
        <v>16</v>
      </c>
      <c r="I42" s="19">
        <v>21</v>
      </c>
      <c r="J42" s="19">
        <v>1</v>
      </c>
      <c r="K42" s="19">
        <v>0</v>
      </c>
      <c r="L42" s="29">
        <f t="shared" si="1"/>
        <v>81</v>
      </c>
    </row>
    <row r="43" spans="2:12" x14ac:dyDescent="0.2">
      <c r="B43" s="37" t="s">
        <v>264</v>
      </c>
      <c r="C43" s="36" t="s">
        <v>202</v>
      </c>
      <c r="D43" s="34">
        <v>20</v>
      </c>
      <c r="E43" s="34">
        <v>13</v>
      </c>
      <c r="F43" s="34">
        <v>35</v>
      </c>
      <c r="G43" s="35">
        <v>0</v>
      </c>
      <c r="H43" s="34">
        <v>84</v>
      </c>
      <c r="I43" s="34">
        <v>102</v>
      </c>
      <c r="J43" s="34">
        <v>26</v>
      </c>
      <c r="K43" s="34">
        <v>9</v>
      </c>
      <c r="L43" s="33">
        <f t="shared" si="1"/>
        <v>289</v>
      </c>
    </row>
    <row r="44" spans="2:12" x14ac:dyDescent="0.2">
      <c r="B44" s="32" t="s">
        <v>263</v>
      </c>
      <c r="C44" s="38" t="s">
        <v>202</v>
      </c>
      <c r="D44" s="19">
        <v>0</v>
      </c>
      <c r="E44" s="19">
        <v>0</v>
      </c>
      <c r="F44" s="19">
        <v>0</v>
      </c>
      <c r="G44" s="30">
        <v>0</v>
      </c>
      <c r="H44" s="19">
        <v>21</v>
      </c>
      <c r="I44" s="19">
        <v>8</v>
      </c>
      <c r="J44" s="19">
        <v>12</v>
      </c>
      <c r="K44" s="19">
        <v>0</v>
      </c>
      <c r="L44" s="29">
        <f t="shared" si="1"/>
        <v>41</v>
      </c>
    </row>
    <row r="45" spans="2:12" x14ac:dyDescent="0.2">
      <c r="B45" s="37" t="s">
        <v>262</v>
      </c>
      <c r="C45" s="36" t="s">
        <v>202</v>
      </c>
      <c r="D45" s="34">
        <v>0</v>
      </c>
      <c r="E45" s="34">
        <v>0</v>
      </c>
      <c r="F45" s="34">
        <v>0</v>
      </c>
      <c r="G45" s="35">
        <v>0</v>
      </c>
      <c r="H45" s="34">
        <v>15</v>
      </c>
      <c r="I45" s="34">
        <v>10</v>
      </c>
      <c r="J45" s="34">
        <v>22</v>
      </c>
      <c r="K45" s="34">
        <v>1</v>
      </c>
      <c r="L45" s="33">
        <f t="shared" si="1"/>
        <v>48</v>
      </c>
    </row>
    <row r="46" spans="2:12" x14ac:dyDescent="0.2">
      <c r="B46" s="32" t="s">
        <v>261</v>
      </c>
      <c r="C46" s="38" t="s">
        <v>202</v>
      </c>
      <c r="D46" s="19">
        <v>4</v>
      </c>
      <c r="E46" s="19">
        <v>0</v>
      </c>
      <c r="F46" s="19">
        <v>27</v>
      </c>
      <c r="G46" s="30">
        <v>0</v>
      </c>
      <c r="H46" s="19">
        <v>2</v>
      </c>
      <c r="I46" s="19">
        <v>0</v>
      </c>
      <c r="J46" s="19">
        <v>51</v>
      </c>
      <c r="K46" s="19">
        <v>3</v>
      </c>
      <c r="L46" s="29">
        <f t="shared" si="1"/>
        <v>87</v>
      </c>
    </row>
    <row r="47" spans="2:12" x14ac:dyDescent="0.2">
      <c r="B47" s="37" t="s">
        <v>260</v>
      </c>
      <c r="C47" s="36" t="s">
        <v>202</v>
      </c>
      <c r="D47" s="34">
        <v>0</v>
      </c>
      <c r="E47" s="34">
        <v>0</v>
      </c>
      <c r="F47" s="34">
        <v>2</v>
      </c>
      <c r="G47" s="35">
        <v>0</v>
      </c>
      <c r="H47" s="34">
        <v>0</v>
      </c>
      <c r="I47" s="34">
        <v>0</v>
      </c>
      <c r="J47" s="34">
        <v>34</v>
      </c>
      <c r="K47" s="34">
        <v>0</v>
      </c>
      <c r="L47" s="33">
        <f t="shared" si="1"/>
        <v>36</v>
      </c>
    </row>
    <row r="48" spans="2:12" x14ac:dyDescent="0.2">
      <c r="B48" s="32" t="s">
        <v>259</v>
      </c>
      <c r="C48" s="38" t="s">
        <v>202</v>
      </c>
      <c r="D48" s="19">
        <v>0</v>
      </c>
      <c r="E48" s="19">
        <v>0</v>
      </c>
      <c r="F48" s="19">
        <v>0</v>
      </c>
      <c r="G48" s="30">
        <v>0</v>
      </c>
      <c r="H48" s="19">
        <v>1</v>
      </c>
      <c r="I48" s="19">
        <v>3</v>
      </c>
      <c r="J48" s="19">
        <v>2</v>
      </c>
      <c r="K48" s="19">
        <v>2</v>
      </c>
      <c r="L48" s="29">
        <f t="shared" si="1"/>
        <v>8</v>
      </c>
    </row>
    <row r="49" spans="2:12" x14ac:dyDescent="0.2">
      <c r="B49" s="37" t="s">
        <v>258</v>
      </c>
      <c r="C49" s="36" t="s">
        <v>202</v>
      </c>
      <c r="D49" s="34">
        <v>24</v>
      </c>
      <c r="E49" s="34">
        <v>7</v>
      </c>
      <c r="F49" s="34">
        <v>120</v>
      </c>
      <c r="G49" s="35">
        <v>5</v>
      </c>
      <c r="H49" s="34">
        <v>5</v>
      </c>
      <c r="I49" s="34">
        <v>1</v>
      </c>
      <c r="J49" s="34">
        <v>63</v>
      </c>
      <c r="K49" s="34">
        <v>3</v>
      </c>
      <c r="L49" s="33">
        <f t="shared" si="1"/>
        <v>228</v>
      </c>
    </row>
    <row r="50" spans="2:12" x14ac:dyDescent="0.2">
      <c r="B50" s="32" t="s">
        <v>257</v>
      </c>
      <c r="C50" s="38" t="s">
        <v>202</v>
      </c>
      <c r="D50" s="19">
        <v>0</v>
      </c>
      <c r="E50" s="19">
        <v>0</v>
      </c>
      <c r="F50" s="19">
        <v>25</v>
      </c>
      <c r="G50" s="30">
        <v>14</v>
      </c>
      <c r="H50" s="19">
        <v>0</v>
      </c>
      <c r="I50" s="19">
        <v>1</v>
      </c>
      <c r="J50" s="19">
        <v>2</v>
      </c>
      <c r="K50" s="19">
        <v>8</v>
      </c>
      <c r="L50" s="29">
        <f t="shared" si="1"/>
        <v>50</v>
      </c>
    </row>
    <row r="51" spans="2:12" x14ac:dyDescent="0.2">
      <c r="B51" s="37" t="s">
        <v>256</v>
      </c>
      <c r="C51" s="36" t="s">
        <v>202</v>
      </c>
      <c r="D51" s="34">
        <v>0</v>
      </c>
      <c r="E51" s="34">
        <v>0</v>
      </c>
      <c r="F51" s="34">
        <v>0</v>
      </c>
      <c r="G51" s="35">
        <v>0</v>
      </c>
      <c r="H51" s="34">
        <v>0</v>
      </c>
      <c r="I51" s="34">
        <v>6</v>
      </c>
      <c r="J51" s="34">
        <v>0</v>
      </c>
      <c r="K51" s="34">
        <v>2</v>
      </c>
      <c r="L51" s="33">
        <f t="shared" si="1"/>
        <v>8</v>
      </c>
    </row>
    <row r="52" spans="2:12" x14ac:dyDescent="0.2">
      <c r="B52" s="32" t="s">
        <v>255</v>
      </c>
      <c r="C52" s="38" t="s">
        <v>202</v>
      </c>
      <c r="D52" s="19">
        <v>1</v>
      </c>
      <c r="E52" s="19">
        <v>0</v>
      </c>
      <c r="F52" s="19">
        <v>0</v>
      </c>
      <c r="G52" s="30">
        <v>0</v>
      </c>
      <c r="H52" s="19">
        <v>0</v>
      </c>
      <c r="I52" s="19">
        <v>0</v>
      </c>
      <c r="J52" s="19">
        <v>0</v>
      </c>
      <c r="K52" s="19">
        <v>0</v>
      </c>
      <c r="L52" s="29">
        <f t="shared" si="1"/>
        <v>1</v>
      </c>
    </row>
    <row r="53" spans="2:12" x14ac:dyDescent="0.2">
      <c r="B53" s="37" t="s">
        <v>254</v>
      </c>
      <c r="C53" s="36" t="s">
        <v>202</v>
      </c>
      <c r="D53" s="34">
        <v>0</v>
      </c>
      <c r="E53" s="34">
        <v>0</v>
      </c>
      <c r="F53" s="34">
        <v>0</v>
      </c>
      <c r="G53" s="35">
        <v>0</v>
      </c>
      <c r="H53" s="34">
        <v>0</v>
      </c>
      <c r="I53" s="34">
        <v>0</v>
      </c>
      <c r="J53" s="34">
        <v>0</v>
      </c>
      <c r="K53" s="34">
        <v>1</v>
      </c>
      <c r="L53" s="33">
        <f t="shared" si="1"/>
        <v>1</v>
      </c>
    </row>
    <row r="54" spans="2:12" x14ac:dyDescent="0.2">
      <c r="B54" s="32" t="s">
        <v>253</v>
      </c>
      <c r="C54" s="40" t="s">
        <v>188</v>
      </c>
      <c r="D54" s="19">
        <v>0</v>
      </c>
      <c r="E54" s="19">
        <v>0</v>
      </c>
      <c r="F54" s="19">
        <v>1</v>
      </c>
      <c r="G54" s="30">
        <v>0</v>
      </c>
      <c r="H54" s="19">
        <v>0</v>
      </c>
      <c r="I54" s="19">
        <v>0</v>
      </c>
      <c r="J54" s="19">
        <v>0</v>
      </c>
      <c r="K54" s="19">
        <v>0</v>
      </c>
      <c r="L54" s="29">
        <f t="shared" si="1"/>
        <v>1</v>
      </c>
    </row>
    <row r="55" spans="2:12" x14ac:dyDescent="0.2">
      <c r="B55" s="37" t="s">
        <v>252</v>
      </c>
      <c r="C55" s="36" t="s">
        <v>202</v>
      </c>
      <c r="D55" s="34">
        <v>2</v>
      </c>
      <c r="E55" s="34">
        <v>0</v>
      </c>
      <c r="F55" s="34">
        <v>5</v>
      </c>
      <c r="G55" s="35">
        <v>2</v>
      </c>
      <c r="H55" s="34">
        <v>0</v>
      </c>
      <c r="I55" s="34">
        <v>1</v>
      </c>
      <c r="J55" s="34">
        <v>13</v>
      </c>
      <c r="K55" s="34">
        <v>9</v>
      </c>
      <c r="L55" s="33">
        <f t="shared" si="1"/>
        <v>32</v>
      </c>
    </row>
    <row r="56" spans="2:12" x14ac:dyDescent="0.2">
      <c r="B56" s="32" t="s">
        <v>251</v>
      </c>
      <c r="C56" s="40" t="s">
        <v>188</v>
      </c>
      <c r="D56" s="19">
        <v>0</v>
      </c>
      <c r="E56" s="19">
        <v>0</v>
      </c>
      <c r="F56" s="19">
        <v>113</v>
      </c>
      <c r="G56" s="30">
        <v>34</v>
      </c>
      <c r="H56" s="19">
        <v>9</v>
      </c>
      <c r="I56" s="19">
        <v>1</v>
      </c>
      <c r="J56" s="19">
        <v>26</v>
      </c>
      <c r="K56" s="19">
        <v>75</v>
      </c>
      <c r="L56" s="29">
        <f t="shared" si="1"/>
        <v>258</v>
      </c>
    </row>
    <row r="57" spans="2:12" x14ac:dyDescent="0.2">
      <c r="B57" s="37" t="s">
        <v>250</v>
      </c>
      <c r="C57" s="36" t="s">
        <v>188</v>
      </c>
      <c r="D57" s="34">
        <v>46</v>
      </c>
      <c r="E57" s="34">
        <v>1</v>
      </c>
      <c r="F57" s="34">
        <v>38</v>
      </c>
      <c r="G57" s="35">
        <v>1</v>
      </c>
      <c r="H57" s="34">
        <v>112</v>
      </c>
      <c r="I57" s="34">
        <v>2</v>
      </c>
      <c r="J57" s="34">
        <v>13</v>
      </c>
      <c r="K57" s="34">
        <v>26</v>
      </c>
      <c r="L57" s="33">
        <f t="shared" si="1"/>
        <v>239</v>
      </c>
    </row>
    <row r="58" spans="2:12" x14ac:dyDescent="0.2">
      <c r="B58" s="32" t="s">
        <v>249</v>
      </c>
      <c r="C58" s="40" t="s">
        <v>188</v>
      </c>
      <c r="D58" s="19">
        <v>4</v>
      </c>
      <c r="E58" s="19">
        <v>0</v>
      </c>
      <c r="F58" s="19">
        <v>2</v>
      </c>
      <c r="G58" s="30">
        <v>0</v>
      </c>
      <c r="H58" s="19">
        <v>2</v>
      </c>
      <c r="I58" s="19">
        <v>0</v>
      </c>
      <c r="J58" s="19">
        <v>0</v>
      </c>
      <c r="K58" s="19">
        <v>0</v>
      </c>
      <c r="L58" s="29">
        <f t="shared" si="1"/>
        <v>8</v>
      </c>
    </row>
    <row r="59" spans="2:12" x14ac:dyDescent="0.2">
      <c r="B59" s="37" t="s">
        <v>248</v>
      </c>
      <c r="C59" s="36" t="s">
        <v>188</v>
      </c>
      <c r="D59" s="34">
        <v>46</v>
      </c>
      <c r="E59" s="34">
        <v>1</v>
      </c>
      <c r="F59" s="34">
        <v>24</v>
      </c>
      <c r="G59" s="35">
        <v>18</v>
      </c>
      <c r="H59" s="34">
        <v>14</v>
      </c>
      <c r="I59" s="34">
        <v>2</v>
      </c>
      <c r="J59" s="34">
        <v>5</v>
      </c>
      <c r="K59" s="34">
        <v>11</v>
      </c>
      <c r="L59" s="33">
        <f t="shared" si="1"/>
        <v>121</v>
      </c>
    </row>
    <row r="60" spans="2:12" x14ac:dyDescent="0.2">
      <c r="B60" s="32" t="s">
        <v>247</v>
      </c>
      <c r="C60" s="38" t="s">
        <v>186</v>
      </c>
      <c r="D60" s="19">
        <v>1</v>
      </c>
      <c r="E60" s="19">
        <v>5</v>
      </c>
      <c r="F60" s="19">
        <v>7</v>
      </c>
      <c r="G60" s="30">
        <v>0</v>
      </c>
      <c r="H60" s="19">
        <v>4</v>
      </c>
      <c r="I60" s="19">
        <v>5</v>
      </c>
      <c r="J60" s="19">
        <v>1</v>
      </c>
      <c r="K60" s="19">
        <v>2</v>
      </c>
      <c r="L60" s="29">
        <f t="shared" si="1"/>
        <v>25</v>
      </c>
    </row>
    <row r="61" spans="2:12" x14ac:dyDescent="0.2">
      <c r="B61" s="37" t="s">
        <v>246</v>
      </c>
      <c r="C61" s="36" t="s">
        <v>205</v>
      </c>
      <c r="D61" s="34">
        <v>0</v>
      </c>
      <c r="E61" s="34">
        <v>0</v>
      </c>
      <c r="F61" s="34">
        <v>0</v>
      </c>
      <c r="G61" s="35">
        <v>2</v>
      </c>
      <c r="H61" s="34">
        <v>0</v>
      </c>
      <c r="I61" s="34">
        <v>0</v>
      </c>
      <c r="J61" s="34">
        <v>0</v>
      </c>
      <c r="K61" s="34">
        <v>1</v>
      </c>
      <c r="L61" s="33">
        <f t="shared" si="1"/>
        <v>3</v>
      </c>
    </row>
    <row r="62" spans="2:12" x14ac:dyDescent="0.2">
      <c r="B62" s="32" t="s">
        <v>245</v>
      </c>
      <c r="C62" s="38" t="s">
        <v>205</v>
      </c>
      <c r="D62" s="19">
        <v>14</v>
      </c>
      <c r="E62" s="19">
        <v>3</v>
      </c>
      <c r="F62" s="19">
        <v>0</v>
      </c>
      <c r="G62" s="30">
        <v>0</v>
      </c>
      <c r="H62" s="19">
        <v>7</v>
      </c>
      <c r="I62" s="19">
        <v>1</v>
      </c>
      <c r="J62" s="19">
        <v>0</v>
      </c>
      <c r="K62" s="19">
        <v>0</v>
      </c>
      <c r="L62" s="29">
        <f t="shared" si="1"/>
        <v>25</v>
      </c>
    </row>
    <row r="63" spans="2:12" x14ac:dyDescent="0.2">
      <c r="B63" s="37" t="s">
        <v>244</v>
      </c>
      <c r="C63" s="36" t="s">
        <v>205</v>
      </c>
      <c r="D63" s="34">
        <v>2</v>
      </c>
      <c r="E63" s="34">
        <v>0</v>
      </c>
      <c r="F63" s="34">
        <v>0</v>
      </c>
      <c r="G63" s="35">
        <v>0</v>
      </c>
      <c r="H63" s="34">
        <v>0</v>
      </c>
      <c r="I63" s="34">
        <v>0</v>
      </c>
      <c r="J63" s="34">
        <v>0</v>
      </c>
      <c r="K63" s="34">
        <v>0</v>
      </c>
      <c r="L63" s="33">
        <f t="shared" si="1"/>
        <v>2</v>
      </c>
    </row>
    <row r="64" spans="2:12" ht="17" thickBot="1" x14ac:dyDescent="0.25">
      <c r="B64" s="49" t="s">
        <v>243</v>
      </c>
      <c r="C64" s="48" t="s">
        <v>205</v>
      </c>
      <c r="D64" s="46">
        <v>3</v>
      </c>
      <c r="E64" s="46">
        <v>1</v>
      </c>
      <c r="F64" s="46">
        <v>0</v>
      </c>
      <c r="G64" s="47">
        <v>2</v>
      </c>
      <c r="H64" s="46">
        <v>1</v>
      </c>
      <c r="I64" s="46">
        <v>2</v>
      </c>
      <c r="J64" s="46">
        <v>0</v>
      </c>
      <c r="K64" s="46">
        <v>1</v>
      </c>
      <c r="L64" s="45">
        <f t="shared" si="1"/>
        <v>10</v>
      </c>
    </row>
    <row r="65" spans="2:12" x14ac:dyDescent="0.2">
      <c r="B65" s="44" t="s">
        <v>242</v>
      </c>
      <c r="C65" s="43" t="s">
        <v>205</v>
      </c>
      <c r="D65" s="34">
        <v>29</v>
      </c>
      <c r="E65" s="34">
        <v>2</v>
      </c>
      <c r="F65" s="34">
        <v>0</v>
      </c>
      <c r="G65" s="42">
        <v>1</v>
      </c>
      <c r="H65" s="34">
        <v>13</v>
      </c>
      <c r="I65" s="34">
        <v>2</v>
      </c>
      <c r="J65" s="34">
        <v>0</v>
      </c>
      <c r="K65" s="34">
        <v>3</v>
      </c>
      <c r="L65" s="41">
        <f t="shared" si="1"/>
        <v>50</v>
      </c>
    </row>
    <row r="66" spans="2:12" x14ac:dyDescent="0.2">
      <c r="B66" s="32" t="s">
        <v>241</v>
      </c>
      <c r="C66" s="40" t="s">
        <v>188</v>
      </c>
      <c r="D66" s="19">
        <v>1</v>
      </c>
      <c r="E66" s="19">
        <v>0</v>
      </c>
      <c r="F66" s="19">
        <v>0</v>
      </c>
      <c r="G66" s="30">
        <v>0</v>
      </c>
      <c r="H66" s="19">
        <v>0</v>
      </c>
      <c r="I66" s="19">
        <v>4</v>
      </c>
      <c r="J66" s="19">
        <v>0</v>
      </c>
      <c r="K66" s="19">
        <v>0</v>
      </c>
      <c r="L66" s="29">
        <f t="shared" si="1"/>
        <v>5</v>
      </c>
    </row>
    <row r="67" spans="2:12" x14ac:dyDescent="0.2">
      <c r="B67" s="37" t="s">
        <v>240</v>
      </c>
      <c r="C67" s="36" t="s">
        <v>202</v>
      </c>
      <c r="D67" s="34">
        <v>92</v>
      </c>
      <c r="E67" s="34">
        <v>49</v>
      </c>
      <c r="F67" s="34">
        <v>184</v>
      </c>
      <c r="G67" s="35">
        <v>31</v>
      </c>
      <c r="H67" s="34">
        <v>99</v>
      </c>
      <c r="I67" s="34">
        <v>89</v>
      </c>
      <c r="J67" s="34">
        <v>98</v>
      </c>
      <c r="K67" s="34">
        <v>34</v>
      </c>
      <c r="L67" s="33">
        <f t="shared" si="1"/>
        <v>676</v>
      </c>
    </row>
    <row r="68" spans="2:12" x14ac:dyDescent="0.2">
      <c r="B68" s="32" t="s">
        <v>239</v>
      </c>
      <c r="C68" s="38" t="s">
        <v>186</v>
      </c>
      <c r="D68" s="19">
        <v>4</v>
      </c>
      <c r="E68" s="19">
        <v>0</v>
      </c>
      <c r="F68" s="19">
        <v>3</v>
      </c>
      <c r="G68" s="30">
        <v>0</v>
      </c>
      <c r="H68" s="19">
        <v>1</v>
      </c>
      <c r="I68" s="19">
        <v>3</v>
      </c>
      <c r="J68" s="19">
        <v>3</v>
      </c>
      <c r="K68" s="19">
        <v>0</v>
      </c>
      <c r="L68" s="29">
        <f t="shared" si="1"/>
        <v>14</v>
      </c>
    </row>
    <row r="69" spans="2:12" x14ac:dyDescent="0.2">
      <c r="B69" s="37" t="s">
        <v>238</v>
      </c>
      <c r="C69" s="36" t="s">
        <v>212</v>
      </c>
      <c r="D69" s="34">
        <v>4</v>
      </c>
      <c r="E69" s="34">
        <v>1</v>
      </c>
      <c r="F69" s="34">
        <v>1</v>
      </c>
      <c r="G69" s="35">
        <v>0</v>
      </c>
      <c r="H69" s="34">
        <v>4</v>
      </c>
      <c r="I69" s="34">
        <v>1</v>
      </c>
      <c r="J69" s="34">
        <v>0</v>
      </c>
      <c r="K69" s="34">
        <v>0</v>
      </c>
      <c r="L69" s="33">
        <f t="shared" si="1"/>
        <v>11</v>
      </c>
    </row>
    <row r="70" spans="2:12" x14ac:dyDescent="0.2">
      <c r="B70" s="32" t="s">
        <v>237</v>
      </c>
      <c r="C70" s="40" t="s">
        <v>212</v>
      </c>
      <c r="D70" s="19">
        <v>40</v>
      </c>
      <c r="E70" s="19">
        <v>91</v>
      </c>
      <c r="F70" s="19">
        <v>3</v>
      </c>
      <c r="G70" s="30">
        <v>6</v>
      </c>
      <c r="H70" s="19">
        <v>48</v>
      </c>
      <c r="I70" s="19">
        <v>8</v>
      </c>
      <c r="J70" s="19">
        <v>14</v>
      </c>
      <c r="K70" s="19">
        <v>23</v>
      </c>
      <c r="L70" s="29">
        <f t="shared" ref="L70:L101" si="2">SUM(D70:K70)</f>
        <v>233</v>
      </c>
    </row>
    <row r="71" spans="2:12" x14ac:dyDescent="0.2">
      <c r="B71" s="37" t="s">
        <v>236</v>
      </c>
      <c r="C71" s="36" t="s">
        <v>212</v>
      </c>
      <c r="D71" s="34">
        <v>0</v>
      </c>
      <c r="E71" s="34">
        <v>0</v>
      </c>
      <c r="F71" s="34">
        <v>0</v>
      </c>
      <c r="G71" s="35">
        <v>0</v>
      </c>
      <c r="H71" s="34">
        <v>4</v>
      </c>
      <c r="I71" s="34">
        <v>1</v>
      </c>
      <c r="J71" s="34">
        <v>0</v>
      </c>
      <c r="K71" s="34">
        <v>0</v>
      </c>
      <c r="L71" s="33">
        <f t="shared" si="2"/>
        <v>5</v>
      </c>
    </row>
    <row r="72" spans="2:12" x14ac:dyDescent="0.2">
      <c r="B72" s="32" t="s">
        <v>235</v>
      </c>
      <c r="C72" s="40" t="s">
        <v>212</v>
      </c>
      <c r="D72" s="19">
        <v>0</v>
      </c>
      <c r="E72" s="19">
        <v>0</v>
      </c>
      <c r="F72" s="19">
        <v>1</v>
      </c>
      <c r="G72" s="30">
        <v>0</v>
      </c>
      <c r="H72" s="19">
        <v>0</v>
      </c>
      <c r="I72" s="19">
        <v>0</v>
      </c>
      <c r="J72" s="19">
        <v>0</v>
      </c>
      <c r="K72" s="19">
        <v>0</v>
      </c>
      <c r="L72" s="29">
        <f t="shared" si="2"/>
        <v>1</v>
      </c>
    </row>
    <row r="73" spans="2:12" x14ac:dyDescent="0.2">
      <c r="B73" s="37" t="s">
        <v>234</v>
      </c>
      <c r="C73" s="36" t="s">
        <v>212</v>
      </c>
      <c r="D73" s="34">
        <v>3</v>
      </c>
      <c r="E73" s="34">
        <v>0</v>
      </c>
      <c r="F73" s="34">
        <v>2</v>
      </c>
      <c r="G73" s="35">
        <v>0</v>
      </c>
      <c r="H73" s="34">
        <v>3</v>
      </c>
      <c r="I73" s="34">
        <v>1</v>
      </c>
      <c r="J73" s="34">
        <v>1</v>
      </c>
      <c r="K73" s="34">
        <v>1</v>
      </c>
      <c r="L73" s="33">
        <f t="shared" si="2"/>
        <v>11</v>
      </c>
    </row>
    <row r="74" spans="2:12" x14ac:dyDescent="0.2">
      <c r="B74" s="32" t="s">
        <v>233</v>
      </c>
      <c r="C74" s="40" t="s">
        <v>188</v>
      </c>
      <c r="D74" s="19">
        <v>1</v>
      </c>
      <c r="E74" s="19">
        <v>0</v>
      </c>
      <c r="F74" s="19">
        <v>0</v>
      </c>
      <c r="G74" s="30">
        <v>0</v>
      </c>
      <c r="H74" s="19">
        <v>0</v>
      </c>
      <c r="I74" s="19">
        <v>0</v>
      </c>
      <c r="J74" s="19">
        <v>0</v>
      </c>
      <c r="K74" s="19">
        <v>0</v>
      </c>
      <c r="L74" s="29">
        <f t="shared" si="2"/>
        <v>1</v>
      </c>
    </row>
    <row r="75" spans="2:12" x14ac:dyDescent="0.2">
      <c r="B75" s="37" t="s">
        <v>232</v>
      </c>
      <c r="C75" s="36" t="s">
        <v>202</v>
      </c>
      <c r="D75" s="34">
        <v>0</v>
      </c>
      <c r="E75" s="34">
        <v>0</v>
      </c>
      <c r="F75" s="34">
        <v>0</v>
      </c>
      <c r="G75" s="35">
        <v>0</v>
      </c>
      <c r="H75" s="34">
        <v>0</v>
      </c>
      <c r="I75" s="34">
        <v>6</v>
      </c>
      <c r="J75" s="34">
        <v>0</v>
      </c>
      <c r="K75" s="34">
        <v>0</v>
      </c>
      <c r="L75" s="33">
        <f t="shared" si="2"/>
        <v>6</v>
      </c>
    </row>
    <row r="76" spans="2:12" x14ac:dyDescent="0.2">
      <c r="B76" s="32" t="s">
        <v>231</v>
      </c>
      <c r="C76" s="38" t="s">
        <v>202</v>
      </c>
      <c r="D76" s="19">
        <v>0</v>
      </c>
      <c r="E76" s="19">
        <v>0</v>
      </c>
      <c r="F76" s="19">
        <v>0</v>
      </c>
      <c r="G76" s="30">
        <v>0</v>
      </c>
      <c r="H76" s="19">
        <v>2</v>
      </c>
      <c r="I76" s="19">
        <v>0</v>
      </c>
      <c r="J76" s="19">
        <v>0</v>
      </c>
      <c r="K76" s="19">
        <v>0</v>
      </c>
      <c r="L76" s="29">
        <f t="shared" si="2"/>
        <v>2</v>
      </c>
    </row>
    <row r="77" spans="2:12" x14ac:dyDescent="0.2">
      <c r="B77" s="37" t="s">
        <v>230</v>
      </c>
      <c r="C77" s="36" t="s">
        <v>202</v>
      </c>
      <c r="D77" s="34">
        <v>0</v>
      </c>
      <c r="E77" s="34">
        <v>1</v>
      </c>
      <c r="F77" s="34">
        <v>0</v>
      </c>
      <c r="G77" s="35">
        <v>0</v>
      </c>
      <c r="H77" s="34">
        <v>0</v>
      </c>
      <c r="I77" s="34">
        <v>0</v>
      </c>
      <c r="J77" s="34">
        <v>0</v>
      </c>
      <c r="K77" s="34">
        <v>0</v>
      </c>
      <c r="L77" s="33">
        <f t="shared" si="2"/>
        <v>1</v>
      </c>
    </row>
    <row r="78" spans="2:12" x14ac:dyDescent="0.2">
      <c r="B78" s="32" t="s">
        <v>229</v>
      </c>
      <c r="C78" s="38" t="s">
        <v>202</v>
      </c>
      <c r="D78" s="19">
        <v>0</v>
      </c>
      <c r="E78" s="19">
        <v>0</v>
      </c>
      <c r="F78" s="19">
        <v>0</v>
      </c>
      <c r="G78" s="30">
        <v>0</v>
      </c>
      <c r="H78" s="19">
        <v>1</v>
      </c>
      <c r="I78" s="19">
        <v>0</v>
      </c>
      <c r="J78" s="19">
        <v>0</v>
      </c>
      <c r="K78" s="19">
        <v>0</v>
      </c>
      <c r="L78" s="29">
        <f t="shared" si="2"/>
        <v>1</v>
      </c>
    </row>
    <row r="79" spans="2:12" x14ac:dyDescent="0.2">
      <c r="B79" s="37" t="s">
        <v>228</v>
      </c>
      <c r="C79" s="36" t="s">
        <v>202</v>
      </c>
      <c r="D79" s="34">
        <v>0</v>
      </c>
      <c r="E79" s="34">
        <v>0</v>
      </c>
      <c r="F79" s="34">
        <v>0</v>
      </c>
      <c r="G79" s="35">
        <v>0</v>
      </c>
      <c r="H79" s="34">
        <v>0</v>
      </c>
      <c r="I79" s="34">
        <v>1</v>
      </c>
      <c r="J79" s="34">
        <v>0</v>
      </c>
      <c r="K79" s="34">
        <v>1</v>
      </c>
      <c r="L79" s="33">
        <f t="shared" si="2"/>
        <v>2</v>
      </c>
    </row>
    <row r="80" spans="2:12" x14ac:dyDescent="0.2">
      <c r="B80" s="32" t="s">
        <v>227</v>
      </c>
      <c r="C80" s="40" t="s">
        <v>188</v>
      </c>
      <c r="D80" s="19">
        <v>3</v>
      </c>
      <c r="E80" s="19">
        <v>3</v>
      </c>
      <c r="F80" s="19">
        <v>3</v>
      </c>
      <c r="G80" s="30">
        <v>0</v>
      </c>
      <c r="H80" s="19">
        <v>3</v>
      </c>
      <c r="I80" s="19">
        <v>3</v>
      </c>
      <c r="J80" s="19">
        <v>0</v>
      </c>
      <c r="K80" s="19">
        <v>0</v>
      </c>
      <c r="L80" s="29">
        <f t="shared" si="2"/>
        <v>15</v>
      </c>
    </row>
    <row r="81" spans="2:12" x14ac:dyDescent="0.2">
      <c r="B81" s="37" t="s">
        <v>226</v>
      </c>
      <c r="C81" s="36" t="s">
        <v>188</v>
      </c>
      <c r="D81" s="34">
        <v>2</v>
      </c>
      <c r="E81" s="34">
        <v>2</v>
      </c>
      <c r="F81" s="34">
        <v>1</v>
      </c>
      <c r="G81" s="35">
        <v>0</v>
      </c>
      <c r="H81" s="34">
        <v>0</v>
      </c>
      <c r="I81" s="34">
        <v>0</v>
      </c>
      <c r="J81" s="34">
        <v>0</v>
      </c>
      <c r="K81" s="34">
        <v>0</v>
      </c>
      <c r="L81" s="33">
        <f t="shared" si="2"/>
        <v>5</v>
      </c>
    </row>
    <row r="82" spans="2:12" x14ac:dyDescent="0.2">
      <c r="B82" s="32" t="s">
        <v>225</v>
      </c>
      <c r="C82" s="40" t="s">
        <v>188</v>
      </c>
      <c r="D82" s="19">
        <v>6</v>
      </c>
      <c r="E82" s="19">
        <v>2</v>
      </c>
      <c r="F82" s="19">
        <v>17</v>
      </c>
      <c r="G82" s="30">
        <v>0</v>
      </c>
      <c r="H82" s="19">
        <v>5</v>
      </c>
      <c r="I82" s="19">
        <v>1</v>
      </c>
      <c r="J82" s="19">
        <v>1</v>
      </c>
      <c r="K82" s="19">
        <v>0</v>
      </c>
      <c r="L82" s="29">
        <f t="shared" si="2"/>
        <v>32</v>
      </c>
    </row>
    <row r="83" spans="2:12" x14ac:dyDescent="0.2">
      <c r="B83" s="37" t="s">
        <v>224</v>
      </c>
      <c r="C83" s="36" t="s">
        <v>212</v>
      </c>
      <c r="D83" s="34">
        <v>71</v>
      </c>
      <c r="E83" s="34">
        <v>0</v>
      </c>
      <c r="F83" s="34">
        <v>0</v>
      </c>
      <c r="G83" s="35">
        <v>0</v>
      </c>
      <c r="H83" s="34">
        <v>40</v>
      </c>
      <c r="I83" s="34">
        <v>3</v>
      </c>
      <c r="J83" s="34">
        <v>0</v>
      </c>
      <c r="K83" s="34">
        <v>0</v>
      </c>
      <c r="L83" s="33">
        <f t="shared" si="2"/>
        <v>114</v>
      </c>
    </row>
    <row r="84" spans="2:12" x14ac:dyDescent="0.2">
      <c r="B84" s="32" t="s">
        <v>223</v>
      </c>
      <c r="C84" s="40" t="s">
        <v>212</v>
      </c>
      <c r="D84" s="19">
        <v>0</v>
      </c>
      <c r="E84" s="19">
        <v>0</v>
      </c>
      <c r="F84" s="19">
        <v>1</v>
      </c>
      <c r="G84" s="30">
        <v>1</v>
      </c>
      <c r="H84" s="19">
        <v>1</v>
      </c>
      <c r="I84" s="19">
        <v>0</v>
      </c>
      <c r="J84" s="19">
        <v>0</v>
      </c>
      <c r="K84" s="19">
        <v>1</v>
      </c>
      <c r="L84" s="29">
        <f t="shared" si="2"/>
        <v>4</v>
      </c>
    </row>
    <row r="85" spans="2:12" x14ac:dyDescent="0.2">
      <c r="B85" s="37" t="s">
        <v>127</v>
      </c>
      <c r="C85" s="36" t="s">
        <v>188</v>
      </c>
      <c r="D85" s="34">
        <v>3080</v>
      </c>
      <c r="E85" s="34">
        <v>415</v>
      </c>
      <c r="F85" s="34">
        <v>3711</v>
      </c>
      <c r="G85" s="35">
        <v>1183</v>
      </c>
      <c r="H85" s="34">
        <v>1713</v>
      </c>
      <c r="I85" s="34">
        <v>491</v>
      </c>
      <c r="J85" s="34">
        <v>520</v>
      </c>
      <c r="K85" s="34">
        <v>1031</v>
      </c>
      <c r="L85" s="33">
        <f t="shared" si="2"/>
        <v>12144</v>
      </c>
    </row>
    <row r="86" spans="2:12" x14ac:dyDescent="0.2">
      <c r="B86" s="32" t="s">
        <v>222</v>
      </c>
      <c r="C86" s="40" t="s">
        <v>188</v>
      </c>
      <c r="D86" s="19">
        <v>3</v>
      </c>
      <c r="E86" s="19">
        <v>2</v>
      </c>
      <c r="F86" s="19">
        <v>2</v>
      </c>
      <c r="G86" s="30">
        <v>5</v>
      </c>
      <c r="H86" s="19">
        <v>4</v>
      </c>
      <c r="I86" s="19">
        <v>28</v>
      </c>
      <c r="J86" s="19">
        <v>7</v>
      </c>
      <c r="K86" s="19">
        <v>2</v>
      </c>
      <c r="L86" s="29">
        <f t="shared" si="2"/>
        <v>53</v>
      </c>
    </row>
    <row r="87" spans="2:12" x14ac:dyDescent="0.2">
      <c r="B87" s="37" t="s">
        <v>221</v>
      </c>
      <c r="C87" s="36" t="s">
        <v>188</v>
      </c>
      <c r="D87" s="34">
        <v>2</v>
      </c>
      <c r="E87" s="34">
        <v>1</v>
      </c>
      <c r="F87" s="34">
        <v>2</v>
      </c>
      <c r="G87" s="35">
        <v>2</v>
      </c>
      <c r="H87" s="34">
        <v>5</v>
      </c>
      <c r="I87" s="34">
        <v>1</v>
      </c>
      <c r="J87" s="34">
        <v>1</v>
      </c>
      <c r="K87" s="34">
        <v>0</v>
      </c>
      <c r="L87" s="33">
        <f t="shared" si="2"/>
        <v>14</v>
      </c>
    </row>
    <row r="88" spans="2:12" x14ac:dyDescent="0.2">
      <c r="B88" s="32" t="s">
        <v>220</v>
      </c>
      <c r="C88" s="40" t="s">
        <v>188</v>
      </c>
      <c r="D88" s="19">
        <v>0</v>
      </c>
      <c r="E88" s="19">
        <v>0</v>
      </c>
      <c r="F88" s="19">
        <v>3</v>
      </c>
      <c r="G88" s="30">
        <v>0</v>
      </c>
      <c r="H88" s="19">
        <v>1</v>
      </c>
      <c r="I88" s="19">
        <v>1</v>
      </c>
      <c r="J88" s="19">
        <v>0</v>
      </c>
      <c r="K88" s="19">
        <v>0</v>
      </c>
      <c r="L88" s="29">
        <f t="shared" si="2"/>
        <v>5</v>
      </c>
    </row>
    <row r="89" spans="2:12" x14ac:dyDescent="0.2">
      <c r="B89" s="37" t="s">
        <v>219</v>
      </c>
      <c r="C89" s="36" t="s">
        <v>188</v>
      </c>
      <c r="D89" s="34">
        <v>2</v>
      </c>
      <c r="E89" s="34">
        <v>0</v>
      </c>
      <c r="F89" s="34">
        <v>0</v>
      </c>
      <c r="G89" s="35">
        <v>0</v>
      </c>
      <c r="H89" s="34">
        <v>1</v>
      </c>
      <c r="I89" s="34">
        <v>2</v>
      </c>
      <c r="J89" s="34">
        <v>0</v>
      </c>
      <c r="K89" s="34">
        <v>2</v>
      </c>
      <c r="L89" s="33">
        <f t="shared" si="2"/>
        <v>7</v>
      </c>
    </row>
    <row r="90" spans="2:12" x14ac:dyDescent="0.2">
      <c r="B90" s="32" t="s">
        <v>218</v>
      </c>
      <c r="C90" s="38" t="s">
        <v>186</v>
      </c>
      <c r="D90" s="19">
        <v>16</v>
      </c>
      <c r="E90" s="19">
        <v>7</v>
      </c>
      <c r="F90" s="19">
        <v>15</v>
      </c>
      <c r="G90" s="30">
        <v>1</v>
      </c>
      <c r="H90" s="19">
        <v>8</v>
      </c>
      <c r="I90" s="19">
        <v>59</v>
      </c>
      <c r="J90" s="19">
        <v>16</v>
      </c>
      <c r="K90" s="19">
        <v>3</v>
      </c>
      <c r="L90" s="29">
        <f t="shared" si="2"/>
        <v>125</v>
      </c>
    </row>
    <row r="91" spans="2:12" x14ac:dyDescent="0.2">
      <c r="B91" s="37" t="s">
        <v>217</v>
      </c>
      <c r="C91" s="36" t="s">
        <v>188</v>
      </c>
      <c r="D91" s="34">
        <v>4</v>
      </c>
      <c r="E91" s="34">
        <v>0</v>
      </c>
      <c r="F91" s="34">
        <v>0</v>
      </c>
      <c r="G91" s="35">
        <v>0</v>
      </c>
      <c r="H91" s="34">
        <v>1</v>
      </c>
      <c r="I91" s="34">
        <v>0</v>
      </c>
      <c r="J91" s="34">
        <v>0</v>
      </c>
      <c r="K91" s="34">
        <v>1</v>
      </c>
      <c r="L91" s="33">
        <f t="shared" si="2"/>
        <v>6</v>
      </c>
    </row>
    <row r="92" spans="2:12" x14ac:dyDescent="0.2">
      <c r="B92" s="32" t="s">
        <v>216</v>
      </c>
      <c r="C92" s="38" t="s">
        <v>212</v>
      </c>
      <c r="D92" s="19">
        <v>0</v>
      </c>
      <c r="E92" s="19">
        <v>1</v>
      </c>
      <c r="F92" s="19">
        <v>0</v>
      </c>
      <c r="G92" s="30">
        <v>1</v>
      </c>
      <c r="H92" s="19">
        <v>0</v>
      </c>
      <c r="I92" s="19">
        <v>1</v>
      </c>
      <c r="J92" s="19">
        <v>0</v>
      </c>
      <c r="K92" s="19">
        <v>0</v>
      </c>
      <c r="L92" s="29">
        <f t="shared" si="2"/>
        <v>3</v>
      </c>
    </row>
    <row r="93" spans="2:12" x14ac:dyDescent="0.2">
      <c r="B93" s="37" t="s">
        <v>215</v>
      </c>
      <c r="C93" s="36" t="s">
        <v>212</v>
      </c>
      <c r="D93" s="34">
        <v>0</v>
      </c>
      <c r="E93" s="34">
        <v>0</v>
      </c>
      <c r="F93" s="34">
        <v>0</v>
      </c>
      <c r="G93" s="35">
        <v>0</v>
      </c>
      <c r="H93" s="34">
        <v>1</v>
      </c>
      <c r="I93" s="34">
        <v>0</v>
      </c>
      <c r="J93" s="34">
        <v>0</v>
      </c>
      <c r="K93" s="34">
        <v>0</v>
      </c>
      <c r="L93" s="33">
        <f t="shared" si="2"/>
        <v>1</v>
      </c>
    </row>
    <row r="94" spans="2:12" x14ac:dyDescent="0.2">
      <c r="B94" s="32" t="s">
        <v>214</v>
      </c>
      <c r="C94" s="38" t="s">
        <v>212</v>
      </c>
      <c r="D94" s="19">
        <v>21</v>
      </c>
      <c r="E94" s="19">
        <v>0</v>
      </c>
      <c r="F94" s="19">
        <v>0</v>
      </c>
      <c r="G94" s="30">
        <v>0</v>
      </c>
      <c r="H94" s="19">
        <v>2</v>
      </c>
      <c r="I94" s="19">
        <v>0</v>
      </c>
      <c r="J94" s="19">
        <v>0</v>
      </c>
      <c r="K94" s="19">
        <v>0</v>
      </c>
      <c r="L94" s="29">
        <f t="shared" si="2"/>
        <v>23</v>
      </c>
    </row>
    <row r="95" spans="2:12" x14ac:dyDescent="0.2">
      <c r="B95" s="37" t="s">
        <v>213</v>
      </c>
      <c r="C95" s="36" t="s">
        <v>212</v>
      </c>
      <c r="D95" s="34">
        <v>1</v>
      </c>
      <c r="E95" s="34">
        <v>0</v>
      </c>
      <c r="F95" s="34">
        <v>0</v>
      </c>
      <c r="G95" s="35">
        <v>0</v>
      </c>
      <c r="H95" s="34">
        <v>0</v>
      </c>
      <c r="I95" s="34">
        <v>0</v>
      </c>
      <c r="J95" s="34">
        <v>0</v>
      </c>
      <c r="K95" s="34">
        <v>0</v>
      </c>
      <c r="L95" s="33">
        <f t="shared" si="2"/>
        <v>1</v>
      </c>
    </row>
    <row r="96" spans="2:12" x14ac:dyDescent="0.2">
      <c r="B96" s="32" t="s">
        <v>211</v>
      </c>
      <c r="C96" s="40" t="s">
        <v>188</v>
      </c>
      <c r="D96" s="19">
        <v>0</v>
      </c>
      <c r="E96" s="19">
        <v>0</v>
      </c>
      <c r="F96" s="19">
        <v>1</v>
      </c>
      <c r="G96" s="30">
        <v>0</v>
      </c>
      <c r="H96" s="19">
        <v>1</v>
      </c>
      <c r="I96" s="19">
        <v>0</v>
      </c>
      <c r="J96" s="19">
        <v>2</v>
      </c>
      <c r="K96" s="19">
        <v>3</v>
      </c>
      <c r="L96" s="29">
        <f t="shared" si="2"/>
        <v>7</v>
      </c>
    </row>
    <row r="97" spans="2:12" x14ac:dyDescent="0.2">
      <c r="B97" s="37" t="s">
        <v>210</v>
      </c>
      <c r="C97" s="36" t="s">
        <v>188</v>
      </c>
      <c r="D97" s="34">
        <v>8</v>
      </c>
      <c r="E97" s="34">
        <v>2</v>
      </c>
      <c r="F97" s="34">
        <v>0</v>
      </c>
      <c r="G97" s="35">
        <v>0</v>
      </c>
      <c r="H97" s="34">
        <v>0</v>
      </c>
      <c r="I97" s="34">
        <v>1</v>
      </c>
      <c r="J97" s="34">
        <v>1</v>
      </c>
      <c r="K97" s="34">
        <v>0</v>
      </c>
      <c r="L97" s="33">
        <f t="shared" si="2"/>
        <v>12</v>
      </c>
    </row>
    <row r="98" spans="2:12" x14ac:dyDescent="0.2">
      <c r="B98" s="32" t="s">
        <v>209</v>
      </c>
      <c r="C98" s="40" t="s">
        <v>188</v>
      </c>
      <c r="D98" s="19">
        <v>0</v>
      </c>
      <c r="E98" s="19">
        <v>0</v>
      </c>
      <c r="F98" s="19">
        <v>0</v>
      </c>
      <c r="G98" s="30">
        <v>0</v>
      </c>
      <c r="H98" s="19">
        <v>0</v>
      </c>
      <c r="I98" s="19">
        <v>0</v>
      </c>
      <c r="J98" s="19">
        <v>2</v>
      </c>
      <c r="K98" s="19">
        <v>0</v>
      </c>
      <c r="L98" s="29">
        <f t="shared" si="2"/>
        <v>2</v>
      </c>
    </row>
    <row r="99" spans="2:12" x14ac:dyDescent="0.2">
      <c r="B99" s="37" t="s">
        <v>208</v>
      </c>
      <c r="C99" s="36" t="s">
        <v>188</v>
      </c>
      <c r="D99" s="34">
        <v>5</v>
      </c>
      <c r="E99" s="34">
        <v>2</v>
      </c>
      <c r="F99" s="34">
        <v>0</v>
      </c>
      <c r="G99" s="35">
        <v>0</v>
      </c>
      <c r="H99" s="34">
        <v>4</v>
      </c>
      <c r="I99" s="34">
        <v>4</v>
      </c>
      <c r="J99" s="34">
        <v>1</v>
      </c>
      <c r="K99" s="34">
        <v>0</v>
      </c>
      <c r="L99" s="33">
        <f t="shared" si="2"/>
        <v>16</v>
      </c>
    </row>
    <row r="100" spans="2:12" x14ac:dyDescent="0.2">
      <c r="B100" s="32" t="s">
        <v>207</v>
      </c>
      <c r="C100" s="40" t="s">
        <v>188</v>
      </c>
      <c r="D100" s="19">
        <v>0</v>
      </c>
      <c r="E100" s="19">
        <v>0</v>
      </c>
      <c r="F100" s="19">
        <v>0</v>
      </c>
      <c r="G100" s="30">
        <v>1</v>
      </c>
      <c r="H100" s="19">
        <v>0</v>
      </c>
      <c r="I100" s="19">
        <v>0</v>
      </c>
      <c r="J100" s="19">
        <v>0</v>
      </c>
      <c r="K100" s="19">
        <v>0</v>
      </c>
      <c r="L100" s="29">
        <f t="shared" si="2"/>
        <v>1</v>
      </c>
    </row>
    <row r="101" spans="2:12" x14ac:dyDescent="0.2">
      <c r="B101" s="37" t="s">
        <v>139</v>
      </c>
      <c r="C101" s="36" t="s">
        <v>188</v>
      </c>
      <c r="D101" s="34">
        <v>0</v>
      </c>
      <c r="E101" s="34">
        <v>0</v>
      </c>
      <c r="F101" s="34">
        <v>15</v>
      </c>
      <c r="G101" s="35">
        <v>56</v>
      </c>
      <c r="H101" s="34">
        <v>0</v>
      </c>
      <c r="I101" s="34">
        <v>0</v>
      </c>
      <c r="J101" s="34">
        <v>8</v>
      </c>
      <c r="K101" s="34">
        <v>91</v>
      </c>
      <c r="L101" s="33">
        <f t="shared" si="2"/>
        <v>170</v>
      </c>
    </row>
    <row r="102" spans="2:12" x14ac:dyDescent="0.2">
      <c r="B102" s="32" t="s">
        <v>206</v>
      </c>
      <c r="C102" s="38" t="s">
        <v>205</v>
      </c>
      <c r="D102" s="19">
        <v>0</v>
      </c>
      <c r="E102" s="19">
        <v>1</v>
      </c>
      <c r="F102" s="19">
        <v>1</v>
      </c>
      <c r="G102" s="30">
        <v>0</v>
      </c>
      <c r="H102" s="19">
        <v>1</v>
      </c>
      <c r="I102" s="19">
        <v>4</v>
      </c>
      <c r="J102" s="19">
        <v>0</v>
      </c>
      <c r="K102" s="19">
        <v>0</v>
      </c>
      <c r="L102" s="29">
        <f t="shared" ref="L102:L122" si="3">SUM(D102:K102)</f>
        <v>7</v>
      </c>
    </row>
    <row r="103" spans="2:12" x14ac:dyDescent="0.2">
      <c r="B103" s="37" t="s">
        <v>204</v>
      </c>
      <c r="C103" s="36" t="s">
        <v>188</v>
      </c>
      <c r="D103" s="34">
        <v>0</v>
      </c>
      <c r="E103" s="34">
        <v>0</v>
      </c>
      <c r="F103" s="34">
        <v>0</v>
      </c>
      <c r="G103" s="35">
        <v>0</v>
      </c>
      <c r="H103" s="34">
        <v>0</v>
      </c>
      <c r="I103" s="34">
        <v>0</v>
      </c>
      <c r="J103" s="34">
        <v>1</v>
      </c>
      <c r="K103" s="34">
        <v>0</v>
      </c>
      <c r="L103" s="33">
        <f t="shared" si="3"/>
        <v>1</v>
      </c>
    </row>
    <row r="104" spans="2:12" x14ac:dyDescent="0.2">
      <c r="B104" s="32" t="s">
        <v>203</v>
      </c>
      <c r="C104" s="38" t="s">
        <v>202</v>
      </c>
      <c r="D104" s="19">
        <v>1</v>
      </c>
      <c r="E104" s="19">
        <v>2</v>
      </c>
      <c r="F104" s="19">
        <v>0</v>
      </c>
      <c r="G104" s="30">
        <v>2</v>
      </c>
      <c r="H104" s="19">
        <v>1</v>
      </c>
      <c r="I104" s="19">
        <v>1</v>
      </c>
      <c r="J104" s="19">
        <v>3</v>
      </c>
      <c r="K104" s="19">
        <v>4</v>
      </c>
      <c r="L104" s="29">
        <f t="shared" si="3"/>
        <v>14</v>
      </c>
    </row>
    <row r="105" spans="2:12" x14ac:dyDescent="0.2">
      <c r="B105" s="37" t="s">
        <v>201</v>
      </c>
      <c r="C105" s="36" t="s">
        <v>188</v>
      </c>
      <c r="D105" s="34">
        <v>0</v>
      </c>
      <c r="E105" s="34">
        <v>0</v>
      </c>
      <c r="F105" s="34">
        <v>0</v>
      </c>
      <c r="G105" s="35">
        <v>0</v>
      </c>
      <c r="H105" s="34">
        <v>0</v>
      </c>
      <c r="I105" s="34">
        <v>0</v>
      </c>
      <c r="J105" s="34">
        <v>1</v>
      </c>
      <c r="K105" s="34">
        <v>0</v>
      </c>
      <c r="L105" s="33">
        <f t="shared" si="3"/>
        <v>1</v>
      </c>
    </row>
    <row r="106" spans="2:12" x14ac:dyDescent="0.2">
      <c r="B106" s="32" t="s">
        <v>200</v>
      </c>
      <c r="C106" s="40" t="s">
        <v>188</v>
      </c>
      <c r="D106" s="19">
        <v>4</v>
      </c>
      <c r="E106" s="19">
        <v>2</v>
      </c>
      <c r="F106" s="19">
        <v>0</v>
      </c>
      <c r="G106" s="30">
        <v>0</v>
      </c>
      <c r="H106" s="19">
        <v>13</v>
      </c>
      <c r="I106" s="19">
        <v>3</v>
      </c>
      <c r="J106" s="19">
        <v>0</v>
      </c>
      <c r="K106" s="19">
        <v>0</v>
      </c>
      <c r="L106" s="29">
        <f t="shared" si="3"/>
        <v>22</v>
      </c>
    </row>
    <row r="107" spans="2:12" x14ac:dyDescent="0.2">
      <c r="B107" s="37" t="s">
        <v>199</v>
      </c>
      <c r="C107" s="36" t="s">
        <v>188</v>
      </c>
      <c r="D107" s="34">
        <v>2</v>
      </c>
      <c r="E107" s="34">
        <v>0</v>
      </c>
      <c r="F107" s="34">
        <v>2</v>
      </c>
      <c r="G107" s="35">
        <v>0</v>
      </c>
      <c r="H107" s="34">
        <v>2</v>
      </c>
      <c r="I107" s="34">
        <v>1</v>
      </c>
      <c r="J107" s="34">
        <v>0</v>
      </c>
      <c r="K107" s="34">
        <v>0</v>
      </c>
      <c r="L107" s="33">
        <f t="shared" si="3"/>
        <v>7</v>
      </c>
    </row>
    <row r="108" spans="2:12" x14ac:dyDescent="0.2">
      <c r="B108" s="32" t="s">
        <v>198</v>
      </c>
      <c r="C108" s="40" t="s">
        <v>188</v>
      </c>
      <c r="D108" s="19">
        <v>9</v>
      </c>
      <c r="E108" s="19">
        <v>4</v>
      </c>
      <c r="F108" s="19">
        <v>18</v>
      </c>
      <c r="G108" s="30">
        <v>2</v>
      </c>
      <c r="H108" s="19">
        <v>26</v>
      </c>
      <c r="I108" s="19">
        <v>3</v>
      </c>
      <c r="J108" s="19">
        <v>2</v>
      </c>
      <c r="K108" s="19">
        <v>3</v>
      </c>
      <c r="L108" s="29">
        <f t="shared" si="3"/>
        <v>67</v>
      </c>
    </row>
    <row r="109" spans="2:12" x14ac:dyDescent="0.2">
      <c r="B109" s="37" t="s">
        <v>197</v>
      </c>
      <c r="C109" s="36" t="s">
        <v>188</v>
      </c>
      <c r="D109" s="34">
        <v>1</v>
      </c>
      <c r="E109" s="34">
        <v>0</v>
      </c>
      <c r="F109" s="34">
        <v>0</v>
      </c>
      <c r="G109" s="35">
        <v>0</v>
      </c>
      <c r="H109" s="34">
        <v>0</v>
      </c>
      <c r="I109" s="34">
        <v>0</v>
      </c>
      <c r="J109" s="34">
        <v>0</v>
      </c>
      <c r="K109" s="34">
        <v>0</v>
      </c>
      <c r="L109" s="33">
        <f t="shared" si="3"/>
        <v>1</v>
      </c>
    </row>
    <row r="110" spans="2:12" x14ac:dyDescent="0.2">
      <c r="B110" s="32" t="s">
        <v>196</v>
      </c>
      <c r="C110" s="40" t="s">
        <v>188</v>
      </c>
      <c r="D110" s="19">
        <v>32</v>
      </c>
      <c r="E110" s="19">
        <v>4</v>
      </c>
      <c r="F110" s="19">
        <v>17</v>
      </c>
      <c r="G110" s="30">
        <v>2</v>
      </c>
      <c r="H110" s="19">
        <v>67</v>
      </c>
      <c r="I110" s="19">
        <v>12</v>
      </c>
      <c r="J110" s="19">
        <v>10</v>
      </c>
      <c r="K110" s="19">
        <v>10</v>
      </c>
      <c r="L110" s="29">
        <f t="shared" si="3"/>
        <v>154</v>
      </c>
    </row>
    <row r="111" spans="2:12" x14ac:dyDescent="0.2">
      <c r="B111" s="37" t="s">
        <v>195</v>
      </c>
      <c r="C111" s="36" t="s">
        <v>188</v>
      </c>
      <c r="D111" s="34">
        <v>26</v>
      </c>
      <c r="E111" s="34">
        <v>12</v>
      </c>
      <c r="F111" s="34">
        <v>6</v>
      </c>
      <c r="G111" s="35">
        <v>6</v>
      </c>
      <c r="H111" s="34">
        <v>2</v>
      </c>
      <c r="I111" s="34">
        <v>5</v>
      </c>
      <c r="J111" s="34">
        <v>4</v>
      </c>
      <c r="K111" s="34">
        <v>3</v>
      </c>
      <c r="L111" s="33">
        <f t="shared" si="3"/>
        <v>64</v>
      </c>
    </row>
    <row r="112" spans="2:12" x14ac:dyDescent="0.2">
      <c r="B112" s="32" t="s">
        <v>194</v>
      </c>
      <c r="C112" s="40" t="s">
        <v>188</v>
      </c>
      <c r="D112" s="19">
        <v>2</v>
      </c>
      <c r="E112" s="19">
        <v>3</v>
      </c>
      <c r="F112" s="19">
        <v>0</v>
      </c>
      <c r="G112" s="30">
        <v>0</v>
      </c>
      <c r="H112" s="19">
        <v>0</v>
      </c>
      <c r="I112" s="19">
        <v>0</v>
      </c>
      <c r="J112" s="19">
        <v>0</v>
      </c>
      <c r="K112" s="19">
        <v>0</v>
      </c>
      <c r="L112" s="29">
        <f t="shared" si="3"/>
        <v>5</v>
      </c>
    </row>
    <row r="113" spans="2:12" x14ac:dyDescent="0.2">
      <c r="B113" s="37" t="s">
        <v>193</v>
      </c>
      <c r="C113" s="36" t="s">
        <v>188</v>
      </c>
      <c r="D113" s="34">
        <v>1</v>
      </c>
      <c r="E113" s="34">
        <v>0</v>
      </c>
      <c r="F113" s="34">
        <v>0</v>
      </c>
      <c r="G113" s="35">
        <v>2</v>
      </c>
      <c r="H113" s="34">
        <v>0</v>
      </c>
      <c r="I113" s="34">
        <v>0</v>
      </c>
      <c r="J113" s="34">
        <v>0</v>
      </c>
      <c r="K113" s="34">
        <v>1</v>
      </c>
      <c r="L113" s="33">
        <f t="shared" si="3"/>
        <v>4</v>
      </c>
    </row>
    <row r="114" spans="2:12" x14ac:dyDescent="0.2">
      <c r="B114" s="32" t="s">
        <v>192</v>
      </c>
      <c r="C114" s="40" t="s">
        <v>188</v>
      </c>
      <c r="D114" s="19">
        <v>1</v>
      </c>
      <c r="E114" s="19">
        <v>2</v>
      </c>
      <c r="F114" s="19">
        <v>0</v>
      </c>
      <c r="G114" s="30">
        <v>0</v>
      </c>
      <c r="H114" s="19">
        <v>1</v>
      </c>
      <c r="I114" s="19">
        <v>16</v>
      </c>
      <c r="J114" s="19">
        <v>0</v>
      </c>
      <c r="K114" s="19">
        <v>0</v>
      </c>
      <c r="L114" s="29">
        <f t="shared" si="3"/>
        <v>20</v>
      </c>
    </row>
    <row r="115" spans="2:12" x14ac:dyDescent="0.2">
      <c r="B115" s="37" t="s">
        <v>191</v>
      </c>
      <c r="C115" s="36" t="s">
        <v>188</v>
      </c>
      <c r="D115" s="34">
        <v>24</v>
      </c>
      <c r="E115" s="34">
        <v>3</v>
      </c>
      <c r="F115" s="34">
        <v>2</v>
      </c>
      <c r="G115" s="35">
        <v>2</v>
      </c>
      <c r="H115" s="34">
        <v>3</v>
      </c>
      <c r="I115" s="34">
        <v>2</v>
      </c>
      <c r="J115" s="34">
        <v>0</v>
      </c>
      <c r="K115" s="34">
        <v>2</v>
      </c>
      <c r="L115" s="33">
        <f t="shared" si="3"/>
        <v>38</v>
      </c>
    </row>
    <row r="116" spans="2:12" x14ac:dyDescent="0.2">
      <c r="B116" s="32" t="s">
        <v>190</v>
      </c>
      <c r="C116" s="40" t="s">
        <v>188</v>
      </c>
      <c r="D116" s="19">
        <v>4</v>
      </c>
      <c r="E116" s="19">
        <v>5</v>
      </c>
      <c r="F116" s="19">
        <v>1</v>
      </c>
      <c r="G116" s="30">
        <v>0</v>
      </c>
      <c r="H116" s="19">
        <v>2</v>
      </c>
      <c r="I116" s="19">
        <v>1</v>
      </c>
      <c r="J116" s="19">
        <v>0</v>
      </c>
      <c r="K116" s="19">
        <v>0</v>
      </c>
      <c r="L116" s="29">
        <f t="shared" si="3"/>
        <v>13</v>
      </c>
    </row>
    <row r="117" spans="2:12" x14ac:dyDescent="0.2">
      <c r="B117" s="37" t="s">
        <v>189</v>
      </c>
      <c r="C117" s="36" t="s">
        <v>188</v>
      </c>
      <c r="D117" s="34">
        <v>6</v>
      </c>
      <c r="E117" s="34">
        <v>0</v>
      </c>
      <c r="F117" s="34">
        <v>5</v>
      </c>
      <c r="G117" s="35">
        <v>5</v>
      </c>
      <c r="H117" s="34">
        <v>0</v>
      </c>
      <c r="I117" s="34">
        <v>0</v>
      </c>
      <c r="J117" s="34">
        <v>0</v>
      </c>
      <c r="K117" s="34">
        <v>0</v>
      </c>
      <c r="L117" s="33">
        <f t="shared" si="3"/>
        <v>16</v>
      </c>
    </row>
    <row r="118" spans="2:12" x14ac:dyDescent="0.2">
      <c r="B118" s="32" t="s">
        <v>187</v>
      </c>
      <c r="C118" s="38" t="s">
        <v>186</v>
      </c>
      <c r="D118" s="19">
        <v>0</v>
      </c>
      <c r="E118" s="19">
        <v>0</v>
      </c>
      <c r="F118" s="19">
        <v>0</v>
      </c>
      <c r="G118" s="30">
        <v>0</v>
      </c>
      <c r="H118" s="19">
        <v>0</v>
      </c>
      <c r="I118" s="19">
        <v>1</v>
      </c>
      <c r="J118" s="19">
        <v>0</v>
      </c>
      <c r="K118" s="19">
        <v>0</v>
      </c>
      <c r="L118" s="29">
        <f t="shared" si="3"/>
        <v>1</v>
      </c>
    </row>
    <row r="119" spans="2:12" x14ac:dyDescent="0.2">
      <c r="B119" s="39" t="s">
        <v>185</v>
      </c>
      <c r="C119" s="36" t="s">
        <v>182</v>
      </c>
      <c r="D119" s="34">
        <v>6</v>
      </c>
      <c r="E119" s="34">
        <v>0</v>
      </c>
      <c r="F119" s="34">
        <v>0</v>
      </c>
      <c r="G119" s="35">
        <v>1</v>
      </c>
      <c r="H119" s="34">
        <v>3</v>
      </c>
      <c r="I119" s="34">
        <v>1</v>
      </c>
      <c r="J119" s="34">
        <v>0</v>
      </c>
      <c r="K119" s="34">
        <v>1</v>
      </c>
      <c r="L119" s="33">
        <f t="shared" si="3"/>
        <v>12</v>
      </c>
    </row>
    <row r="120" spans="2:12" x14ac:dyDescent="0.2">
      <c r="B120" s="32" t="s">
        <v>184</v>
      </c>
      <c r="C120" s="38" t="s">
        <v>182</v>
      </c>
      <c r="D120" s="19">
        <v>70</v>
      </c>
      <c r="E120" s="19">
        <v>12</v>
      </c>
      <c r="F120" s="19">
        <v>115</v>
      </c>
      <c r="G120" s="30">
        <v>2</v>
      </c>
      <c r="H120" s="19">
        <v>11</v>
      </c>
      <c r="I120" s="19">
        <v>18</v>
      </c>
      <c r="J120" s="19">
        <v>12</v>
      </c>
      <c r="K120" s="19">
        <v>8</v>
      </c>
      <c r="L120" s="29">
        <f t="shared" si="3"/>
        <v>248</v>
      </c>
    </row>
    <row r="121" spans="2:12" x14ac:dyDescent="0.2">
      <c r="B121" s="37" t="s">
        <v>183</v>
      </c>
      <c r="C121" s="36" t="s">
        <v>182</v>
      </c>
      <c r="D121" s="34">
        <v>1</v>
      </c>
      <c r="E121" s="34">
        <v>0</v>
      </c>
      <c r="F121" s="34">
        <v>1</v>
      </c>
      <c r="G121" s="35">
        <v>0</v>
      </c>
      <c r="H121" s="34">
        <v>1</v>
      </c>
      <c r="I121" s="34">
        <v>0</v>
      </c>
      <c r="J121" s="34">
        <v>2</v>
      </c>
      <c r="K121" s="34">
        <v>0</v>
      </c>
      <c r="L121" s="33">
        <f t="shared" si="3"/>
        <v>5</v>
      </c>
    </row>
    <row r="122" spans="2:12" x14ac:dyDescent="0.2">
      <c r="B122" s="32" t="s">
        <v>181</v>
      </c>
      <c r="C122" s="31" t="s">
        <v>180</v>
      </c>
      <c r="D122" s="19">
        <v>76</v>
      </c>
      <c r="E122" s="19">
        <v>37</v>
      </c>
      <c r="F122" s="19">
        <v>84</v>
      </c>
      <c r="G122" s="30">
        <v>58</v>
      </c>
      <c r="H122" s="19">
        <v>43</v>
      </c>
      <c r="I122" s="19">
        <v>31</v>
      </c>
      <c r="J122" s="19">
        <v>39</v>
      </c>
      <c r="K122" s="19">
        <v>27</v>
      </c>
      <c r="L122" s="29">
        <f t="shared" si="3"/>
        <v>395</v>
      </c>
    </row>
    <row r="123" spans="2:12" x14ac:dyDescent="0.2">
      <c r="B123" s="181" t="s">
        <v>125</v>
      </c>
      <c r="C123" s="182"/>
      <c r="D123" s="28">
        <f t="shared" ref="D123:L123" si="4">SUM(D6:D122)</f>
        <v>8877</v>
      </c>
      <c r="E123" s="28">
        <f t="shared" si="4"/>
        <v>1305</v>
      </c>
      <c r="F123" s="28">
        <f t="shared" si="4"/>
        <v>8890</v>
      </c>
      <c r="G123" s="28">
        <f t="shared" si="4"/>
        <v>3658</v>
      </c>
      <c r="H123" s="28">
        <f t="shared" si="4"/>
        <v>4018</v>
      </c>
      <c r="I123" s="28">
        <f t="shared" si="4"/>
        <v>1349</v>
      </c>
      <c r="J123" s="28">
        <f t="shared" si="4"/>
        <v>1674</v>
      </c>
      <c r="K123" s="27">
        <f t="shared" si="4"/>
        <v>3236</v>
      </c>
      <c r="L123" s="26">
        <f t="shared" si="4"/>
        <v>33007</v>
      </c>
    </row>
    <row r="124" spans="2:12" x14ac:dyDescent="0.2">
      <c r="B124" s="170" t="s">
        <v>179</v>
      </c>
      <c r="C124" s="171"/>
      <c r="D124" s="171"/>
      <c r="E124" s="171"/>
      <c r="F124" s="171"/>
      <c r="G124" s="171"/>
      <c r="H124" s="171"/>
      <c r="I124" s="171"/>
      <c r="J124" s="171"/>
      <c r="K124" s="171"/>
      <c r="L124" s="172"/>
    </row>
    <row r="125" spans="2:12" x14ac:dyDescent="0.2">
      <c r="B125" s="173" t="s">
        <v>178</v>
      </c>
      <c r="C125" s="174"/>
      <c r="D125" s="174"/>
      <c r="E125" s="174"/>
      <c r="F125" s="174"/>
      <c r="G125" s="174"/>
      <c r="H125" s="174"/>
      <c r="I125" s="174"/>
      <c r="J125" s="174"/>
      <c r="K125" s="174"/>
      <c r="L125" s="175"/>
    </row>
    <row r="126" spans="2:12" ht="17" thickBot="1" x14ac:dyDescent="0.25">
      <c r="B126" s="176" t="s">
        <v>177</v>
      </c>
      <c r="C126" s="177"/>
      <c r="D126" s="177"/>
      <c r="E126" s="177"/>
      <c r="F126" s="177"/>
      <c r="G126" s="177"/>
      <c r="H126" s="177"/>
      <c r="I126" s="177"/>
      <c r="J126" s="177"/>
      <c r="K126" s="177"/>
      <c r="L126" s="178"/>
    </row>
  </sheetData>
  <mergeCells count="9">
    <mergeCell ref="L4:L5"/>
    <mergeCell ref="B124:L124"/>
    <mergeCell ref="B125:L125"/>
    <mergeCell ref="B126:L126"/>
    <mergeCell ref="D4:G4"/>
    <mergeCell ref="H4:K4"/>
    <mergeCell ref="B123:C123"/>
    <mergeCell ref="B4:B5"/>
    <mergeCell ref="C4:C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C792D-8399-124E-B759-14F6EAB84EDB}">
  <dimension ref="B1:J18"/>
  <sheetViews>
    <sheetView workbookViewId="0">
      <selection activeCell="J20" sqref="J20"/>
    </sheetView>
  </sheetViews>
  <sheetFormatPr baseColWidth="10" defaultRowHeight="16" x14ac:dyDescent="0.2"/>
  <cols>
    <col min="2" max="2" width="32.33203125" customWidth="1"/>
  </cols>
  <sheetData>
    <row r="1" spans="2:10" x14ac:dyDescent="0.2">
      <c r="B1" s="15" t="s">
        <v>1000</v>
      </c>
    </row>
    <row r="2" spans="2:10" ht="17" thickBot="1" x14ac:dyDescent="0.25"/>
    <row r="3" spans="2:10" x14ac:dyDescent="0.2">
      <c r="B3" s="2" t="s">
        <v>0</v>
      </c>
      <c r="C3" s="187" t="s">
        <v>1</v>
      </c>
      <c r="D3" s="188"/>
      <c r="E3" s="187" t="s">
        <v>3</v>
      </c>
      <c r="F3" s="188"/>
      <c r="G3" s="187" t="s">
        <v>4</v>
      </c>
      <c r="H3" s="188"/>
      <c r="I3" s="130" t="s">
        <v>5</v>
      </c>
      <c r="J3" s="131"/>
    </row>
    <row r="4" spans="2:10" x14ac:dyDescent="0.2">
      <c r="B4" s="57" t="s">
        <v>306</v>
      </c>
      <c r="C4" s="58">
        <v>2021</v>
      </c>
      <c r="D4" s="59">
        <v>2022</v>
      </c>
      <c r="E4" s="58">
        <v>2021</v>
      </c>
      <c r="F4" s="59">
        <v>2022</v>
      </c>
      <c r="G4" s="58">
        <v>2021</v>
      </c>
      <c r="H4" s="59">
        <v>2022</v>
      </c>
      <c r="I4" s="60">
        <v>2021</v>
      </c>
      <c r="J4" s="61">
        <v>2022</v>
      </c>
    </row>
    <row r="5" spans="2:10" x14ac:dyDescent="0.2">
      <c r="B5" s="57" t="s">
        <v>307</v>
      </c>
      <c r="C5" s="62">
        <v>8877</v>
      </c>
      <c r="D5" s="63">
        <v>4018</v>
      </c>
      <c r="E5" s="62">
        <v>1305</v>
      </c>
      <c r="F5" s="63">
        <v>1349</v>
      </c>
      <c r="G5" s="62">
        <v>8890</v>
      </c>
      <c r="H5" s="63">
        <v>1674</v>
      </c>
      <c r="I5" s="64">
        <v>3658</v>
      </c>
      <c r="J5" s="65">
        <v>3236</v>
      </c>
    </row>
    <row r="6" spans="2:10" x14ac:dyDescent="0.2">
      <c r="B6" s="57" t="s">
        <v>308</v>
      </c>
      <c r="C6" s="189">
        <f>C5+D5</f>
        <v>12895</v>
      </c>
      <c r="D6" s="190"/>
      <c r="E6" s="189">
        <f>E5+F5</f>
        <v>2654</v>
      </c>
      <c r="F6" s="190"/>
      <c r="G6" s="189">
        <f>G5+H5</f>
        <v>10564</v>
      </c>
      <c r="H6" s="190"/>
      <c r="I6" s="191">
        <f>I5+J5</f>
        <v>6894</v>
      </c>
      <c r="J6" s="192"/>
    </row>
    <row r="7" spans="2:10" x14ac:dyDescent="0.2">
      <c r="B7" s="57" t="s">
        <v>309</v>
      </c>
      <c r="C7" s="62">
        <v>75</v>
      </c>
      <c r="D7" s="63">
        <v>67</v>
      </c>
      <c r="E7" s="62">
        <v>47</v>
      </c>
      <c r="F7" s="63">
        <v>70</v>
      </c>
      <c r="G7" s="62">
        <v>54</v>
      </c>
      <c r="H7" s="63">
        <v>50</v>
      </c>
      <c r="I7" s="64">
        <v>44</v>
      </c>
      <c r="J7" s="65">
        <v>44</v>
      </c>
    </row>
    <row r="8" spans="2:10" x14ac:dyDescent="0.2">
      <c r="B8" s="57" t="s">
        <v>310</v>
      </c>
      <c r="C8" s="189">
        <v>85</v>
      </c>
      <c r="D8" s="190"/>
      <c r="E8" s="189">
        <v>78</v>
      </c>
      <c r="F8" s="190"/>
      <c r="G8" s="189">
        <v>66</v>
      </c>
      <c r="H8" s="190"/>
      <c r="I8" s="191">
        <v>59</v>
      </c>
      <c r="J8" s="192"/>
    </row>
    <row r="9" spans="2:10" x14ac:dyDescent="0.2">
      <c r="B9" s="57" t="s">
        <v>311</v>
      </c>
      <c r="C9" s="62" t="s">
        <v>312</v>
      </c>
      <c r="D9" s="63" t="s">
        <v>313</v>
      </c>
      <c r="E9" s="62" t="s">
        <v>314</v>
      </c>
      <c r="F9" s="63" t="s">
        <v>315</v>
      </c>
      <c r="G9" s="62" t="s">
        <v>316</v>
      </c>
      <c r="H9" s="63">
        <v>1.7</v>
      </c>
      <c r="I9" s="64" t="s">
        <v>317</v>
      </c>
      <c r="J9" s="65" t="s">
        <v>312</v>
      </c>
    </row>
    <row r="10" spans="2:10" x14ac:dyDescent="0.2">
      <c r="B10" s="57" t="s">
        <v>318</v>
      </c>
      <c r="C10" s="189" t="s">
        <v>319</v>
      </c>
      <c r="D10" s="190"/>
      <c r="E10" s="189" t="s">
        <v>320</v>
      </c>
      <c r="F10" s="190"/>
      <c r="G10" s="189" t="s">
        <v>321</v>
      </c>
      <c r="H10" s="190"/>
      <c r="I10" s="191" t="s">
        <v>322</v>
      </c>
      <c r="J10" s="192"/>
    </row>
    <row r="11" spans="2:10" x14ac:dyDescent="0.2">
      <c r="B11" s="57" t="s">
        <v>323</v>
      </c>
      <c r="C11" s="62" t="s">
        <v>324</v>
      </c>
      <c r="D11" s="63" t="s">
        <v>325</v>
      </c>
      <c r="E11" s="62" t="s">
        <v>325</v>
      </c>
      <c r="F11" s="63" t="s">
        <v>326</v>
      </c>
      <c r="G11" s="62" t="s">
        <v>324</v>
      </c>
      <c r="H11" s="63" t="s">
        <v>327</v>
      </c>
      <c r="I11" s="64" t="s">
        <v>328</v>
      </c>
      <c r="J11" s="65" t="s">
        <v>324</v>
      </c>
    </row>
    <row r="12" spans="2:10" ht="17" thickBot="1" x14ac:dyDescent="0.25">
      <c r="B12" s="66" t="s">
        <v>329</v>
      </c>
      <c r="C12" s="193" t="s">
        <v>330</v>
      </c>
      <c r="D12" s="194"/>
      <c r="E12" s="193" t="s">
        <v>327</v>
      </c>
      <c r="F12" s="194"/>
      <c r="G12" s="193" t="s">
        <v>330</v>
      </c>
      <c r="H12" s="194"/>
      <c r="I12" s="195" t="s">
        <v>328</v>
      </c>
      <c r="J12" s="196"/>
    </row>
    <row r="16" spans="2:10" x14ac:dyDescent="0.2">
      <c r="B16" s="67"/>
      <c r="C16" s="197" t="s">
        <v>306</v>
      </c>
      <c r="D16" s="197"/>
      <c r="E16" s="197" t="s">
        <v>331</v>
      </c>
      <c r="F16" s="197"/>
      <c r="G16" s="197" t="s">
        <v>332</v>
      </c>
      <c r="H16" s="197"/>
    </row>
    <row r="17" spans="2:8" x14ac:dyDescent="0.2">
      <c r="B17" s="67" t="s">
        <v>333</v>
      </c>
      <c r="C17" s="198" t="s">
        <v>334</v>
      </c>
      <c r="D17" s="198"/>
      <c r="E17" s="198" t="s">
        <v>335</v>
      </c>
      <c r="F17" s="198"/>
      <c r="G17" s="198" t="s">
        <v>336</v>
      </c>
      <c r="H17" s="198"/>
    </row>
    <row r="18" spans="2:8" x14ac:dyDescent="0.2">
      <c r="B18" s="67" t="s">
        <v>337</v>
      </c>
      <c r="C18" s="198" t="s">
        <v>338</v>
      </c>
      <c r="D18" s="198"/>
      <c r="E18" s="198" t="s">
        <v>339</v>
      </c>
      <c r="F18" s="198"/>
      <c r="G18" s="198" t="s">
        <v>340</v>
      </c>
      <c r="H18" s="198"/>
    </row>
  </sheetData>
  <mergeCells count="29">
    <mergeCell ref="C17:D17"/>
    <mergeCell ref="E17:F17"/>
    <mergeCell ref="G17:H17"/>
    <mergeCell ref="C18:D18"/>
    <mergeCell ref="E18:F18"/>
    <mergeCell ref="G18:H18"/>
    <mergeCell ref="C12:D12"/>
    <mergeCell ref="E12:F12"/>
    <mergeCell ref="G12:H12"/>
    <mergeCell ref="I12:J12"/>
    <mergeCell ref="C16:D16"/>
    <mergeCell ref="E16:F16"/>
    <mergeCell ref="G16:H16"/>
    <mergeCell ref="C8:D8"/>
    <mergeCell ref="E8:F8"/>
    <mergeCell ref="G8:H8"/>
    <mergeCell ref="I8:J8"/>
    <mergeCell ref="C10:D10"/>
    <mergeCell ref="E10:F10"/>
    <mergeCell ref="G10:H10"/>
    <mergeCell ref="I10:J10"/>
    <mergeCell ref="C3:D3"/>
    <mergeCell ref="E3:F3"/>
    <mergeCell ref="G3:H3"/>
    <mergeCell ref="I3:J3"/>
    <mergeCell ref="C6:D6"/>
    <mergeCell ref="E6:F6"/>
    <mergeCell ref="G6:H6"/>
    <mergeCell ref="I6:J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B50DB-55CA-D343-B2C8-7D6E5D933E50}">
  <dimension ref="B1:N12"/>
  <sheetViews>
    <sheetView workbookViewId="0">
      <selection activeCell="C20" sqref="C20"/>
    </sheetView>
  </sheetViews>
  <sheetFormatPr baseColWidth="10" defaultRowHeight="16" x14ac:dyDescent="0.2"/>
  <sheetData>
    <row r="1" spans="2:14" x14ac:dyDescent="0.2">
      <c r="B1" s="15" t="s">
        <v>1001</v>
      </c>
    </row>
    <row r="3" spans="2:14" ht="21" x14ac:dyDescent="0.25">
      <c r="B3" s="10" t="s">
        <v>341</v>
      </c>
      <c r="C3" s="10"/>
      <c r="D3" s="10"/>
      <c r="E3" s="10"/>
      <c r="F3" s="10"/>
      <c r="G3" s="10"/>
      <c r="H3" s="10"/>
      <c r="I3" s="10"/>
      <c r="J3" s="10"/>
      <c r="K3" s="10"/>
      <c r="L3" s="10"/>
      <c r="M3" s="10"/>
      <c r="N3" s="10"/>
    </row>
    <row r="4" spans="2:14" x14ac:dyDescent="0.2">
      <c r="B4" t="s">
        <v>342</v>
      </c>
    </row>
    <row r="5" spans="2:14" x14ac:dyDescent="0.2">
      <c r="B5" t="s">
        <v>343</v>
      </c>
    </row>
    <row r="6" spans="2:14" x14ac:dyDescent="0.2">
      <c r="B6" t="s">
        <v>990</v>
      </c>
    </row>
    <row r="8" spans="2:14" ht="19" x14ac:dyDescent="0.25">
      <c r="C8" s="199" t="s">
        <v>344</v>
      </c>
      <c r="D8" s="200"/>
      <c r="E8" s="201"/>
      <c r="G8" s="199" t="s">
        <v>127</v>
      </c>
      <c r="H8" s="200"/>
      <c r="I8" s="201"/>
      <c r="K8" s="199" t="s">
        <v>128</v>
      </c>
      <c r="L8" s="200"/>
      <c r="M8" s="201"/>
    </row>
    <row r="9" spans="2:14" ht="36" x14ac:dyDescent="0.2">
      <c r="B9" s="68"/>
      <c r="C9" s="69" t="s">
        <v>346</v>
      </c>
      <c r="D9" s="70" t="s">
        <v>345</v>
      </c>
      <c r="E9" s="69" t="s">
        <v>347</v>
      </c>
      <c r="F9" s="68"/>
      <c r="G9" s="69" t="s">
        <v>346</v>
      </c>
      <c r="H9" s="69" t="s">
        <v>348</v>
      </c>
      <c r="I9" s="69" t="s">
        <v>347</v>
      </c>
      <c r="J9" s="68"/>
      <c r="K9" s="69" t="s">
        <v>346</v>
      </c>
      <c r="L9" s="69" t="s">
        <v>348</v>
      </c>
      <c r="M9" s="69" t="s">
        <v>347</v>
      </c>
      <c r="N9" s="68"/>
    </row>
    <row r="10" spans="2:14" x14ac:dyDescent="0.2">
      <c r="B10" s="68"/>
      <c r="C10" s="71" t="s">
        <v>349</v>
      </c>
      <c r="D10" s="72">
        <v>0</v>
      </c>
      <c r="E10" s="68">
        <v>118</v>
      </c>
      <c r="F10" s="68"/>
      <c r="G10" s="71" t="s">
        <v>349</v>
      </c>
      <c r="H10" s="72">
        <v>11.51</v>
      </c>
      <c r="I10" s="68">
        <v>140</v>
      </c>
      <c r="J10" s="68"/>
      <c r="K10" s="71" t="s">
        <v>349</v>
      </c>
      <c r="L10" s="72">
        <v>10.91</v>
      </c>
      <c r="M10" s="68">
        <v>138</v>
      </c>
      <c r="N10" s="68"/>
    </row>
    <row r="11" spans="2:14" x14ac:dyDescent="0.2">
      <c r="B11" s="68"/>
      <c r="C11" s="71" t="s">
        <v>350</v>
      </c>
      <c r="D11" s="68">
        <v>8.4700000000000006</v>
      </c>
      <c r="E11" s="68">
        <v>186</v>
      </c>
      <c r="F11" s="68"/>
      <c r="G11" s="71" t="s">
        <v>350</v>
      </c>
      <c r="H11" s="68">
        <v>19.34</v>
      </c>
      <c r="I11" s="68">
        <v>202</v>
      </c>
      <c r="J11" s="68"/>
      <c r="K11" s="71" t="s">
        <v>350</v>
      </c>
      <c r="L11" s="68">
        <v>19.02</v>
      </c>
      <c r="M11" s="68">
        <v>196</v>
      </c>
      <c r="N11" s="68"/>
    </row>
    <row r="12" spans="2:14" x14ac:dyDescent="0.2">
      <c r="B12" s="68"/>
      <c r="C12" s="71" t="s">
        <v>351</v>
      </c>
      <c r="D12" s="68">
        <v>14.56</v>
      </c>
      <c r="E12" s="68">
        <v>247</v>
      </c>
      <c r="F12" s="68"/>
      <c r="G12" s="71" t="s">
        <v>351</v>
      </c>
      <c r="H12" s="68">
        <v>24.56</v>
      </c>
      <c r="I12" s="68">
        <v>247</v>
      </c>
      <c r="J12" s="68"/>
      <c r="K12" s="71" t="s">
        <v>351</v>
      </c>
      <c r="L12" s="68">
        <v>24.56</v>
      </c>
      <c r="M12" s="68">
        <v>247</v>
      </c>
      <c r="N12" s="68"/>
    </row>
  </sheetData>
  <mergeCells count="3">
    <mergeCell ref="C8:E8"/>
    <mergeCell ref="G8:I8"/>
    <mergeCell ref="K8:M8"/>
  </mergeCells>
  <pageMargins left="0.7" right="0.7" top="0.75" bottom="0.75" header="0.3" footer="0.3"/>
  <tableParts count="3">
    <tablePart r:id="rId1"/>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7C73C-51F7-8943-BCD4-8D625822F025}">
  <dimension ref="C1:T30"/>
  <sheetViews>
    <sheetView workbookViewId="0">
      <selection activeCell="I31" sqref="I31"/>
    </sheetView>
  </sheetViews>
  <sheetFormatPr baseColWidth="10" defaultRowHeight="16" x14ac:dyDescent="0.2"/>
  <cols>
    <col min="4" max="4" width="23.83203125" customWidth="1"/>
    <col min="5" max="5" width="19" customWidth="1"/>
    <col min="6" max="6" width="17.1640625" customWidth="1"/>
    <col min="7" max="7" width="19.1640625" customWidth="1"/>
    <col min="8" max="8" width="18.6640625" customWidth="1"/>
    <col min="9" max="9" width="20.6640625" customWidth="1"/>
  </cols>
  <sheetData>
    <row r="1" spans="3:20" x14ac:dyDescent="0.2">
      <c r="D1" s="15" t="s">
        <v>1002</v>
      </c>
    </row>
    <row r="3" spans="3:20" x14ac:dyDescent="0.2">
      <c r="D3" s="15" t="s">
        <v>361</v>
      </c>
      <c r="E3" s="198" t="s">
        <v>364</v>
      </c>
      <c r="F3" s="198"/>
      <c r="G3" s="198"/>
      <c r="H3" s="198" t="s">
        <v>365</v>
      </c>
      <c r="I3" s="198"/>
      <c r="J3" s="198"/>
      <c r="K3" s="198" t="s">
        <v>366</v>
      </c>
      <c r="L3" s="198"/>
      <c r="M3" s="198" t="s">
        <v>367</v>
      </c>
      <c r="N3" s="198"/>
      <c r="O3" s="198" t="s">
        <v>368</v>
      </c>
      <c r="P3" s="198"/>
      <c r="Q3" s="198" t="s">
        <v>369</v>
      </c>
      <c r="R3" s="198"/>
      <c r="S3" s="198" t="s">
        <v>370</v>
      </c>
      <c r="T3" s="198"/>
    </row>
    <row r="4" spans="3:20" x14ac:dyDescent="0.2">
      <c r="C4" s="15" t="s">
        <v>89</v>
      </c>
      <c r="D4" s="15" t="s">
        <v>352</v>
      </c>
      <c r="E4" s="15" t="s">
        <v>353</v>
      </c>
      <c r="F4" s="15" t="s">
        <v>354</v>
      </c>
      <c r="G4" s="15" t="s">
        <v>352</v>
      </c>
      <c r="H4" s="15" t="s">
        <v>353</v>
      </c>
      <c r="I4" s="15" t="s">
        <v>354</v>
      </c>
      <c r="J4" s="15" t="s">
        <v>352</v>
      </c>
      <c r="K4" s="15" t="s">
        <v>353</v>
      </c>
      <c r="L4" s="15" t="s">
        <v>352</v>
      </c>
      <c r="M4" s="15" t="s">
        <v>353</v>
      </c>
      <c r="N4" s="15" t="s">
        <v>352</v>
      </c>
      <c r="O4" s="15" t="s">
        <v>353</v>
      </c>
      <c r="P4" s="15" t="s">
        <v>352</v>
      </c>
      <c r="Q4" s="15" t="s">
        <v>353</v>
      </c>
      <c r="R4" s="15" t="s">
        <v>352</v>
      </c>
      <c r="S4" s="15" t="s">
        <v>353</v>
      </c>
      <c r="T4" s="15"/>
    </row>
    <row r="5" spans="3:20" x14ac:dyDescent="0.2">
      <c r="C5" t="s">
        <v>91</v>
      </c>
      <c r="D5">
        <v>2142</v>
      </c>
      <c r="E5">
        <v>2171</v>
      </c>
      <c r="F5" t="s">
        <v>355</v>
      </c>
      <c r="G5">
        <v>5217</v>
      </c>
      <c r="H5">
        <v>2534</v>
      </c>
      <c r="I5" t="s">
        <v>356</v>
      </c>
      <c r="J5">
        <v>1717</v>
      </c>
      <c r="K5">
        <v>1705</v>
      </c>
      <c r="L5">
        <v>1295</v>
      </c>
      <c r="M5">
        <v>1783</v>
      </c>
      <c r="N5">
        <v>2255</v>
      </c>
      <c r="O5">
        <v>2896</v>
      </c>
      <c r="P5">
        <v>1141</v>
      </c>
      <c r="Q5">
        <v>1589</v>
      </c>
      <c r="R5">
        <v>1680</v>
      </c>
      <c r="S5">
        <v>1730</v>
      </c>
    </row>
    <row r="6" spans="3:20" x14ac:dyDescent="0.2">
      <c r="C6" t="s">
        <v>92</v>
      </c>
      <c r="D6">
        <v>7717</v>
      </c>
      <c r="E6">
        <v>2169</v>
      </c>
      <c r="F6" t="s">
        <v>355</v>
      </c>
      <c r="G6">
        <v>19971</v>
      </c>
      <c r="H6">
        <v>2440</v>
      </c>
      <c r="I6" t="s">
        <v>357</v>
      </c>
      <c r="J6">
        <v>6387</v>
      </c>
      <c r="K6">
        <v>1716</v>
      </c>
      <c r="L6">
        <v>4396</v>
      </c>
      <c r="M6">
        <v>1771</v>
      </c>
      <c r="N6">
        <v>7163</v>
      </c>
      <c r="O6">
        <v>2851</v>
      </c>
      <c r="P6">
        <v>4075</v>
      </c>
      <c r="Q6">
        <v>1564</v>
      </c>
      <c r="R6">
        <v>6011</v>
      </c>
      <c r="S6">
        <v>1719</v>
      </c>
    </row>
    <row r="7" spans="3:20" x14ac:dyDescent="0.2">
      <c r="C7" t="s">
        <v>93</v>
      </c>
      <c r="D7">
        <v>16913</v>
      </c>
      <c r="E7">
        <v>2250</v>
      </c>
      <c r="F7" t="s">
        <v>355</v>
      </c>
      <c r="G7">
        <v>52525</v>
      </c>
      <c r="H7">
        <v>2587</v>
      </c>
      <c r="I7" t="s">
        <v>356</v>
      </c>
      <c r="J7">
        <v>15627</v>
      </c>
      <c r="K7">
        <v>1807</v>
      </c>
      <c r="L7">
        <v>9587</v>
      </c>
      <c r="M7">
        <v>1827</v>
      </c>
      <c r="N7">
        <v>16367</v>
      </c>
      <c r="O7">
        <v>2956</v>
      </c>
      <c r="P7">
        <v>9068</v>
      </c>
      <c r="Q7">
        <v>1679</v>
      </c>
      <c r="R7">
        <v>13359</v>
      </c>
      <c r="S7">
        <v>1838</v>
      </c>
    </row>
    <row r="8" spans="3:20" x14ac:dyDescent="0.2">
      <c r="C8" t="s">
        <v>94</v>
      </c>
      <c r="D8">
        <v>10110</v>
      </c>
      <c r="E8">
        <v>2049</v>
      </c>
      <c r="F8" t="s">
        <v>355</v>
      </c>
      <c r="G8">
        <v>34767</v>
      </c>
      <c r="H8">
        <v>2512</v>
      </c>
      <c r="I8" t="s">
        <v>356</v>
      </c>
      <c r="J8">
        <v>9922</v>
      </c>
      <c r="K8">
        <v>1757</v>
      </c>
      <c r="L8">
        <v>5751</v>
      </c>
      <c r="M8">
        <v>1758</v>
      </c>
      <c r="N8">
        <v>10292</v>
      </c>
      <c r="O8">
        <v>2797</v>
      </c>
      <c r="P8">
        <v>5232</v>
      </c>
      <c r="Q8">
        <v>1502</v>
      </c>
      <c r="R8">
        <v>8269</v>
      </c>
      <c r="S8">
        <v>1758</v>
      </c>
    </row>
    <row r="9" spans="3:20" x14ac:dyDescent="0.2">
      <c r="C9" t="s">
        <v>95</v>
      </c>
      <c r="D9">
        <v>7141</v>
      </c>
      <c r="E9">
        <v>2123</v>
      </c>
      <c r="F9" t="s">
        <v>355</v>
      </c>
      <c r="G9">
        <v>21466</v>
      </c>
      <c r="H9">
        <v>2407</v>
      </c>
      <c r="I9" t="s">
        <v>357</v>
      </c>
      <c r="J9">
        <v>6008</v>
      </c>
      <c r="K9">
        <v>1712</v>
      </c>
      <c r="L9">
        <v>4044</v>
      </c>
      <c r="M9">
        <v>1756</v>
      </c>
      <c r="N9">
        <v>6484</v>
      </c>
      <c r="O9">
        <v>2895</v>
      </c>
      <c r="P9">
        <v>3699</v>
      </c>
      <c r="Q9">
        <v>1533</v>
      </c>
      <c r="R9">
        <v>5759</v>
      </c>
      <c r="S9">
        <v>1715</v>
      </c>
    </row>
    <row r="10" spans="3:20" x14ac:dyDescent="0.2">
      <c r="C10" t="s">
        <v>96</v>
      </c>
      <c r="D10">
        <v>15518</v>
      </c>
      <c r="E10">
        <v>2065</v>
      </c>
      <c r="F10" t="s">
        <v>355</v>
      </c>
      <c r="G10">
        <v>50022</v>
      </c>
      <c r="H10">
        <v>2412</v>
      </c>
      <c r="I10" t="s">
        <v>357</v>
      </c>
      <c r="J10">
        <v>13575</v>
      </c>
      <c r="K10">
        <v>1720</v>
      </c>
      <c r="L10">
        <v>8306</v>
      </c>
      <c r="M10">
        <v>1778</v>
      </c>
      <c r="N10">
        <v>13190</v>
      </c>
      <c r="O10">
        <v>2800</v>
      </c>
      <c r="P10">
        <v>7682</v>
      </c>
      <c r="Q10">
        <v>1530</v>
      </c>
      <c r="R10">
        <v>12369</v>
      </c>
      <c r="S10">
        <v>1749</v>
      </c>
    </row>
    <row r="11" spans="3:20" x14ac:dyDescent="0.2">
      <c r="C11" t="s">
        <v>97</v>
      </c>
      <c r="D11">
        <v>11757</v>
      </c>
      <c r="E11">
        <v>2061</v>
      </c>
      <c r="F11" t="s">
        <v>355</v>
      </c>
      <c r="G11">
        <v>37499</v>
      </c>
      <c r="H11">
        <v>2542</v>
      </c>
      <c r="I11" t="s">
        <v>357</v>
      </c>
      <c r="J11">
        <v>10005</v>
      </c>
      <c r="K11">
        <v>1746</v>
      </c>
      <c r="L11">
        <v>6330</v>
      </c>
      <c r="M11">
        <v>1745</v>
      </c>
      <c r="N11">
        <v>9808</v>
      </c>
      <c r="O11">
        <v>2842</v>
      </c>
      <c r="P11">
        <v>5811</v>
      </c>
      <c r="Q11">
        <v>1544</v>
      </c>
      <c r="R11">
        <v>9519</v>
      </c>
      <c r="S11">
        <v>1709</v>
      </c>
    </row>
    <row r="12" spans="3:20" x14ac:dyDescent="0.2">
      <c r="C12" t="s">
        <v>98</v>
      </c>
      <c r="D12">
        <v>12592</v>
      </c>
      <c r="E12">
        <v>2024</v>
      </c>
      <c r="F12" t="s">
        <v>355</v>
      </c>
      <c r="G12">
        <v>42495</v>
      </c>
      <c r="H12">
        <v>2457</v>
      </c>
      <c r="I12" t="s">
        <v>358</v>
      </c>
      <c r="J12">
        <v>10875</v>
      </c>
      <c r="K12">
        <v>1685</v>
      </c>
      <c r="L12">
        <v>6464</v>
      </c>
      <c r="M12">
        <v>1726</v>
      </c>
      <c r="N12">
        <v>10671</v>
      </c>
      <c r="O12">
        <v>2757</v>
      </c>
      <c r="P12">
        <v>6342</v>
      </c>
      <c r="Q12">
        <v>1441</v>
      </c>
      <c r="R12">
        <v>10353</v>
      </c>
      <c r="S12">
        <v>1682</v>
      </c>
    </row>
    <row r="13" spans="3:20" x14ac:dyDescent="0.2">
      <c r="C13" t="s">
        <v>99</v>
      </c>
      <c r="D13">
        <v>11811</v>
      </c>
      <c r="E13">
        <v>2132</v>
      </c>
      <c r="F13" t="s">
        <v>355</v>
      </c>
      <c r="G13">
        <v>36160</v>
      </c>
      <c r="H13">
        <v>2504</v>
      </c>
      <c r="I13" t="s">
        <v>357</v>
      </c>
      <c r="J13">
        <v>9939</v>
      </c>
      <c r="K13">
        <v>1668</v>
      </c>
      <c r="L13">
        <v>6111</v>
      </c>
      <c r="M13">
        <v>1714</v>
      </c>
      <c r="N13">
        <v>9536</v>
      </c>
      <c r="O13">
        <v>2757</v>
      </c>
      <c r="P13">
        <v>5473</v>
      </c>
      <c r="Q13">
        <v>1554</v>
      </c>
      <c r="R13">
        <v>9594</v>
      </c>
      <c r="S13">
        <v>1816</v>
      </c>
    </row>
    <row r="14" spans="3:20" x14ac:dyDescent="0.2">
      <c r="C14" t="s">
        <v>100</v>
      </c>
      <c r="D14">
        <v>18111</v>
      </c>
      <c r="E14">
        <v>2185</v>
      </c>
      <c r="F14" t="s">
        <v>355</v>
      </c>
      <c r="G14">
        <v>55252</v>
      </c>
      <c r="H14">
        <v>2519</v>
      </c>
      <c r="I14" t="s">
        <v>357</v>
      </c>
      <c r="J14">
        <v>15817</v>
      </c>
      <c r="K14">
        <v>1780</v>
      </c>
      <c r="L14">
        <v>9750</v>
      </c>
      <c r="M14">
        <v>1863</v>
      </c>
      <c r="N14">
        <v>15163</v>
      </c>
      <c r="O14">
        <v>2832</v>
      </c>
      <c r="P14">
        <v>8789</v>
      </c>
      <c r="Q14">
        <v>1612</v>
      </c>
      <c r="R14">
        <v>14647</v>
      </c>
      <c r="S14">
        <v>1794</v>
      </c>
    </row>
    <row r="15" spans="3:20" x14ac:dyDescent="0.2">
      <c r="C15" t="s">
        <v>101</v>
      </c>
      <c r="D15">
        <v>13689</v>
      </c>
      <c r="E15">
        <v>2138</v>
      </c>
      <c r="F15" t="s">
        <v>355</v>
      </c>
      <c r="G15">
        <v>52490</v>
      </c>
      <c r="H15">
        <v>2609</v>
      </c>
      <c r="I15" t="s">
        <v>357</v>
      </c>
      <c r="J15">
        <v>13094</v>
      </c>
      <c r="K15">
        <v>1707</v>
      </c>
      <c r="L15">
        <v>7333</v>
      </c>
      <c r="M15">
        <v>1800</v>
      </c>
      <c r="N15">
        <v>12280</v>
      </c>
      <c r="O15">
        <v>2808</v>
      </c>
      <c r="P15">
        <v>6697</v>
      </c>
      <c r="Q15">
        <v>1583</v>
      </c>
      <c r="R15">
        <v>11372</v>
      </c>
      <c r="S15">
        <v>1780</v>
      </c>
    </row>
    <row r="16" spans="3:20" x14ac:dyDescent="0.2">
      <c r="C16" t="s">
        <v>102</v>
      </c>
      <c r="D16">
        <v>86</v>
      </c>
      <c r="E16">
        <v>1655</v>
      </c>
      <c r="F16" t="s">
        <v>359</v>
      </c>
      <c r="G16">
        <v>3739</v>
      </c>
      <c r="H16">
        <v>802</v>
      </c>
      <c r="I16" s="73" t="s">
        <v>360</v>
      </c>
      <c r="J16">
        <v>40</v>
      </c>
      <c r="K16">
        <v>1281</v>
      </c>
      <c r="L16">
        <v>27</v>
      </c>
      <c r="M16">
        <v>708</v>
      </c>
      <c r="N16">
        <v>61</v>
      </c>
      <c r="O16">
        <v>2626</v>
      </c>
      <c r="P16">
        <v>31</v>
      </c>
      <c r="Q16">
        <v>681</v>
      </c>
      <c r="R16">
        <v>1243</v>
      </c>
      <c r="S16">
        <v>1771</v>
      </c>
    </row>
    <row r="18" spans="3:6" x14ac:dyDescent="0.2">
      <c r="D18" s="15" t="s">
        <v>362</v>
      </c>
    </row>
    <row r="20" spans="3:6" x14ac:dyDescent="0.2">
      <c r="E20" s="15" t="s">
        <v>364</v>
      </c>
      <c r="F20" s="15" t="s">
        <v>365</v>
      </c>
    </row>
    <row r="21" spans="3:6" x14ac:dyDescent="0.2">
      <c r="C21" s="15" t="s">
        <v>89</v>
      </c>
      <c r="D21" s="15" t="s">
        <v>363</v>
      </c>
      <c r="E21" s="15" t="s">
        <v>354</v>
      </c>
      <c r="F21" s="15" t="s">
        <v>354</v>
      </c>
    </row>
    <row r="22" spans="3:6" x14ac:dyDescent="0.2">
      <c r="C22" t="s">
        <v>103</v>
      </c>
      <c r="D22" t="s">
        <v>371</v>
      </c>
      <c r="E22" t="s">
        <v>376</v>
      </c>
      <c r="F22" t="s">
        <v>377</v>
      </c>
    </row>
    <row r="23" spans="3:6" x14ac:dyDescent="0.2">
      <c r="D23" t="s">
        <v>372</v>
      </c>
      <c r="E23" t="s">
        <v>376</v>
      </c>
      <c r="F23" t="s">
        <v>377</v>
      </c>
    </row>
    <row r="24" spans="3:6" x14ac:dyDescent="0.2">
      <c r="C24" t="s">
        <v>104</v>
      </c>
      <c r="D24" t="s">
        <v>371</v>
      </c>
      <c r="E24" t="s">
        <v>376</v>
      </c>
      <c r="F24" t="s">
        <v>377</v>
      </c>
    </row>
    <row r="25" spans="3:6" x14ac:dyDescent="0.2">
      <c r="D25" t="s">
        <v>372</v>
      </c>
      <c r="E25" t="s">
        <v>376</v>
      </c>
      <c r="F25" t="s">
        <v>377</v>
      </c>
    </row>
    <row r="26" spans="3:6" x14ac:dyDescent="0.2">
      <c r="D26" t="s">
        <v>373</v>
      </c>
      <c r="E26" t="s">
        <v>376</v>
      </c>
      <c r="F26" t="s">
        <v>378</v>
      </c>
    </row>
    <row r="27" spans="3:6" x14ac:dyDescent="0.2">
      <c r="D27" t="s">
        <v>374</v>
      </c>
      <c r="E27" t="s">
        <v>376</v>
      </c>
      <c r="F27" t="s">
        <v>378</v>
      </c>
    </row>
    <row r="28" spans="3:6" x14ac:dyDescent="0.2">
      <c r="D28" t="s">
        <v>375</v>
      </c>
      <c r="E28" t="s">
        <v>376</v>
      </c>
      <c r="F28" t="s">
        <v>378</v>
      </c>
    </row>
    <row r="29" spans="3:6" x14ac:dyDescent="0.2">
      <c r="C29" t="s">
        <v>105</v>
      </c>
      <c r="D29" t="s">
        <v>371</v>
      </c>
      <c r="E29" t="s">
        <v>376</v>
      </c>
      <c r="F29" t="s">
        <v>378</v>
      </c>
    </row>
    <row r="30" spans="3:6" x14ac:dyDescent="0.2">
      <c r="D30" t="s">
        <v>372</v>
      </c>
      <c r="E30" t="s">
        <v>376</v>
      </c>
      <c r="F30" t="s">
        <v>378</v>
      </c>
    </row>
  </sheetData>
  <mergeCells count="7">
    <mergeCell ref="S3:T3"/>
    <mergeCell ref="E3:G3"/>
    <mergeCell ref="H3:J3"/>
    <mergeCell ref="K3:L3"/>
    <mergeCell ref="M3:N3"/>
    <mergeCell ref="O3:P3"/>
    <mergeCell ref="Q3:R3"/>
  </mergeCells>
  <phoneticPr fontId="1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9E346-23D3-E946-BFB7-AF25D106E03F}">
  <dimension ref="A1:AI381"/>
  <sheetViews>
    <sheetView workbookViewId="0">
      <selection activeCell="A14" sqref="A14"/>
    </sheetView>
  </sheetViews>
  <sheetFormatPr baseColWidth="10" defaultRowHeight="16" x14ac:dyDescent="0.2"/>
  <cols>
    <col min="1" max="1" width="47.5" customWidth="1"/>
    <col min="2" max="2" width="47.6640625" customWidth="1"/>
    <col min="3" max="3" width="24.1640625" customWidth="1"/>
    <col min="5" max="5" width="20.83203125" customWidth="1"/>
    <col min="6" max="6" width="21.6640625" customWidth="1"/>
  </cols>
  <sheetData>
    <row r="1" spans="1:35" x14ac:dyDescent="0.2">
      <c r="A1" s="15" t="s">
        <v>1004</v>
      </c>
    </row>
    <row r="2" spans="1:35" x14ac:dyDescent="0.2">
      <c r="A2" s="74" t="s">
        <v>1003</v>
      </c>
      <c r="B2" s="74" t="s">
        <v>493</v>
      </c>
      <c r="C2" s="74" t="s">
        <v>494</v>
      </c>
      <c r="D2" s="74" t="s">
        <v>495</v>
      </c>
      <c r="E2" s="74" t="s">
        <v>496</v>
      </c>
      <c r="F2" s="74" t="s">
        <v>497</v>
      </c>
      <c r="G2" s="74" t="s">
        <v>498</v>
      </c>
      <c r="H2" s="74" t="s">
        <v>499</v>
      </c>
      <c r="I2" s="74" t="s">
        <v>500</v>
      </c>
      <c r="J2" s="74" t="s">
        <v>501</v>
      </c>
      <c r="K2" s="74" t="s">
        <v>502</v>
      </c>
      <c r="L2" s="74" t="s">
        <v>503</v>
      </c>
      <c r="M2" s="74" t="s">
        <v>504</v>
      </c>
      <c r="N2" s="74" t="s">
        <v>505</v>
      </c>
      <c r="O2" s="74" t="s">
        <v>506</v>
      </c>
      <c r="P2" s="74" t="s">
        <v>507</v>
      </c>
      <c r="Q2" s="74" t="s">
        <v>508</v>
      </c>
      <c r="R2" s="74" t="s">
        <v>509</v>
      </c>
      <c r="S2" s="74" t="s">
        <v>510</v>
      </c>
      <c r="T2" s="74" t="s">
        <v>511</v>
      </c>
      <c r="U2" s="74" t="s">
        <v>512</v>
      </c>
      <c r="V2" s="74" t="s">
        <v>513</v>
      </c>
      <c r="W2" s="74" t="s">
        <v>514</v>
      </c>
      <c r="X2" s="74" t="s">
        <v>515</v>
      </c>
      <c r="Y2" s="74" t="s">
        <v>516</v>
      </c>
      <c r="Z2" s="74" t="s">
        <v>517</v>
      </c>
      <c r="AA2" s="74" t="s">
        <v>518</v>
      </c>
      <c r="AB2" s="74" t="s">
        <v>519</v>
      </c>
      <c r="AC2" s="74" t="s">
        <v>520</v>
      </c>
      <c r="AD2" s="74" t="s">
        <v>521</v>
      </c>
      <c r="AE2" s="74" t="s">
        <v>522</v>
      </c>
      <c r="AF2" s="74" t="s">
        <v>523</v>
      </c>
      <c r="AG2" s="74" t="s">
        <v>524</v>
      </c>
      <c r="AH2" s="74" t="s">
        <v>525</v>
      </c>
      <c r="AI2" s="74" t="s">
        <v>526</v>
      </c>
    </row>
    <row r="3" spans="1:35" x14ac:dyDescent="0.2">
      <c r="A3" s="74" t="s">
        <v>389</v>
      </c>
      <c r="B3" s="74" t="s">
        <v>527</v>
      </c>
      <c r="C3" s="74">
        <v>0.99971699999999997</v>
      </c>
      <c r="D3" s="74">
        <v>698</v>
      </c>
      <c r="E3" s="74">
        <v>4356</v>
      </c>
      <c r="F3" s="74">
        <v>5154</v>
      </c>
      <c r="G3" s="74">
        <v>5369</v>
      </c>
      <c r="H3" s="74">
        <v>3582</v>
      </c>
      <c r="I3" s="74">
        <v>4760</v>
      </c>
      <c r="J3" s="74">
        <v>632</v>
      </c>
      <c r="K3" s="74">
        <v>9876</v>
      </c>
      <c r="L3" s="74">
        <v>7964</v>
      </c>
      <c r="M3" s="74">
        <v>6077</v>
      </c>
      <c r="N3" s="74">
        <v>6962</v>
      </c>
      <c r="O3" s="74">
        <v>6995</v>
      </c>
      <c r="P3" s="74">
        <v>92</v>
      </c>
      <c r="Q3" s="74">
        <v>5224</v>
      </c>
      <c r="R3" s="74">
        <v>5884</v>
      </c>
      <c r="S3" s="74">
        <v>5527</v>
      </c>
      <c r="T3" s="74">
        <v>631</v>
      </c>
      <c r="U3" s="74">
        <v>20</v>
      </c>
      <c r="V3" s="74">
        <v>31</v>
      </c>
      <c r="W3" s="74">
        <v>0</v>
      </c>
      <c r="X3" s="74">
        <v>3519</v>
      </c>
      <c r="Y3" s="74">
        <v>1645</v>
      </c>
      <c r="Z3" s="74">
        <v>5355</v>
      </c>
      <c r="AA3" s="74">
        <v>2108</v>
      </c>
      <c r="AB3" s="74">
        <v>596</v>
      </c>
      <c r="AC3" s="74">
        <v>4178</v>
      </c>
      <c r="AD3" s="74">
        <v>3906</v>
      </c>
      <c r="AE3" s="74">
        <v>7094</v>
      </c>
      <c r="AF3" s="74">
        <v>6891</v>
      </c>
      <c r="AG3" s="74">
        <v>5169</v>
      </c>
      <c r="AH3" s="74">
        <v>120295</v>
      </c>
      <c r="AI3" s="78">
        <v>0.34870000000000001</v>
      </c>
    </row>
    <row r="4" spans="1:35" x14ac:dyDescent="0.2">
      <c r="A4" s="74" t="s">
        <v>397</v>
      </c>
      <c r="B4" s="74" t="s">
        <v>528</v>
      </c>
      <c r="C4" s="74">
        <v>0.76339199999999996</v>
      </c>
      <c r="D4" s="74">
        <v>0</v>
      </c>
      <c r="E4" s="74">
        <v>536</v>
      </c>
      <c r="F4" s="74">
        <v>2050</v>
      </c>
      <c r="G4" s="74">
        <v>256</v>
      </c>
      <c r="H4" s="74">
        <v>1113</v>
      </c>
      <c r="I4" s="74">
        <v>0</v>
      </c>
      <c r="J4" s="74">
        <v>451</v>
      </c>
      <c r="K4" s="74">
        <v>493</v>
      </c>
      <c r="L4" s="74">
        <v>434</v>
      </c>
      <c r="M4" s="74">
        <v>739</v>
      </c>
      <c r="N4" s="74">
        <v>871</v>
      </c>
      <c r="O4" s="74">
        <v>760</v>
      </c>
      <c r="P4" s="74">
        <v>184</v>
      </c>
      <c r="Q4" s="74">
        <v>652</v>
      </c>
      <c r="R4" s="74">
        <v>879</v>
      </c>
      <c r="S4" s="74">
        <v>1120</v>
      </c>
      <c r="T4" s="74">
        <v>835</v>
      </c>
      <c r="U4" s="74">
        <v>350</v>
      </c>
      <c r="V4" s="74">
        <v>661</v>
      </c>
      <c r="W4" s="74">
        <v>75</v>
      </c>
      <c r="X4" s="74">
        <v>1168</v>
      </c>
      <c r="Y4" s="74">
        <v>868</v>
      </c>
      <c r="Z4" s="74">
        <v>936</v>
      </c>
      <c r="AA4" s="74">
        <v>392</v>
      </c>
      <c r="AB4" s="74">
        <v>809</v>
      </c>
      <c r="AC4" s="74">
        <v>1095</v>
      </c>
      <c r="AD4" s="74">
        <v>456</v>
      </c>
      <c r="AE4" s="74">
        <v>1706</v>
      </c>
      <c r="AF4" s="74">
        <v>1535</v>
      </c>
      <c r="AG4" s="74">
        <v>879</v>
      </c>
      <c r="AH4" s="74">
        <v>22303</v>
      </c>
      <c r="AI4" s="78">
        <v>6.4600000000000005E-2</v>
      </c>
    </row>
    <row r="5" spans="1:35" x14ac:dyDescent="0.2">
      <c r="A5" s="74" t="s">
        <v>529</v>
      </c>
      <c r="B5" s="74" t="s">
        <v>530</v>
      </c>
      <c r="C5" s="74">
        <v>0.77150099999999999</v>
      </c>
      <c r="D5" s="74">
        <v>6570</v>
      </c>
      <c r="E5" s="74">
        <v>151</v>
      </c>
      <c r="F5" s="74">
        <v>0</v>
      </c>
      <c r="G5" s="74">
        <v>0</v>
      </c>
      <c r="H5" s="74">
        <v>578</v>
      </c>
      <c r="I5" s="74">
        <v>143</v>
      </c>
      <c r="J5" s="74">
        <v>366</v>
      </c>
      <c r="K5" s="74">
        <v>31</v>
      </c>
      <c r="L5" s="74">
        <v>0</v>
      </c>
      <c r="M5" s="74">
        <v>0</v>
      </c>
      <c r="N5" s="74">
        <v>495</v>
      </c>
      <c r="O5" s="74">
        <v>2964</v>
      </c>
      <c r="P5" s="74">
        <v>30</v>
      </c>
      <c r="Q5" s="74">
        <v>0</v>
      </c>
      <c r="R5" s="74">
        <v>284</v>
      </c>
      <c r="S5" s="74">
        <v>768</v>
      </c>
      <c r="T5" s="74">
        <v>1508</v>
      </c>
      <c r="U5" s="74">
        <v>2902</v>
      </c>
      <c r="V5" s="74">
        <v>1788</v>
      </c>
      <c r="W5" s="74">
        <v>2950</v>
      </c>
      <c r="X5" s="74">
        <v>29</v>
      </c>
      <c r="Y5" s="74">
        <v>21</v>
      </c>
      <c r="Z5" s="74">
        <v>0</v>
      </c>
      <c r="AA5" s="74">
        <v>16</v>
      </c>
      <c r="AB5" s="74">
        <v>612</v>
      </c>
      <c r="AC5" s="74">
        <v>0</v>
      </c>
      <c r="AD5" s="74">
        <v>0</v>
      </c>
      <c r="AE5" s="74">
        <v>0</v>
      </c>
      <c r="AF5" s="74">
        <v>0</v>
      </c>
      <c r="AG5" s="74">
        <v>0</v>
      </c>
      <c r="AH5" s="74">
        <v>22206</v>
      </c>
      <c r="AI5" s="78">
        <v>6.4399999999999999E-2</v>
      </c>
    </row>
    <row r="6" spans="1:35" x14ac:dyDescent="0.2">
      <c r="A6" s="74" t="s">
        <v>404</v>
      </c>
      <c r="B6" s="74" t="s">
        <v>528</v>
      </c>
      <c r="C6" s="74">
        <v>0.92163200000000001</v>
      </c>
      <c r="D6" s="74">
        <v>0</v>
      </c>
      <c r="E6" s="74">
        <v>373</v>
      </c>
      <c r="F6" s="74">
        <v>1829</v>
      </c>
      <c r="G6" s="74">
        <v>301</v>
      </c>
      <c r="H6" s="74">
        <v>1052</v>
      </c>
      <c r="I6" s="74">
        <v>9</v>
      </c>
      <c r="J6" s="74">
        <v>548</v>
      </c>
      <c r="K6" s="74">
        <v>485</v>
      </c>
      <c r="L6" s="74">
        <v>978</v>
      </c>
      <c r="M6" s="74">
        <v>752</v>
      </c>
      <c r="N6" s="74">
        <v>824</v>
      </c>
      <c r="O6" s="74">
        <v>641</v>
      </c>
      <c r="P6" s="74">
        <v>126</v>
      </c>
      <c r="Q6" s="74">
        <v>597</v>
      </c>
      <c r="R6" s="74">
        <v>888</v>
      </c>
      <c r="S6" s="74">
        <v>903</v>
      </c>
      <c r="T6" s="74">
        <v>724</v>
      </c>
      <c r="U6" s="74">
        <v>257</v>
      </c>
      <c r="V6" s="74">
        <v>429</v>
      </c>
      <c r="W6" s="74">
        <v>65</v>
      </c>
      <c r="X6" s="74">
        <v>1108</v>
      </c>
      <c r="Y6" s="74">
        <v>967</v>
      </c>
      <c r="Z6" s="74">
        <v>880</v>
      </c>
      <c r="AA6" s="74">
        <v>987</v>
      </c>
      <c r="AB6" s="74">
        <v>725</v>
      </c>
      <c r="AC6" s="74">
        <v>1010</v>
      </c>
      <c r="AD6" s="74">
        <v>396</v>
      </c>
      <c r="AE6" s="74">
        <v>1666</v>
      </c>
      <c r="AF6" s="74">
        <v>1353</v>
      </c>
      <c r="AG6" s="74">
        <v>937</v>
      </c>
      <c r="AH6" s="74">
        <v>21810</v>
      </c>
      <c r="AI6" s="78">
        <v>6.3200000000000006E-2</v>
      </c>
    </row>
    <row r="7" spans="1:35" x14ac:dyDescent="0.2">
      <c r="A7" s="74" t="s">
        <v>405</v>
      </c>
      <c r="B7" s="74" t="s">
        <v>528</v>
      </c>
      <c r="C7" s="74">
        <v>0.82192699999999996</v>
      </c>
      <c r="D7" s="74">
        <v>0</v>
      </c>
      <c r="E7" s="74">
        <v>385</v>
      </c>
      <c r="F7" s="74">
        <v>1754</v>
      </c>
      <c r="G7" s="74">
        <v>261</v>
      </c>
      <c r="H7" s="74">
        <v>928</v>
      </c>
      <c r="I7" s="74">
        <v>12</v>
      </c>
      <c r="J7" s="74">
        <v>464</v>
      </c>
      <c r="K7" s="74">
        <v>497</v>
      </c>
      <c r="L7" s="74">
        <v>830</v>
      </c>
      <c r="M7" s="74">
        <v>605</v>
      </c>
      <c r="N7" s="74">
        <v>711</v>
      </c>
      <c r="O7" s="74">
        <v>627</v>
      </c>
      <c r="P7" s="74">
        <v>149</v>
      </c>
      <c r="Q7" s="74">
        <v>547</v>
      </c>
      <c r="R7" s="74">
        <v>754</v>
      </c>
      <c r="S7" s="74">
        <v>857</v>
      </c>
      <c r="T7" s="74">
        <v>299</v>
      </c>
      <c r="U7" s="74">
        <v>208</v>
      </c>
      <c r="V7" s="74">
        <v>221</v>
      </c>
      <c r="W7" s="74">
        <v>33</v>
      </c>
      <c r="X7" s="74">
        <v>824</v>
      </c>
      <c r="Y7" s="74">
        <v>888</v>
      </c>
      <c r="Z7" s="74">
        <v>762</v>
      </c>
      <c r="AA7" s="74">
        <v>863</v>
      </c>
      <c r="AB7" s="74">
        <v>627</v>
      </c>
      <c r="AC7" s="74">
        <v>890</v>
      </c>
      <c r="AD7" s="74">
        <v>355</v>
      </c>
      <c r="AE7" s="74">
        <v>1409</v>
      </c>
      <c r="AF7" s="74">
        <v>1313</v>
      </c>
      <c r="AG7" s="74">
        <v>768</v>
      </c>
      <c r="AH7" s="74">
        <v>18841</v>
      </c>
      <c r="AI7" s="78">
        <v>5.4600000000000003E-2</v>
      </c>
    </row>
    <row r="8" spans="1:35" x14ac:dyDescent="0.2">
      <c r="A8" s="74" t="s">
        <v>406</v>
      </c>
      <c r="B8" s="74" t="s">
        <v>531</v>
      </c>
      <c r="C8" s="74">
        <v>0.88976699999999997</v>
      </c>
      <c r="D8" s="74">
        <v>288</v>
      </c>
      <c r="E8" s="74">
        <v>604</v>
      </c>
      <c r="F8" s="74">
        <v>743</v>
      </c>
      <c r="G8" s="74">
        <v>607</v>
      </c>
      <c r="H8" s="74">
        <v>102</v>
      </c>
      <c r="I8" s="74">
        <v>0</v>
      </c>
      <c r="J8" s="74">
        <v>89</v>
      </c>
      <c r="K8" s="74">
        <v>250</v>
      </c>
      <c r="L8" s="74">
        <v>496</v>
      </c>
      <c r="M8" s="74">
        <v>412</v>
      </c>
      <c r="N8" s="74">
        <v>488</v>
      </c>
      <c r="O8" s="74">
        <v>595</v>
      </c>
      <c r="P8" s="74">
        <v>148</v>
      </c>
      <c r="Q8" s="74">
        <v>1036</v>
      </c>
      <c r="R8" s="74">
        <v>841</v>
      </c>
      <c r="S8" s="74">
        <v>674</v>
      </c>
      <c r="T8" s="74">
        <v>237</v>
      </c>
      <c r="U8" s="74">
        <v>3</v>
      </c>
      <c r="V8" s="74">
        <v>30</v>
      </c>
      <c r="W8" s="74">
        <v>0</v>
      </c>
      <c r="X8" s="74">
        <v>816</v>
      </c>
      <c r="Y8" s="74">
        <v>556</v>
      </c>
      <c r="Z8" s="74">
        <v>691</v>
      </c>
      <c r="AA8" s="74">
        <v>769</v>
      </c>
      <c r="AB8" s="74">
        <v>274</v>
      </c>
      <c r="AC8" s="74">
        <v>1601</v>
      </c>
      <c r="AD8" s="74">
        <v>868</v>
      </c>
      <c r="AE8" s="74">
        <v>1451</v>
      </c>
      <c r="AF8" s="74">
        <v>763</v>
      </c>
      <c r="AG8" s="74">
        <v>733</v>
      </c>
      <c r="AH8" s="74">
        <v>16165</v>
      </c>
      <c r="AI8" s="78">
        <v>4.6899999999999997E-2</v>
      </c>
    </row>
    <row r="9" spans="1:35" x14ac:dyDescent="0.2">
      <c r="A9" s="74" t="s">
        <v>434</v>
      </c>
      <c r="B9" s="74" t="s">
        <v>528</v>
      </c>
      <c r="C9" s="74">
        <v>0.92330900000000005</v>
      </c>
      <c r="D9" s="74">
        <v>0</v>
      </c>
      <c r="E9" s="74">
        <v>78</v>
      </c>
      <c r="F9" s="74">
        <v>1282</v>
      </c>
      <c r="G9" s="74">
        <v>189</v>
      </c>
      <c r="H9" s="74">
        <v>0</v>
      </c>
      <c r="I9" s="74">
        <v>0</v>
      </c>
      <c r="J9" s="74">
        <v>485</v>
      </c>
      <c r="K9" s="74">
        <v>427</v>
      </c>
      <c r="L9" s="74">
        <v>618</v>
      </c>
      <c r="M9" s="74">
        <v>474</v>
      </c>
      <c r="N9" s="74">
        <v>612</v>
      </c>
      <c r="O9" s="74">
        <v>409</v>
      </c>
      <c r="P9" s="74">
        <v>112</v>
      </c>
      <c r="Q9" s="74">
        <v>487</v>
      </c>
      <c r="R9" s="74">
        <v>574</v>
      </c>
      <c r="S9" s="74">
        <v>740</v>
      </c>
      <c r="T9" s="74">
        <v>647</v>
      </c>
      <c r="U9" s="74">
        <v>0</v>
      </c>
      <c r="V9" s="74">
        <v>295</v>
      </c>
      <c r="W9" s="74">
        <v>38</v>
      </c>
      <c r="X9" s="74">
        <v>730</v>
      </c>
      <c r="Y9" s="74">
        <v>421</v>
      </c>
      <c r="Z9" s="74">
        <v>758</v>
      </c>
      <c r="AA9" s="74">
        <v>859</v>
      </c>
      <c r="AB9" s="74">
        <v>597</v>
      </c>
      <c r="AC9" s="74">
        <v>0</v>
      </c>
      <c r="AD9" s="74">
        <v>328</v>
      </c>
      <c r="AE9" s="74">
        <v>1263</v>
      </c>
      <c r="AF9" s="74">
        <v>833</v>
      </c>
      <c r="AG9" s="74">
        <v>506</v>
      </c>
      <c r="AH9" s="74">
        <v>13762</v>
      </c>
      <c r="AI9" s="78">
        <v>3.9899999999999998E-2</v>
      </c>
    </row>
    <row r="10" spans="1:35" x14ac:dyDescent="0.2">
      <c r="A10" s="74" t="s">
        <v>411</v>
      </c>
      <c r="B10" s="74" t="s">
        <v>532</v>
      </c>
      <c r="C10" s="74">
        <v>0.99586600000000003</v>
      </c>
      <c r="D10" s="74">
        <v>20</v>
      </c>
      <c r="E10" s="74">
        <v>232</v>
      </c>
      <c r="F10" s="74">
        <v>1121</v>
      </c>
      <c r="G10" s="74">
        <v>169</v>
      </c>
      <c r="H10" s="74">
        <v>370</v>
      </c>
      <c r="I10" s="74">
        <v>0</v>
      </c>
      <c r="J10" s="74">
        <v>59</v>
      </c>
      <c r="K10" s="74">
        <v>257</v>
      </c>
      <c r="L10" s="74">
        <v>290</v>
      </c>
      <c r="M10" s="74">
        <v>149</v>
      </c>
      <c r="N10" s="74">
        <v>183</v>
      </c>
      <c r="O10" s="74">
        <v>215</v>
      </c>
      <c r="P10" s="74">
        <v>39</v>
      </c>
      <c r="Q10" s="74">
        <v>806</v>
      </c>
      <c r="R10" s="74">
        <v>388</v>
      </c>
      <c r="S10" s="74">
        <v>190</v>
      </c>
      <c r="T10" s="74">
        <v>265</v>
      </c>
      <c r="U10" s="74">
        <v>122</v>
      </c>
      <c r="V10" s="74">
        <v>57</v>
      </c>
      <c r="W10" s="74">
        <v>24</v>
      </c>
      <c r="X10" s="74">
        <v>412</v>
      </c>
      <c r="Y10" s="74">
        <v>463</v>
      </c>
      <c r="Z10" s="74">
        <v>297</v>
      </c>
      <c r="AA10" s="74">
        <v>899</v>
      </c>
      <c r="AB10" s="74">
        <v>65</v>
      </c>
      <c r="AC10" s="74">
        <v>820</v>
      </c>
      <c r="AD10" s="74">
        <v>237</v>
      </c>
      <c r="AE10" s="74">
        <v>416</v>
      </c>
      <c r="AF10" s="74">
        <v>958</v>
      </c>
      <c r="AG10" s="74">
        <v>251</v>
      </c>
      <c r="AH10" s="74">
        <v>9774</v>
      </c>
      <c r="AI10" s="78">
        <v>2.8299999999999999E-2</v>
      </c>
    </row>
    <row r="11" spans="1:35" x14ac:dyDescent="0.2">
      <c r="A11" s="74" t="s">
        <v>533</v>
      </c>
      <c r="B11" s="74" t="s">
        <v>534</v>
      </c>
      <c r="C11" s="74">
        <v>0.89540500000000001</v>
      </c>
      <c r="D11" s="74">
        <v>0</v>
      </c>
      <c r="E11" s="74">
        <v>1578</v>
      </c>
      <c r="F11" s="74">
        <v>0</v>
      </c>
      <c r="G11" s="74">
        <v>24</v>
      </c>
      <c r="H11" s="74">
        <v>6</v>
      </c>
      <c r="I11" s="74">
        <v>0</v>
      </c>
      <c r="J11" s="74">
        <v>0</v>
      </c>
      <c r="K11" s="74">
        <v>0</v>
      </c>
      <c r="L11" s="74">
        <v>1089</v>
      </c>
      <c r="M11" s="74">
        <v>0</v>
      </c>
      <c r="N11" s="74">
        <v>1915</v>
      </c>
      <c r="O11" s="74">
        <v>2396</v>
      </c>
      <c r="P11" s="74">
        <v>0</v>
      </c>
      <c r="Q11" s="74">
        <v>0</v>
      </c>
      <c r="R11" s="74">
        <v>0</v>
      </c>
      <c r="S11" s="74">
        <v>0</v>
      </c>
      <c r="T11" s="74">
        <v>0</v>
      </c>
      <c r="U11" s="74">
        <v>0</v>
      </c>
      <c r="V11" s="74">
        <v>0</v>
      </c>
      <c r="W11" s="74">
        <v>319</v>
      </c>
      <c r="X11" s="74">
        <v>0</v>
      </c>
      <c r="Y11" s="74">
        <v>0</v>
      </c>
      <c r="Z11" s="74">
        <v>0</v>
      </c>
      <c r="AA11" s="74">
        <v>0</v>
      </c>
      <c r="AB11" s="74">
        <v>0</v>
      </c>
      <c r="AC11" s="74">
        <v>0</v>
      </c>
      <c r="AD11" s="74">
        <v>0</v>
      </c>
      <c r="AE11" s="74">
        <v>0</v>
      </c>
      <c r="AF11" s="74">
        <v>0</v>
      </c>
      <c r="AG11" s="74">
        <v>0</v>
      </c>
      <c r="AH11" s="74">
        <v>7327</v>
      </c>
      <c r="AI11" s="78">
        <v>2.12E-2</v>
      </c>
    </row>
    <row r="12" spans="1:35" x14ac:dyDescent="0.2">
      <c r="A12" s="74" t="s">
        <v>535</v>
      </c>
      <c r="B12" s="74" t="s">
        <v>536</v>
      </c>
      <c r="C12" s="74">
        <v>0.92312399999999994</v>
      </c>
      <c r="D12" s="74">
        <v>0</v>
      </c>
      <c r="E12" s="74">
        <v>0</v>
      </c>
      <c r="F12" s="74">
        <v>719</v>
      </c>
      <c r="G12" s="74">
        <v>484</v>
      </c>
      <c r="H12" s="74">
        <v>1090</v>
      </c>
      <c r="I12" s="74">
        <v>598</v>
      </c>
      <c r="J12" s="74">
        <v>120</v>
      </c>
      <c r="K12" s="74">
        <v>0</v>
      </c>
      <c r="L12" s="74">
        <v>0</v>
      </c>
      <c r="M12" s="74">
        <v>0</v>
      </c>
      <c r="N12" s="74">
        <v>0</v>
      </c>
      <c r="O12" s="74">
        <v>0</v>
      </c>
      <c r="P12" s="74">
        <v>205</v>
      </c>
      <c r="Q12" s="74">
        <v>0</v>
      </c>
      <c r="R12" s="74">
        <v>0</v>
      </c>
      <c r="S12" s="74">
        <v>0</v>
      </c>
      <c r="T12" s="74">
        <v>0</v>
      </c>
      <c r="U12" s="74">
        <v>60</v>
      </c>
      <c r="V12" s="74">
        <v>22</v>
      </c>
      <c r="W12" s="74">
        <v>992</v>
      </c>
      <c r="X12" s="74">
        <v>0</v>
      </c>
      <c r="Y12" s="74">
        <v>0</v>
      </c>
      <c r="Z12" s="74">
        <v>0</v>
      </c>
      <c r="AA12" s="74">
        <v>0</v>
      </c>
      <c r="AB12" s="74">
        <v>2188</v>
      </c>
      <c r="AC12" s="74">
        <v>0</v>
      </c>
      <c r="AD12" s="74">
        <v>139</v>
      </c>
      <c r="AE12" s="74">
        <v>10</v>
      </c>
      <c r="AF12" s="74">
        <v>0</v>
      </c>
      <c r="AG12" s="74">
        <v>0</v>
      </c>
      <c r="AH12" s="74">
        <v>6627</v>
      </c>
      <c r="AI12" s="78">
        <v>1.9199999999999998E-2</v>
      </c>
    </row>
    <row r="13" spans="1:35" x14ac:dyDescent="0.2">
      <c r="A13" s="74" t="s">
        <v>537</v>
      </c>
      <c r="B13" s="74" t="s">
        <v>538</v>
      </c>
      <c r="C13" s="74">
        <v>0.79525400000000002</v>
      </c>
      <c r="D13" s="74">
        <v>1408</v>
      </c>
      <c r="E13" s="74">
        <v>0</v>
      </c>
      <c r="F13" s="74">
        <v>0</v>
      </c>
      <c r="G13" s="74">
        <v>0</v>
      </c>
      <c r="H13" s="74">
        <v>0</v>
      </c>
      <c r="I13" s="74">
        <v>0</v>
      </c>
      <c r="J13" s="74">
        <v>0</v>
      </c>
      <c r="K13" s="74">
        <v>25</v>
      </c>
      <c r="L13" s="74">
        <v>0</v>
      </c>
      <c r="M13" s="74">
        <v>0</v>
      </c>
      <c r="N13" s="74">
        <v>0</v>
      </c>
      <c r="O13" s="74">
        <v>0</v>
      </c>
      <c r="P13" s="74">
        <v>2395</v>
      </c>
      <c r="Q13" s="74">
        <v>0</v>
      </c>
      <c r="R13" s="74">
        <v>0</v>
      </c>
      <c r="S13" s="74">
        <v>106</v>
      </c>
      <c r="T13" s="74">
        <v>485</v>
      </c>
      <c r="U13" s="74">
        <v>80</v>
      </c>
      <c r="V13" s="74">
        <v>447</v>
      </c>
      <c r="W13" s="74">
        <v>1137</v>
      </c>
      <c r="X13" s="74">
        <v>0</v>
      </c>
      <c r="Y13" s="74">
        <v>0</v>
      </c>
      <c r="Z13" s="74">
        <v>0</v>
      </c>
      <c r="AA13" s="74">
        <v>0</v>
      </c>
      <c r="AB13" s="74">
        <v>0</v>
      </c>
      <c r="AC13" s="74">
        <v>0</v>
      </c>
      <c r="AD13" s="74">
        <v>260</v>
      </c>
      <c r="AE13" s="74">
        <v>33</v>
      </c>
      <c r="AF13" s="74">
        <v>0</v>
      </c>
      <c r="AG13" s="74">
        <v>0</v>
      </c>
      <c r="AH13" s="74">
        <v>6376</v>
      </c>
      <c r="AI13" s="78">
        <v>1.8499999999999999E-2</v>
      </c>
    </row>
    <row r="14" spans="1:35" x14ac:dyDescent="0.2">
      <c r="A14" s="74" t="s">
        <v>539</v>
      </c>
      <c r="B14" s="74" t="s">
        <v>534</v>
      </c>
      <c r="C14" s="74">
        <v>0.89988400000000002</v>
      </c>
      <c r="D14" s="74">
        <v>0</v>
      </c>
      <c r="E14" s="74">
        <v>0</v>
      </c>
      <c r="F14" s="74">
        <v>0</v>
      </c>
      <c r="G14" s="74">
        <v>0</v>
      </c>
      <c r="H14" s="74">
        <v>0</v>
      </c>
      <c r="I14" s="74">
        <v>0</v>
      </c>
      <c r="J14" s="74">
        <v>0</v>
      </c>
      <c r="K14" s="74">
        <v>0</v>
      </c>
      <c r="L14" s="74">
        <v>0</v>
      </c>
      <c r="M14" s="74">
        <v>0</v>
      </c>
      <c r="N14" s="74">
        <v>0</v>
      </c>
      <c r="O14" s="74">
        <v>0</v>
      </c>
      <c r="P14" s="74">
        <v>4043</v>
      </c>
      <c r="Q14" s="74">
        <v>0</v>
      </c>
      <c r="R14" s="74">
        <v>0</v>
      </c>
      <c r="S14" s="74">
        <v>0</v>
      </c>
      <c r="T14" s="74">
        <v>0</v>
      </c>
      <c r="U14" s="74">
        <v>0</v>
      </c>
      <c r="V14" s="74">
        <v>0</v>
      </c>
      <c r="W14" s="74">
        <v>0</v>
      </c>
      <c r="X14" s="74">
        <v>0</v>
      </c>
      <c r="Y14" s="74">
        <v>0</v>
      </c>
      <c r="Z14" s="74">
        <v>0</v>
      </c>
      <c r="AA14" s="74">
        <v>0</v>
      </c>
      <c r="AB14" s="74">
        <v>0</v>
      </c>
      <c r="AC14" s="74">
        <v>0</v>
      </c>
      <c r="AD14" s="74">
        <v>1807</v>
      </c>
      <c r="AE14" s="74">
        <v>0</v>
      </c>
      <c r="AF14" s="74">
        <v>0</v>
      </c>
      <c r="AG14" s="74">
        <v>0</v>
      </c>
      <c r="AH14" s="74">
        <v>5850</v>
      </c>
      <c r="AI14" s="78">
        <v>1.7000000000000001E-2</v>
      </c>
    </row>
    <row r="15" spans="1:35" x14ac:dyDescent="0.2">
      <c r="A15" s="74" t="s">
        <v>540</v>
      </c>
      <c r="B15" s="74" t="s">
        <v>538</v>
      </c>
      <c r="C15" s="74">
        <v>0.94112099999999999</v>
      </c>
      <c r="D15" s="74">
        <v>81</v>
      </c>
      <c r="E15" s="74">
        <v>1521</v>
      </c>
      <c r="F15" s="74">
        <v>0</v>
      </c>
      <c r="G15" s="74">
        <v>115</v>
      </c>
      <c r="H15" s="74">
        <v>14</v>
      </c>
      <c r="I15" s="74">
        <v>0</v>
      </c>
      <c r="J15" s="74">
        <v>34</v>
      </c>
      <c r="K15" s="74">
        <v>0</v>
      </c>
      <c r="L15" s="74">
        <v>0</v>
      </c>
      <c r="M15" s="74">
        <v>3</v>
      </c>
      <c r="N15" s="74">
        <v>0</v>
      </c>
      <c r="O15" s="74">
        <v>0</v>
      </c>
      <c r="P15" s="74">
        <v>36</v>
      </c>
      <c r="Q15" s="74">
        <v>0</v>
      </c>
      <c r="R15" s="74">
        <v>0</v>
      </c>
      <c r="S15" s="74">
        <v>68</v>
      </c>
      <c r="T15" s="74">
        <v>212</v>
      </c>
      <c r="U15" s="74">
        <v>2371</v>
      </c>
      <c r="V15" s="74">
        <v>383</v>
      </c>
      <c r="W15" s="74">
        <v>820</v>
      </c>
      <c r="X15" s="74">
        <v>0</v>
      </c>
      <c r="Y15" s="74">
        <v>13</v>
      </c>
      <c r="Z15" s="74">
        <v>3</v>
      </c>
      <c r="AA15" s="74">
        <v>0</v>
      </c>
      <c r="AB15" s="74">
        <v>51</v>
      </c>
      <c r="AC15" s="74">
        <v>0</v>
      </c>
      <c r="AD15" s="74">
        <v>0</v>
      </c>
      <c r="AE15" s="74">
        <v>0</v>
      </c>
      <c r="AF15" s="74">
        <v>0</v>
      </c>
      <c r="AG15" s="74">
        <v>0</v>
      </c>
      <c r="AH15" s="74">
        <v>5725</v>
      </c>
      <c r="AI15" s="78">
        <v>1.66E-2</v>
      </c>
    </row>
    <row r="16" spans="1:35" x14ac:dyDescent="0.2">
      <c r="A16" s="74" t="s">
        <v>541</v>
      </c>
      <c r="B16" s="74" t="s">
        <v>528</v>
      </c>
      <c r="C16" s="74">
        <v>0.921709</v>
      </c>
      <c r="D16" s="74">
        <v>0</v>
      </c>
      <c r="E16" s="74">
        <v>293</v>
      </c>
      <c r="F16" s="74">
        <v>351</v>
      </c>
      <c r="G16" s="74">
        <v>97</v>
      </c>
      <c r="H16" s="74">
        <v>865</v>
      </c>
      <c r="I16" s="74">
        <v>0</v>
      </c>
      <c r="J16" s="74">
        <v>0</v>
      </c>
      <c r="K16" s="74">
        <v>0</v>
      </c>
      <c r="L16" s="74">
        <v>264</v>
      </c>
      <c r="M16" s="74">
        <v>140</v>
      </c>
      <c r="N16" s="74">
        <v>109</v>
      </c>
      <c r="O16" s="74">
        <v>145</v>
      </c>
      <c r="P16" s="74">
        <v>0</v>
      </c>
      <c r="Q16" s="74">
        <v>0</v>
      </c>
      <c r="R16" s="74">
        <v>200</v>
      </c>
      <c r="S16" s="74">
        <v>83</v>
      </c>
      <c r="T16" s="74">
        <v>0</v>
      </c>
      <c r="U16" s="74">
        <v>231</v>
      </c>
      <c r="V16" s="74">
        <v>86</v>
      </c>
      <c r="W16" s="74">
        <v>0</v>
      </c>
      <c r="X16" s="74">
        <v>199</v>
      </c>
      <c r="Y16" s="74">
        <v>427</v>
      </c>
      <c r="Z16" s="74">
        <v>0</v>
      </c>
      <c r="AA16" s="74">
        <v>0</v>
      </c>
      <c r="AB16" s="74">
        <v>33</v>
      </c>
      <c r="AC16" s="74">
        <v>880</v>
      </c>
      <c r="AD16" s="74">
        <v>0</v>
      </c>
      <c r="AE16" s="74">
        <v>10</v>
      </c>
      <c r="AF16" s="74">
        <v>514</v>
      </c>
      <c r="AG16" s="74">
        <v>308</v>
      </c>
      <c r="AH16" s="74">
        <v>5235</v>
      </c>
      <c r="AI16" s="78">
        <v>1.52E-2</v>
      </c>
    </row>
    <row r="17" spans="1:35" x14ac:dyDescent="0.2">
      <c r="A17" s="74" t="s">
        <v>542</v>
      </c>
      <c r="B17" s="74" t="s">
        <v>543</v>
      </c>
      <c r="C17" s="74">
        <v>0.99990800000000002</v>
      </c>
      <c r="D17" s="74">
        <v>216</v>
      </c>
      <c r="E17" s="74">
        <v>1644</v>
      </c>
      <c r="F17" s="74">
        <v>322</v>
      </c>
      <c r="G17" s="74">
        <v>0</v>
      </c>
      <c r="H17" s="74">
        <v>0</v>
      </c>
      <c r="I17" s="74">
        <v>114</v>
      </c>
      <c r="J17" s="74">
        <v>30</v>
      </c>
      <c r="K17" s="74">
        <v>0</v>
      </c>
      <c r="L17" s="74">
        <v>0</v>
      </c>
      <c r="M17" s="74">
        <v>0</v>
      </c>
      <c r="N17" s="74">
        <v>139</v>
      </c>
      <c r="O17" s="74">
        <v>0</v>
      </c>
      <c r="P17" s="74">
        <v>173</v>
      </c>
      <c r="Q17" s="74">
        <v>0</v>
      </c>
      <c r="R17" s="74">
        <v>0</v>
      </c>
      <c r="S17" s="74">
        <v>0</v>
      </c>
      <c r="T17" s="74">
        <v>173</v>
      </c>
      <c r="U17" s="74">
        <v>1170</v>
      </c>
      <c r="V17" s="74">
        <v>155</v>
      </c>
      <c r="W17" s="74">
        <v>533</v>
      </c>
      <c r="X17" s="74">
        <v>0</v>
      </c>
      <c r="Y17" s="74">
        <v>0</v>
      </c>
      <c r="Z17" s="74">
        <v>0</v>
      </c>
      <c r="AA17" s="74">
        <v>0</v>
      </c>
      <c r="AB17" s="74">
        <v>48</v>
      </c>
      <c r="AC17" s="74">
        <v>0</v>
      </c>
      <c r="AD17" s="74">
        <v>111</v>
      </c>
      <c r="AE17" s="74">
        <v>253</v>
      </c>
      <c r="AF17" s="74">
        <v>20</v>
      </c>
      <c r="AG17" s="74">
        <v>0</v>
      </c>
      <c r="AH17" s="74">
        <v>5101</v>
      </c>
      <c r="AI17" s="78">
        <v>1.4800000000000001E-2</v>
      </c>
    </row>
    <row r="18" spans="1:35" x14ac:dyDescent="0.2">
      <c r="A18" s="74" t="s">
        <v>544</v>
      </c>
      <c r="B18" s="74" t="s">
        <v>545</v>
      </c>
      <c r="C18" s="74">
        <v>0.79777500000000001</v>
      </c>
      <c r="D18" s="74">
        <v>0</v>
      </c>
      <c r="E18" s="74">
        <v>0</v>
      </c>
      <c r="F18" s="74">
        <v>0</v>
      </c>
      <c r="G18" s="74">
        <v>0</v>
      </c>
      <c r="H18" s="74">
        <v>0</v>
      </c>
      <c r="I18" s="74">
        <v>4646</v>
      </c>
      <c r="J18" s="74">
        <v>0</v>
      </c>
      <c r="K18" s="74">
        <v>0</v>
      </c>
      <c r="L18" s="74">
        <v>0</v>
      </c>
      <c r="M18" s="74">
        <v>0</v>
      </c>
      <c r="N18" s="74">
        <v>0</v>
      </c>
      <c r="O18" s="74">
        <v>0</v>
      </c>
      <c r="P18" s="74">
        <v>0</v>
      </c>
      <c r="Q18" s="74">
        <v>0</v>
      </c>
      <c r="R18" s="74">
        <v>0</v>
      </c>
      <c r="S18" s="74">
        <v>0</v>
      </c>
      <c r="T18" s="74">
        <v>0</v>
      </c>
      <c r="U18" s="74">
        <v>0</v>
      </c>
      <c r="V18" s="74">
        <v>70</v>
      </c>
      <c r="W18" s="74">
        <v>141</v>
      </c>
      <c r="X18" s="74">
        <v>0</v>
      </c>
      <c r="Y18" s="74">
        <v>0</v>
      </c>
      <c r="Z18" s="74">
        <v>0</v>
      </c>
      <c r="AA18" s="74">
        <v>0</v>
      </c>
      <c r="AB18" s="74">
        <v>0</v>
      </c>
      <c r="AC18" s="74">
        <v>0</v>
      </c>
      <c r="AD18" s="74">
        <v>6</v>
      </c>
      <c r="AE18" s="74">
        <v>0</v>
      </c>
      <c r="AF18" s="74">
        <v>0</v>
      </c>
      <c r="AG18" s="74">
        <v>0</v>
      </c>
      <c r="AH18" s="74">
        <v>4863</v>
      </c>
      <c r="AI18" s="78">
        <v>1.41E-2</v>
      </c>
    </row>
    <row r="19" spans="1:35" x14ac:dyDescent="0.2">
      <c r="A19" s="74" t="s">
        <v>546</v>
      </c>
      <c r="B19" s="74" t="s">
        <v>531</v>
      </c>
      <c r="C19" s="74">
        <v>0.96528999999999998</v>
      </c>
      <c r="D19" s="74">
        <v>0</v>
      </c>
      <c r="E19" s="74">
        <v>0</v>
      </c>
      <c r="F19" s="74">
        <v>172</v>
      </c>
      <c r="G19" s="74">
        <v>855</v>
      </c>
      <c r="H19" s="74">
        <v>475</v>
      </c>
      <c r="I19" s="74">
        <v>1710</v>
      </c>
      <c r="J19" s="74">
        <v>526</v>
      </c>
      <c r="K19" s="74">
        <v>294</v>
      </c>
      <c r="L19" s="74">
        <v>68</v>
      </c>
      <c r="M19" s="74">
        <v>246</v>
      </c>
      <c r="N19" s="74">
        <v>149</v>
      </c>
      <c r="O19" s="74">
        <v>49</v>
      </c>
      <c r="P19" s="74">
        <v>0</v>
      </c>
      <c r="Q19" s="74">
        <v>83</v>
      </c>
      <c r="R19" s="74">
        <v>0</v>
      </c>
      <c r="S19" s="74">
        <v>0</v>
      </c>
      <c r="T19" s="74">
        <v>0</v>
      </c>
      <c r="U19" s="74">
        <v>0</v>
      </c>
      <c r="V19" s="74">
        <v>0</v>
      </c>
      <c r="W19" s="74">
        <v>0</v>
      </c>
      <c r="X19" s="74">
        <v>0</v>
      </c>
      <c r="Y19" s="74">
        <v>0</v>
      </c>
      <c r="Z19" s="74">
        <v>0</v>
      </c>
      <c r="AA19" s="74">
        <v>0</v>
      </c>
      <c r="AB19" s="74">
        <v>0</v>
      </c>
      <c r="AC19" s="74">
        <v>0</v>
      </c>
      <c r="AD19" s="74">
        <v>0</v>
      </c>
      <c r="AE19" s="74">
        <v>0</v>
      </c>
      <c r="AF19" s="74">
        <v>0</v>
      </c>
      <c r="AG19" s="74">
        <v>35</v>
      </c>
      <c r="AH19" s="74">
        <v>4662</v>
      </c>
      <c r="AI19" s="78">
        <v>1.35E-2</v>
      </c>
    </row>
    <row r="20" spans="1:35" x14ac:dyDescent="0.2">
      <c r="A20" s="74" t="s">
        <v>547</v>
      </c>
      <c r="B20" s="74" t="s">
        <v>548</v>
      </c>
      <c r="C20" s="74">
        <v>0.99760400000000005</v>
      </c>
      <c r="D20" s="74">
        <v>74</v>
      </c>
      <c r="E20" s="74">
        <v>40</v>
      </c>
      <c r="F20" s="74">
        <v>0</v>
      </c>
      <c r="G20" s="74">
        <v>778</v>
      </c>
      <c r="H20" s="74">
        <v>0</v>
      </c>
      <c r="I20" s="74">
        <v>733</v>
      </c>
      <c r="J20" s="74">
        <v>2315</v>
      </c>
      <c r="K20" s="74">
        <v>35</v>
      </c>
      <c r="L20" s="74">
        <v>0</v>
      </c>
      <c r="M20" s="74">
        <v>0</v>
      </c>
      <c r="N20" s="74">
        <v>0</v>
      </c>
      <c r="O20" s="74">
        <v>0</v>
      </c>
      <c r="P20" s="74">
        <v>0</v>
      </c>
      <c r="Q20" s="74">
        <v>0</v>
      </c>
      <c r="R20" s="74">
        <v>0</v>
      </c>
      <c r="S20" s="74">
        <v>0</v>
      </c>
      <c r="T20" s="74">
        <v>0</v>
      </c>
      <c r="U20" s="74">
        <v>0</v>
      </c>
      <c r="V20" s="74">
        <v>0</v>
      </c>
      <c r="W20" s="74">
        <v>53</v>
      </c>
      <c r="X20" s="74">
        <v>0</v>
      </c>
      <c r="Y20" s="74">
        <v>0</v>
      </c>
      <c r="Z20" s="74">
        <v>0</v>
      </c>
      <c r="AA20" s="74">
        <v>0</v>
      </c>
      <c r="AB20" s="74">
        <v>0</v>
      </c>
      <c r="AC20" s="74">
        <v>0</v>
      </c>
      <c r="AD20" s="74">
        <v>0</v>
      </c>
      <c r="AE20" s="74">
        <v>0</v>
      </c>
      <c r="AF20" s="74">
        <v>14</v>
      </c>
      <c r="AG20" s="74">
        <v>170</v>
      </c>
      <c r="AH20" s="74">
        <v>4212</v>
      </c>
      <c r="AI20" s="78">
        <v>1.2200000000000001E-2</v>
      </c>
    </row>
    <row r="21" spans="1:35" x14ac:dyDescent="0.2">
      <c r="A21" s="74" t="s">
        <v>549</v>
      </c>
      <c r="B21" s="74" t="s">
        <v>550</v>
      </c>
      <c r="C21" s="74">
        <v>0.72199000000000002</v>
      </c>
      <c r="D21" s="74">
        <v>92</v>
      </c>
      <c r="E21" s="74">
        <v>0</v>
      </c>
      <c r="F21" s="74">
        <v>0</v>
      </c>
      <c r="G21" s="74">
        <v>0</v>
      </c>
      <c r="H21" s="74">
        <v>0</v>
      </c>
      <c r="I21" s="74">
        <v>0</v>
      </c>
      <c r="J21" s="74">
        <v>0</v>
      </c>
      <c r="K21" s="74">
        <v>0</v>
      </c>
      <c r="L21" s="74">
        <v>0</v>
      </c>
      <c r="M21" s="74">
        <v>0</v>
      </c>
      <c r="N21" s="74">
        <v>0</v>
      </c>
      <c r="O21" s="74">
        <v>0</v>
      </c>
      <c r="P21" s="74">
        <v>65</v>
      </c>
      <c r="Q21" s="74">
        <v>0</v>
      </c>
      <c r="R21" s="74">
        <v>0</v>
      </c>
      <c r="S21" s="74">
        <v>0</v>
      </c>
      <c r="T21" s="74">
        <v>406</v>
      </c>
      <c r="U21" s="74">
        <v>0</v>
      </c>
      <c r="V21" s="74">
        <v>3295</v>
      </c>
      <c r="W21" s="74">
        <v>0</v>
      </c>
      <c r="X21" s="74">
        <v>0</v>
      </c>
      <c r="Y21" s="74">
        <v>0</v>
      </c>
      <c r="Z21" s="74">
        <v>0</v>
      </c>
      <c r="AA21" s="74">
        <v>0</v>
      </c>
      <c r="AB21" s="74">
        <v>0</v>
      </c>
      <c r="AC21" s="74">
        <v>0</v>
      </c>
      <c r="AD21" s="74">
        <v>0</v>
      </c>
      <c r="AE21" s="74">
        <v>0</v>
      </c>
      <c r="AF21" s="74">
        <v>0</v>
      </c>
      <c r="AG21" s="74">
        <v>0</v>
      </c>
      <c r="AH21" s="74">
        <v>3858</v>
      </c>
      <c r="AI21" s="78">
        <v>1.12E-2</v>
      </c>
    </row>
    <row r="22" spans="1:35" x14ac:dyDescent="0.2">
      <c r="A22" s="74" t="s">
        <v>551</v>
      </c>
      <c r="B22" s="74" t="s">
        <v>552</v>
      </c>
      <c r="C22" s="74">
        <v>0.75460099999999997</v>
      </c>
      <c r="D22" s="74">
        <v>1826</v>
      </c>
      <c r="E22" s="74">
        <v>608</v>
      </c>
      <c r="F22" s="74">
        <v>21</v>
      </c>
      <c r="G22" s="74">
        <v>89</v>
      </c>
      <c r="H22" s="74">
        <v>0</v>
      </c>
      <c r="I22" s="74">
        <v>0</v>
      </c>
      <c r="J22" s="74">
        <v>0</v>
      </c>
      <c r="K22" s="74">
        <v>266</v>
      </c>
      <c r="L22" s="74">
        <v>19</v>
      </c>
      <c r="M22" s="74">
        <v>0</v>
      </c>
      <c r="N22" s="74">
        <v>0</v>
      </c>
      <c r="O22" s="74">
        <v>0</v>
      </c>
      <c r="P22" s="74">
        <v>58</v>
      </c>
      <c r="Q22" s="74">
        <v>0</v>
      </c>
      <c r="R22" s="74">
        <v>0</v>
      </c>
      <c r="S22" s="74">
        <v>0</v>
      </c>
      <c r="T22" s="74">
        <v>38</v>
      </c>
      <c r="U22" s="74">
        <v>0</v>
      </c>
      <c r="V22" s="74">
        <v>0</v>
      </c>
      <c r="W22" s="74">
        <v>0</v>
      </c>
      <c r="X22" s="74">
        <v>0</v>
      </c>
      <c r="Y22" s="74">
        <v>0</v>
      </c>
      <c r="Z22" s="74">
        <v>0</v>
      </c>
      <c r="AA22" s="74">
        <v>0</v>
      </c>
      <c r="AB22" s="74">
        <v>357</v>
      </c>
      <c r="AC22" s="74">
        <v>12</v>
      </c>
      <c r="AD22" s="74">
        <v>41</v>
      </c>
      <c r="AE22" s="74">
        <v>0</v>
      </c>
      <c r="AF22" s="74">
        <v>0</v>
      </c>
      <c r="AG22" s="74">
        <v>0</v>
      </c>
      <c r="AH22" s="74">
        <v>3335</v>
      </c>
      <c r="AI22" s="78">
        <v>9.7000000000000003E-3</v>
      </c>
    </row>
    <row r="23" spans="1:35" x14ac:dyDescent="0.2">
      <c r="A23" s="74" t="s">
        <v>415</v>
      </c>
      <c r="B23" s="74" t="s">
        <v>527</v>
      </c>
      <c r="C23" s="74">
        <v>0.999583</v>
      </c>
      <c r="D23" s="74">
        <v>12</v>
      </c>
      <c r="E23" s="74">
        <v>67</v>
      </c>
      <c r="F23" s="74">
        <v>91</v>
      </c>
      <c r="G23" s="74">
        <v>97</v>
      </c>
      <c r="H23" s="74">
        <v>62</v>
      </c>
      <c r="I23" s="74">
        <v>82</v>
      </c>
      <c r="J23" s="74">
        <v>12</v>
      </c>
      <c r="K23" s="74">
        <v>210</v>
      </c>
      <c r="L23" s="74">
        <v>148</v>
      </c>
      <c r="M23" s="74">
        <v>112</v>
      </c>
      <c r="N23" s="74">
        <v>143</v>
      </c>
      <c r="O23" s="74">
        <v>118</v>
      </c>
      <c r="P23" s="74">
        <v>0</v>
      </c>
      <c r="Q23" s="74">
        <v>99</v>
      </c>
      <c r="R23" s="74">
        <v>88</v>
      </c>
      <c r="S23" s="74">
        <v>84</v>
      </c>
      <c r="T23" s="74">
        <v>10</v>
      </c>
      <c r="U23" s="74">
        <v>0</v>
      </c>
      <c r="V23" s="74">
        <v>0</v>
      </c>
      <c r="W23" s="74">
        <v>0</v>
      </c>
      <c r="X23" s="74">
        <v>64</v>
      </c>
      <c r="Y23" s="74">
        <v>36</v>
      </c>
      <c r="Z23" s="74">
        <v>86</v>
      </c>
      <c r="AA23" s="74">
        <v>32</v>
      </c>
      <c r="AB23" s="74">
        <v>13</v>
      </c>
      <c r="AC23" s="74">
        <v>87</v>
      </c>
      <c r="AD23" s="74">
        <v>73</v>
      </c>
      <c r="AE23" s="74">
        <v>136</v>
      </c>
      <c r="AF23" s="74">
        <v>132</v>
      </c>
      <c r="AG23" s="74">
        <v>87</v>
      </c>
      <c r="AH23" s="74">
        <v>2181</v>
      </c>
      <c r="AI23" s="78">
        <v>6.3E-3</v>
      </c>
    </row>
    <row r="24" spans="1:35" x14ac:dyDescent="0.2">
      <c r="A24" s="74" t="s">
        <v>553</v>
      </c>
      <c r="B24" s="74" t="s">
        <v>536</v>
      </c>
      <c r="C24" s="74">
        <v>0.84742399999999996</v>
      </c>
      <c r="D24" s="74">
        <v>38</v>
      </c>
      <c r="E24" s="74">
        <v>0</v>
      </c>
      <c r="F24" s="74">
        <v>0</v>
      </c>
      <c r="G24" s="74">
        <v>0</v>
      </c>
      <c r="H24" s="74">
        <v>458</v>
      </c>
      <c r="I24" s="74">
        <v>0</v>
      </c>
      <c r="J24" s="74">
        <v>0</v>
      </c>
      <c r="K24" s="74">
        <v>0</v>
      </c>
      <c r="L24" s="74">
        <v>0</v>
      </c>
      <c r="M24" s="74">
        <v>0</v>
      </c>
      <c r="N24" s="74">
        <v>0</v>
      </c>
      <c r="O24" s="74">
        <v>0</v>
      </c>
      <c r="P24" s="74">
        <v>1536</v>
      </c>
      <c r="Q24" s="74">
        <v>0</v>
      </c>
      <c r="R24" s="74">
        <v>0</v>
      </c>
      <c r="S24" s="74">
        <v>9</v>
      </c>
      <c r="T24" s="74">
        <v>86</v>
      </c>
      <c r="U24" s="74">
        <v>0</v>
      </c>
      <c r="V24" s="74">
        <v>22</v>
      </c>
      <c r="W24" s="74">
        <v>0</v>
      </c>
      <c r="X24" s="74">
        <v>0</v>
      </c>
      <c r="Y24" s="74">
        <v>0</v>
      </c>
      <c r="Z24" s="74">
        <v>0</v>
      </c>
      <c r="AA24" s="74">
        <v>0</v>
      </c>
      <c r="AB24" s="74">
        <v>0</v>
      </c>
      <c r="AC24" s="74">
        <v>0</v>
      </c>
      <c r="AD24" s="74">
        <v>0</v>
      </c>
      <c r="AE24" s="74">
        <v>0</v>
      </c>
      <c r="AF24" s="74">
        <v>0</v>
      </c>
      <c r="AG24" s="74">
        <v>0</v>
      </c>
      <c r="AH24" s="74">
        <v>2149</v>
      </c>
      <c r="AI24" s="78">
        <v>6.1999999999999998E-3</v>
      </c>
    </row>
    <row r="25" spans="1:35" x14ac:dyDescent="0.2">
      <c r="A25" s="74" t="s">
        <v>554</v>
      </c>
      <c r="B25" s="74" t="s">
        <v>527</v>
      </c>
      <c r="C25" s="74">
        <v>0.99948899999999996</v>
      </c>
      <c r="D25" s="74">
        <v>13</v>
      </c>
      <c r="E25" s="74">
        <v>55</v>
      </c>
      <c r="F25" s="74">
        <v>180</v>
      </c>
      <c r="G25" s="74">
        <v>93</v>
      </c>
      <c r="H25" s="74">
        <v>65</v>
      </c>
      <c r="I25" s="74">
        <v>83</v>
      </c>
      <c r="J25" s="74">
        <v>0</v>
      </c>
      <c r="K25" s="74">
        <v>176</v>
      </c>
      <c r="L25" s="74">
        <v>153</v>
      </c>
      <c r="M25" s="74">
        <v>65</v>
      </c>
      <c r="N25" s="74">
        <v>129</v>
      </c>
      <c r="O25" s="74">
        <v>123</v>
      </c>
      <c r="P25" s="74">
        <v>0</v>
      </c>
      <c r="Q25" s="74">
        <v>100</v>
      </c>
      <c r="R25" s="74">
        <v>91</v>
      </c>
      <c r="S25" s="74">
        <v>96</v>
      </c>
      <c r="T25" s="74">
        <v>9</v>
      </c>
      <c r="U25" s="74">
        <v>0</v>
      </c>
      <c r="V25" s="74">
        <v>0</v>
      </c>
      <c r="W25" s="74">
        <v>0</v>
      </c>
      <c r="X25" s="74">
        <v>70</v>
      </c>
      <c r="Y25" s="74">
        <v>30</v>
      </c>
      <c r="Z25" s="74">
        <v>72</v>
      </c>
      <c r="AA25" s="74">
        <v>26</v>
      </c>
      <c r="AB25" s="74">
        <v>13</v>
      </c>
      <c r="AC25" s="74">
        <v>61</v>
      </c>
      <c r="AD25" s="74">
        <v>31</v>
      </c>
      <c r="AE25" s="74">
        <v>124</v>
      </c>
      <c r="AF25" s="74">
        <v>119</v>
      </c>
      <c r="AG25" s="74">
        <v>91</v>
      </c>
      <c r="AH25" s="74">
        <v>2068</v>
      </c>
      <c r="AI25" s="78">
        <v>6.0000000000000001E-3</v>
      </c>
    </row>
    <row r="26" spans="1:35" x14ac:dyDescent="0.2">
      <c r="A26" s="74" t="s">
        <v>555</v>
      </c>
      <c r="B26" s="74" t="s">
        <v>545</v>
      </c>
      <c r="C26" s="74">
        <v>0.98047399999999996</v>
      </c>
      <c r="D26" s="74">
        <v>33</v>
      </c>
      <c r="E26" s="74">
        <v>37</v>
      </c>
      <c r="F26" s="74">
        <v>0</v>
      </c>
      <c r="G26" s="74">
        <v>199</v>
      </c>
      <c r="H26" s="74">
        <v>0</v>
      </c>
      <c r="I26" s="74">
        <v>0</v>
      </c>
      <c r="J26" s="74">
        <v>0</v>
      </c>
      <c r="K26" s="74">
        <v>0</v>
      </c>
      <c r="L26" s="74">
        <v>0</v>
      </c>
      <c r="M26" s="74">
        <v>0</v>
      </c>
      <c r="N26" s="74">
        <v>0</v>
      </c>
      <c r="O26" s="74">
        <v>0</v>
      </c>
      <c r="P26" s="74">
        <v>13</v>
      </c>
      <c r="Q26" s="74">
        <v>0</v>
      </c>
      <c r="R26" s="74">
        <v>0</v>
      </c>
      <c r="S26" s="74">
        <v>0</v>
      </c>
      <c r="T26" s="74">
        <v>63</v>
      </c>
      <c r="U26" s="74">
        <v>0</v>
      </c>
      <c r="V26" s="74">
        <v>0</v>
      </c>
      <c r="W26" s="74">
        <v>0</v>
      </c>
      <c r="X26" s="74">
        <v>0</v>
      </c>
      <c r="Y26" s="74">
        <v>0</v>
      </c>
      <c r="Z26" s="74">
        <v>0</v>
      </c>
      <c r="AA26" s="74">
        <v>0</v>
      </c>
      <c r="AB26" s="74">
        <v>1434</v>
      </c>
      <c r="AC26" s="74">
        <v>0</v>
      </c>
      <c r="AD26" s="74">
        <v>0</v>
      </c>
      <c r="AE26" s="74">
        <v>0</v>
      </c>
      <c r="AF26" s="74">
        <v>0</v>
      </c>
      <c r="AG26" s="74">
        <v>0</v>
      </c>
      <c r="AH26" s="74">
        <v>1779</v>
      </c>
      <c r="AI26" s="78">
        <v>5.1999999999999998E-3</v>
      </c>
    </row>
    <row r="27" spans="1:35" x14ac:dyDescent="0.2">
      <c r="A27" s="74" t="s">
        <v>556</v>
      </c>
      <c r="B27" s="74" t="s">
        <v>527</v>
      </c>
      <c r="C27" s="74">
        <v>0.99924299999999999</v>
      </c>
      <c r="D27" s="74">
        <v>14</v>
      </c>
      <c r="E27" s="74">
        <v>58</v>
      </c>
      <c r="F27" s="74">
        <v>90</v>
      </c>
      <c r="G27" s="74">
        <v>90</v>
      </c>
      <c r="H27" s="74">
        <v>60</v>
      </c>
      <c r="I27" s="74">
        <v>46</v>
      </c>
      <c r="J27" s="74">
        <v>10</v>
      </c>
      <c r="K27" s="74">
        <v>123</v>
      </c>
      <c r="L27" s="74">
        <v>106</v>
      </c>
      <c r="M27" s="74">
        <v>61</v>
      </c>
      <c r="N27" s="74">
        <v>119</v>
      </c>
      <c r="O27" s="74">
        <v>122</v>
      </c>
      <c r="P27" s="74">
        <v>0</v>
      </c>
      <c r="Q27" s="74">
        <v>65</v>
      </c>
      <c r="R27" s="74">
        <v>94</v>
      </c>
      <c r="S27" s="74">
        <v>73</v>
      </c>
      <c r="T27" s="74">
        <v>0</v>
      </c>
      <c r="U27" s="74">
        <v>0</v>
      </c>
      <c r="V27" s="74">
        <v>0</v>
      </c>
      <c r="W27" s="74">
        <v>0</v>
      </c>
      <c r="X27" s="74">
        <v>45</v>
      </c>
      <c r="Y27" s="74">
        <v>24</v>
      </c>
      <c r="Z27" s="74">
        <v>51</v>
      </c>
      <c r="AA27" s="74">
        <v>27</v>
      </c>
      <c r="AB27" s="74">
        <v>0</v>
      </c>
      <c r="AC27" s="74">
        <v>51</v>
      </c>
      <c r="AD27" s="74">
        <v>56</v>
      </c>
      <c r="AE27" s="74">
        <v>88</v>
      </c>
      <c r="AF27" s="74">
        <v>93</v>
      </c>
      <c r="AG27" s="74">
        <v>98</v>
      </c>
      <c r="AH27" s="74">
        <v>1664</v>
      </c>
      <c r="AI27" s="78">
        <v>4.7999999999999996E-3</v>
      </c>
    </row>
    <row r="28" spans="1:35" x14ac:dyDescent="0.2">
      <c r="A28" s="74" t="s">
        <v>557</v>
      </c>
      <c r="B28" s="74" t="s">
        <v>558</v>
      </c>
      <c r="C28" s="74">
        <v>0.904084</v>
      </c>
      <c r="D28" s="74">
        <v>0</v>
      </c>
      <c r="E28" s="74">
        <v>0</v>
      </c>
      <c r="F28" s="74">
        <v>0</v>
      </c>
      <c r="G28" s="74">
        <v>0</v>
      </c>
      <c r="H28" s="74">
        <v>0</v>
      </c>
      <c r="I28" s="74">
        <v>0</v>
      </c>
      <c r="J28" s="74">
        <v>89</v>
      </c>
      <c r="K28" s="74">
        <v>0</v>
      </c>
      <c r="L28" s="74">
        <v>0</v>
      </c>
      <c r="M28" s="74">
        <v>0</v>
      </c>
      <c r="N28" s="74">
        <v>0</v>
      </c>
      <c r="O28" s="74">
        <v>0</v>
      </c>
      <c r="P28" s="74">
        <v>0</v>
      </c>
      <c r="Q28" s="74">
        <v>0</v>
      </c>
      <c r="R28" s="74">
        <v>0</v>
      </c>
      <c r="S28" s="74">
        <v>0</v>
      </c>
      <c r="T28" s="74">
        <v>0</v>
      </c>
      <c r="U28" s="74">
        <v>0</v>
      </c>
      <c r="V28" s="74">
        <v>0</v>
      </c>
      <c r="W28" s="74">
        <v>105</v>
      </c>
      <c r="X28" s="74">
        <v>0</v>
      </c>
      <c r="Y28" s="74">
        <v>0</v>
      </c>
      <c r="Z28" s="74">
        <v>0</v>
      </c>
      <c r="AA28" s="74">
        <v>0</v>
      </c>
      <c r="AB28" s="74">
        <v>33</v>
      </c>
      <c r="AC28" s="74">
        <v>0</v>
      </c>
      <c r="AD28" s="74">
        <v>996</v>
      </c>
      <c r="AE28" s="74">
        <v>0</v>
      </c>
      <c r="AF28" s="74">
        <v>0</v>
      </c>
      <c r="AG28" s="74">
        <v>0</v>
      </c>
      <c r="AH28" s="74">
        <v>1223</v>
      </c>
      <c r="AI28" s="78">
        <v>3.5000000000000001E-3</v>
      </c>
    </row>
    <row r="29" spans="1:35" x14ac:dyDescent="0.2">
      <c r="A29" s="74" t="s">
        <v>559</v>
      </c>
      <c r="B29" s="74" t="s">
        <v>548</v>
      </c>
      <c r="C29" s="74">
        <v>0.99888999999999994</v>
      </c>
      <c r="D29" s="74">
        <v>0</v>
      </c>
      <c r="E29" s="74">
        <v>0</v>
      </c>
      <c r="F29" s="74">
        <v>0</v>
      </c>
      <c r="G29" s="74">
        <v>52</v>
      </c>
      <c r="H29" s="74">
        <v>0</v>
      </c>
      <c r="I29" s="74">
        <v>233</v>
      </c>
      <c r="J29" s="74">
        <v>785</v>
      </c>
      <c r="K29" s="74">
        <v>0</v>
      </c>
      <c r="L29" s="74">
        <v>0</v>
      </c>
      <c r="M29" s="74">
        <v>0</v>
      </c>
      <c r="N29" s="74">
        <v>0</v>
      </c>
      <c r="O29" s="74">
        <v>0</v>
      </c>
      <c r="P29" s="74">
        <v>0</v>
      </c>
      <c r="Q29" s="74">
        <v>0</v>
      </c>
      <c r="R29" s="74">
        <v>0</v>
      </c>
      <c r="S29" s="74">
        <v>0</v>
      </c>
      <c r="T29" s="74">
        <v>0</v>
      </c>
      <c r="U29" s="74">
        <v>0</v>
      </c>
      <c r="V29" s="74">
        <v>0</v>
      </c>
      <c r="W29" s="74">
        <v>0</v>
      </c>
      <c r="X29" s="74">
        <v>0</v>
      </c>
      <c r="Y29" s="74">
        <v>0</v>
      </c>
      <c r="Z29" s="74">
        <v>0</v>
      </c>
      <c r="AA29" s="74">
        <v>0</v>
      </c>
      <c r="AB29" s="74">
        <v>0</v>
      </c>
      <c r="AC29" s="74">
        <v>0</v>
      </c>
      <c r="AD29" s="74">
        <v>0</v>
      </c>
      <c r="AE29" s="74">
        <v>0</v>
      </c>
      <c r="AF29" s="74">
        <v>0</v>
      </c>
      <c r="AG29" s="74">
        <v>48</v>
      </c>
      <c r="AH29" s="74">
        <v>1118</v>
      </c>
      <c r="AI29" s="78">
        <v>3.2000000000000002E-3</v>
      </c>
    </row>
    <row r="30" spans="1:35" x14ac:dyDescent="0.2">
      <c r="A30" s="74" t="s">
        <v>560</v>
      </c>
      <c r="B30" s="74" t="s">
        <v>561</v>
      </c>
      <c r="C30" s="74">
        <v>0.99998500000000001</v>
      </c>
      <c r="D30" s="74">
        <v>0</v>
      </c>
      <c r="E30" s="74">
        <v>0</v>
      </c>
      <c r="F30" s="74">
        <v>60</v>
      </c>
      <c r="G30" s="74">
        <v>5</v>
      </c>
      <c r="H30" s="74">
        <v>0</v>
      </c>
      <c r="I30" s="74">
        <v>0</v>
      </c>
      <c r="J30" s="74">
        <v>14</v>
      </c>
      <c r="K30" s="74">
        <v>0</v>
      </c>
      <c r="L30" s="74">
        <v>0</v>
      </c>
      <c r="M30" s="74">
        <v>0</v>
      </c>
      <c r="N30" s="74">
        <v>0</v>
      </c>
      <c r="O30" s="74">
        <v>0</v>
      </c>
      <c r="P30" s="74">
        <v>24</v>
      </c>
      <c r="Q30" s="74">
        <v>0</v>
      </c>
      <c r="R30" s="74">
        <v>0</v>
      </c>
      <c r="S30" s="74">
        <v>0</v>
      </c>
      <c r="T30" s="74">
        <v>39</v>
      </c>
      <c r="U30" s="74">
        <v>181</v>
      </c>
      <c r="V30" s="74">
        <v>441</v>
      </c>
      <c r="W30" s="74">
        <v>306</v>
      </c>
      <c r="X30" s="74">
        <v>0</v>
      </c>
      <c r="Y30" s="74">
        <v>0</v>
      </c>
      <c r="Z30" s="74">
        <v>0</v>
      </c>
      <c r="AA30" s="74">
        <v>28</v>
      </c>
      <c r="AB30" s="74">
        <v>0</v>
      </c>
      <c r="AC30" s="74">
        <v>0</v>
      </c>
      <c r="AD30" s="74">
        <v>0</v>
      </c>
      <c r="AE30" s="74">
        <v>0</v>
      </c>
      <c r="AF30" s="74">
        <v>0</v>
      </c>
      <c r="AG30" s="74">
        <v>0</v>
      </c>
      <c r="AH30" s="74">
        <v>1098</v>
      </c>
      <c r="AI30" s="78">
        <v>3.2000000000000002E-3</v>
      </c>
    </row>
    <row r="31" spans="1:35" x14ac:dyDescent="0.2">
      <c r="A31" s="74" t="s">
        <v>562</v>
      </c>
      <c r="B31" s="74" t="s">
        <v>545</v>
      </c>
      <c r="C31" s="74">
        <v>0.94547599999999998</v>
      </c>
      <c r="D31" s="74">
        <v>217</v>
      </c>
      <c r="E31" s="74">
        <v>87</v>
      </c>
      <c r="F31" s="74">
        <v>11</v>
      </c>
      <c r="G31" s="74">
        <v>383</v>
      </c>
      <c r="H31" s="74">
        <v>0</v>
      </c>
      <c r="I31" s="74">
        <v>0</v>
      </c>
      <c r="J31" s="74">
        <v>14</v>
      </c>
      <c r="K31" s="74">
        <v>7</v>
      </c>
      <c r="L31" s="74">
        <v>7</v>
      </c>
      <c r="M31" s="74">
        <v>0</v>
      </c>
      <c r="N31" s="74">
        <v>0</v>
      </c>
      <c r="O31" s="74">
        <v>0</v>
      </c>
      <c r="P31" s="74">
        <v>0</v>
      </c>
      <c r="Q31" s="74">
        <v>0</v>
      </c>
      <c r="R31" s="74">
        <v>0</v>
      </c>
      <c r="S31" s="74">
        <v>0</v>
      </c>
      <c r="T31" s="74">
        <v>20</v>
      </c>
      <c r="U31" s="74">
        <v>125</v>
      </c>
      <c r="V31" s="74">
        <v>82</v>
      </c>
      <c r="W31" s="74">
        <v>125</v>
      </c>
      <c r="X31" s="74">
        <v>0</v>
      </c>
      <c r="Y31" s="74">
        <v>5</v>
      </c>
      <c r="Z31" s="74">
        <v>0</v>
      </c>
      <c r="AA31" s="74">
        <v>0</v>
      </c>
      <c r="AB31" s="74">
        <v>0</v>
      </c>
      <c r="AC31" s="74">
        <v>0</v>
      </c>
      <c r="AD31" s="74">
        <v>0</v>
      </c>
      <c r="AE31" s="74">
        <v>0</v>
      </c>
      <c r="AF31" s="74">
        <v>0</v>
      </c>
      <c r="AG31" s="74">
        <v>0</v>
      </c>
      <c r="AH31" s="74">
        <v>1083</v>
      </c>
      <c r="AI31" s="78">
        <v>3.0999999999999999E-3</v>
      </c>
    </row>
    <row r="32" spans="1:35" x14ac:dyDescent="0.2">
      <c r="A32" s="74" t="s">
        <v>563</v>
      </c>
      <c r="B32" s="74" t="s">
        <v>564</v>
      </c>
      <c r="C32" s="74">
        <v>1</v>
      </c>
      <c r="D32" s="74">
        <v>13</v>
      </c>
      <c r="E32" s="74">
        <v>0</v>
      </c>
      <c r="F32" s="74">
        <v>0</v>
      </c>
      <c r="G32" s="74">
        <v>105</v>
      </c>
      <c r="H32" s="74">
        <v>0</v>
      </c>
      <c r="I32" s="74">
        <v>189</v>
      </c>
      <c r="J32" s="74">
        <v>585</v>
      </c>
      <c r="K32" s="74">
        <v>18</v>
      </c>
      <c r="L32" s="74">
        <v>0</v>
      </c>
      <c r="M32" s="74">
        <v>0</v>
      </c>
      <c r="N32" s="74">
        <v>0</v>
      </c>
      <c r="O32" s="74">
        <v>0</v>
      </c>
      <c r="P32" s="74">
        <v>0</v>
      </c>
      <c r="Q32" s="74">
        <v>0</v>
      </c>
      <c r="R32" s="74">
        <v>0</v>
      </c>
      <c r="S32" s="74">
        <v>0</v>
      </c>
      <c r="T32" s="74">
        <v>0</v>
      </c>
      <c r="U32" s="74">
        <v>0</v>
      </c>
      <c r="V32" s="74">
        <v>0</v>
      </c>
      <c r="W32" s="74">
        <v>11</v>
      </c>
      <c r="X32" s="74">
        <v>0</v>
      </c>
      <c r="Y32" s="74">
        <v>0</v>
      </c>
      <c r="Z32" s="74">
        <v>0</v>
      </c>
      <c r="AA32" s="74">
        <v>0</v>
      </c>
      <c r="AB32" s="74">
        <v>0</v>
      </c>
      <c r="AC32" s="74">
        <v>0</v>
      </c>
      <c r="AD32" s="74">
        <v>0</v>
      </c>
      <c r="AE32" s="74">
        <v>0</v>
      </c>
      <c r="AF32" s="74">
        <v>0</v>
      </c>
      <c r="AG32" s="74">
        <v>32</v>
      </c>
      <c r="AH32" s="74">
        <v>953</v>
      </c>
      <c r="AI32" s="78">
        <v>2.8E-3</v>
      </c>
    </row>
    <row r="33" spans="1:35" x14ac:dyDescent="0.2">
      <c r="A33" s="74" t="s">
        <v>565</v>
      </c>
      <c r="B33" s="74" t="s">
        <v>531</v>
      </c>
      <c r="C33" s="74">
        <v>0.94803400000000004</v>
      </c>
      <c r="D33" s="74">
        <v>0</v>
      </c>
      <c r="E33" s="74">
        <v>0</v>
      </c>
      <c r="F33" s="74">
        <v>0</v>
      </c>
      <c r="G33" s="74">
        <v>0</v>
      </c>
      <c r="H33" s="74">
        <v>0</v>
      </c>
      <c r="I33" s="74">
        <v>0</v>
      </c>
      <c r="J33" s="74">
        <v>0</v>
      </c>
      <c r="K33" s="74">
        <v>0</v>
      </c>
      <c r="L33" s="74">
        <v>0</v>
      </c>
      <c r="M33" s="74">
        <v>0</v>
      </c>
      <c r="N33" s="74">
        <v>0</v>
      </c>
      <c r="O33" s="74">
        <v>88</v>
      </c>
      <c r="P33" s="74">
        <v>0</v>
      </c>
      <c r="Q33" s="74">
        <v>0</v>
      </c>
      <c r="R33" s="74">
        <v>0</v>
      </c>
      <c r="S33" s="74">
        <v>0</v>
      </c>
      <c r="T33" s="74">
        <v>0</v>
      </c>
      <c r="U33" s="74">
        <v>0</v>
      </c>
      <c r="V33" s="74">
        <v>0</v>
      </c>
      <c r="W33" s="74">
        <v>0</v>
      </c>
      <c r="X33" s="74">
        <v>62</v>
      </c>
      <c r="Y33" s="74">
        <v>0</v>
      </c>
      <c r="Z33" s="74">
        <v>0</v>
      </c>
      <c r="AA33" s="74">
        <v>0</v>
      </c>
      <c r="AB33" s="74">
        <v>0</v>
      </c>
      <c r="AC33" s="74">
        <v>0</v>
      </c>
      <c r="AD33" s="74">
        <v>0</v>
      </c>
      <c r="AE33" s="74">
        <v>0</v>
      </c>
      <c r="AF33" s="74">
        <v>791</v>
      </c>
      <c r="AG33" s="74">
        <v>0</v>
      </c>
      <c r="AH33" s="74">
        <v>941</v>
      </c>
      <c r="AI33" s="78">
        <v>2.7000000000000001E-3</v>
      </c>
    </row>
    <row r="34" spans="1:35" x14ac:dyDescent="0.2">
      <c r="A34" s="74" t="s">
        <v>566</v>
      </c>
      <c r="B34" s="74" t="s">
        <v>567</v>
      </c>
      <c r="C34" s="74">
        <v>0.96161200000000002</v>
      </c>
      <c r="D34" s="74">
        <v>0</v>
      </c>
      <c r="E34" s="74">
        <v>0</v>
      </c>
      <c r="F34" s="74">
        <v>0</v>
      </c>
      <c r="G34" s="74">
        <v>0</v>
      </c>
      <c r="H34" s="74">
        <v>0</v>
      </c>
      <c r="I34" s="74">
        <v>0</v>
      </c>
      <c r="J34" s="74">
        <v>0</v>
      </c>
      <c r="K34" s="74">
        <v>903</v>
      </c>
      <c r="L34" s="74">
        <v>0</v>
      </c>
      <c r="M34" s="74">
        <v>0</v>
      </c>
      <c r="N34" s="74">
        <v>0</v>
      </c>
      <c r="O34" s="74">
        <v>0</v>
      </c>
      <c r="P34" s="74">
        <v>0</v>
      </c>
      <c r="Q34" s="74">
        <v>0</v>
      </c>
      <c r="R34" s="74">
        <v>0</v>
      </c>
      <c r="S34" s="74">
        <v>0</v>
      </c>
      <c r="T34" s="74">
        <v>0</v>
      </c>
      <c r="U34" s="74">
        <v>0</v>
      </c>
      <c r="V34" s="74">
        <v>11</v>
      </c>
      <c r="W34" s="74">
        <v>0</v>
      </c>
      <c r="X34" s="74">
        <v>0</v>
      </c>
      <c r="Y34" s="74">
        <v>0</v>
      </c>
      <c r="Z34" s="74">
        <v>0</v>
      </c>
      <c r="AA34" s="74">
        <v>0</v>
      </c>
      <c r="AB34" s="74">
        <v>0</v>
      </c>
      <c r="AC34" s="74">
        <v>0</v>
      </c>
      <c r="AD34" s="74">
        <v>0</v>
      </c>
      <c r="AE34" s="74">
        <v>0</v>
      </c>
      <c r="AF34" s="74">
        <v>0</v>
      </c>
      <c r="AG34" s="74">
        <v>0</v>
      </c>
      <c r="AH34" s="74">
        <v>914</v>
      </c>
      <c r="AI34" s="78">
        <v>2.5999999999999999E-3</v>
      </c>
    </row>
    <row r="35" spans="1:35" x14ac:dyDescent="0.2">
      <c r="A35" s="74" t="s">
        <v>568</v>
      </c>
      <c r="B35" s="74" t="s">
        <v>569</v>
      </c>
      <c r="C35" s="74">
        <v>0.97705600000000004</v>
      </c>
      <c r="D35" s="74">
        <v>0</v>
      </c>
      <c r="E35" s="74">
        <v>0</v>
      </c>
      <c r="F35" s="74">
        <v>0</v>
      </c>
      <c r="G35" s="74">
        <v>0</v>
      </c>
      <c r="H35" s="74">
        <v>0</v>
      </c>
      <c r="I35" s="74">
        <v>0</v>
      </c>
      <c r="J35" s="74">
        <v>0</v>
      </c>
      <c r="K35" s="74">
        <v>0</v>
      </c>
      <c r="L35" s="74">
        <v>0</v>
      </c>
      <c r="M35" s="74">
        <v>0</v>
      </c>
      <c r="N35" s="74">
        <v>0</v>
      </c>
      <c r="O35" s="74">
        <v>0</v>
      </c>
      <c r="P35" s="74">
        <v>0</v>
      </c>
      <c r="Q35" s="74">
        <v>0</v>
      </c>
      <c r="R35" s="74">
        <v>0</v>
      </c>
      <c r="S35" s="74">
        <v>0</v>
      </c>
      <c r="T35" s="74">
        <v>34</v>
      </c>
      <c r="U35" s="74">
        <v>30</v>
      </c>
      <c r="V35" s="74">
        <v>671</v>
      </c>
      <c r="W35" s="74">
        <v>83</v>
      </c>
      <c r="X35" s="74">
        <v>0</v>
      </c>
      <c r="Y35" s="74">
        <v>0</v>
      </c>
      <c r="Z35" s="74">
        <v>0</v>
      </c>
      <c r="AA35" s="74">
        <v>0</v>
      </c>
      <c r="AB35" s="74">
        <v>0</v>
      </c>
      <c r="AC35" s="74">
        <v>0</v>
      </c>
      <c r="AD35" s="74">
        <v>0</v>
      </c>
      <c r="AE35" s="74">
        <v>0</v>
      </c>
      <c r="AF35" s="74">
        <v>0</v>
      </c>
      <c r="AG35" s="74">
        <v>0</v>
      </c>
      <c r="AH35" s="74">
        <v>818</v>
      </c>
      <c r="AI35" s="78">
        <v>2.3999999999999998E-3</v>
      </c>
    </row>
    <row r="36" spans="1:35" x14ac:dyDescent="0.2">
      <c r="A36" s="74" t="s">
        <v>570</v>
      </c>
      <c r="B36" s="74" t="s">
        <v>571</v>
      </c>
      <c r="C36" s="74">
        <v>0.82530999999999999</v>
      </c>
      <c r="D36" s="74">
        <v>244</v>
      </c>
      <c r="E36" s="74">
        <v>245</v>
      </c>
      <c r="F36" s="74">
        <v>0</v>
      </c>
      <c r="G36" s="74">
        <v>0</v>
      </c>
      <c r="H36" s="74">
        <v>0</v>
      </c>
      <c r="I36" s="74">
        <v>0</v>
      </c>
      <c r="J36" s="74">
        <v>0</v>
      </c>
      <c r="K36" s="74">
        <v>0</v>
      </c>
      <c r="L36" s="74">
        <v>0</v>
      </c>
      <c r="M36" s="74">
        <v>16</v>
      </c>
      <c r="N36" s="74">
        <v>0</v>
      </c>
      <c r="O36" s="74">
        <v>0</v>
      </c>
      <c r="P36" s="74">
        <v>0</v>
      </c>
      <c r="Q36" s="74">
        <v>0</v>
      </c>
      <c r="R36" s="74">
        <v>0</v>
      </c>
      <c r="S36" s="74">
        <v>0</v>
      </c>
      <c r="T36" s="74">
        <v>0</v>
      </c>
      <c r="U36" s="74">
        <v>0</v>
      </c>
      <c r="V36" s="74">
        <v>0</v>
      </c>
      <c r="W36" s="74">
        <v>0</v>
      </c>
      <c r="X36" s="74">
        <v>0</v>
      </c>
      <c r="Y36" s="74">
        <v>0</v>
      </c>
      <c r="Z36" s="74">
        <v>0</v>
      </c>
      <c r="AA36" s="74">
        <v>0</v>
      </c>
      <c r="AB36" s="74">
        <v>0</v>
      </c>
      <c r="AC36" s="74">
        <v>0</v>
      </c>
      <c r="AD36" s="74">
        <v>0</v>
      </c>
      <c r="AE36" s="74">
        <v>0</v>
      </c>
      <c r="AF36" s="74">
        <v>272</v>
      </c>
      <c r="AG36" s="74">
        <v>0</v>
      </c>
      <c r="AH36" s="74">
        <v>777</v>
      </c>
      <c r="AI36" s="78">
        <v>2.3E-3</v>
      </c>
    </row>
    <row r="37" spans="1:35" x14ac:dyDescent="0.2">
      <c r="A37" s="74" t="s">
        <v>572</v>
      </c>
      <c r="B37" s="74" t="s">
        <v>552</v>
      </c>
      <c r="C37" s="74">
        <v>0.78061199999999997</v>
      </c>
      <c r="D37" s="74">
        <v>474</v>
      </c>
      <c r="E37" s="74">
        <v>221</v>
      </c>
      <c r="F37" s="74">
        <v>0</v>
      </c>
      <c r="G37" s="74">
        <v>0</v>
      </c>
      <c r="H37" s="74">
        <v>0</v>
      </c>
      <c r="I37" s="74">
        <v>0</v>
      </c>
      <c r="J37" s="74">
        <v>0</v>
      </c>
      <c r="K37" s="74">
        <v>0</v>
      </c>
      <c r="L37" s="74">
        <v>38</v>
      </c>
      <c r="M37" s="74">
        <v>0</v>
      </c>
      <c r="N37" s="74">
        <v>0</v>
      </c>
      <c r="O37" s="74">
        <v>0</v>
      </c>
      <c r="P37" s="74">
        <v>0</v>
      </c>
      <c r="Q37" s="74">
        <v>0</v>
      </c>
      <c r="R37" s="74">
        <v>0</v>
      </c>
      <c r="S37" s="74">
        <v>0</v>
      </c>
      <c r="T37" s="74">
        <v>0</v>
      </c>
      <c r="U37" s="74">
        <v>0</v>
      </c>
      <c r="V37" s="74">
        <v>0</v>
      </c>
      <c r="W37" s="74">
        <v>0</v>
      </c>
      <c r="X37" s="74">
        <v>0</v>
      </c>
      <c r="Y37" s="74">
        <v>0</v>
      </c>
      <c r="Z37" s="74">
        <v>0</v>
      </c>
      <c r="AA37" s="74">
        <v>0</v>
      </c>
      <c r="AB37" s="74">
        <v>0</v>
      </c>
      <c r="AC37" s="74">
        <v>0</v>
      </c>
      <c r="AD37" s="74">
        <v>0</v>
      </c>
      <c r="AE37" s="74">
        <v>0</v>
      </c>
      <c r="AF37" s="74">
        <v>0</v>
      </c>
      <c r="AG37" s="74">
        <v>0</v>
      </c>
      <c r="AH37" s="74">
        <v>733</v>
      </c>
      <c r="AI37" s="78">
        <v>2.0999999999999999E-3</v>
      </c>
    </row>
    <row r="38" spans="1:35" x14ac:dyDescent="0.2">
      <c r="A38" s="74" t="s">
        <v>573</v>
      </c>
      <c r="B38" s="74" t="s">
        <v>531</v>
      </c>
      <c r="C38" s="74">
        <v>0.96753900000000004</v>
      </c>
      <c r="D38" s="74">
        <v>0</v>
      </c>
      <c r="E38" s="74">
        <v>0</v>
      </c>
      <c r="F38" s="74">
        <v>0</v>
      </c>
      <c r="G38" s="74">
        <v>0</v>
      </c>
      <c r="H38" s="74">
        <v>0</v>
      </c>
      <c r="I38" s="74">
        <v>0</v>
      </c>
      <c r="J38" s="74">
        <v>72</v>
      </c>
      <c r="K38" s="74">
        <v>499</v>
      </c>
      <c r="L38" s="74">
        <v>37</v>
      </c>
      <c r="M38" s="74">
        <v>0</v>
      </c>
      <c r="N38" s="74">
        <v>0</v>
      </c>
      <c r="O38" s="74">
        <v>0</v>
      </c>
      <c r="P38" s="74">
        <v>0</v>
      </c>
      <c r="Q38" s="74">
        <v>0</v>
      </c>
      <c r="R38" s="74">
        <v>0</v>
      </c>
      <c r="S38" s="74">
        <v>0</v>
      </c>
      <c r="T38" s="74">
        <v>0</v>
      </c>
      <c r="U38" s="74">
        <v>0</v>
      </c>
      <c r="V38" s="74">
        <v>0</v>
      </c>
      <c r="W38" s="74">
        <v>0</v>
      </c>
      <c r="X38" s="74">
        <v>0</v>
      </c>
      <c r="Y38" s="74">
        <v>0</v>
      </c>
      <c r="Z38" s="74">
        <v>0</v>
      </c>
      <c r="AA38" s="74">
        <v>0</v>
      </c>
      <c r="AB38" s="74">
        <v>0</v>
      </c>
      <c r="AC38" s="74">
        <v>0</v>
      </c>
      <c r="AD38" s="74">
        <v>0</v>
      </c>
      <c r="AE38" s="74">
        <v>0</v>
      </c>
      <c r="AF38" s="74">
        <v>0</v>
      </c>
      <c r="AG38" s="74">
        <v>0</v>
      </c>
      <c r="AH38" s="74">
        <v>608</v>
      </c>
      <c r="AI38" s="78">
        <v>1.8E-3</v>
      </c>
    </row>
    <row r="39" spans="1:35" x14ac:dyDescent="0.2">
      <c r="A39" s="74" t="s">
        <v>574</v>
      </c>
      <c r="B39" s="74" t="s">
        <v>527</v>
      </c>
      <c r="C39" s="74">
        <v>0.99963000000000002</v>
      </c>
      <c r="D39" s="74">
        <v>0</v>
      </c>
      <c r="E39" s="74">
        <v>23</v>
      </c>
      <c r="F39" s="74">
        <v>24</v>
      </c>
      <c r="G39" s="74">
        <v>29</v>
      </c>
      <c r="H39" s="74">
        <v>27</v>
      </c>
      <c r="I39" s="74">
        <v>25</v>
      </c>
      <c r="J39" s="74">
        <v>0</v>
      </c>
      <c r="K39" s="74">
        <v>50</v>
      </c>
      <c r="L39" s="74">
        <v>48</v>
      </c>
      <c r="M39" s="74">
        <v>19</v>
      </c>
      <c r="N39" s="74">
        <v>29</v>
      </c>
      <c r="O39" s="74">
        <v>37</v>
      </c>
      <c r="P39" s="74">
        <v>0</v>
      </c>
      <c r="Q39" s="74">
        <v>29</v>
      </c>
      <c r="R39" s="74">
        <v>27</v>
      </c>
      <c r="S39" s="74">
        <v>38</v>
      </c>
      <c r="T39" s="74">
        <v>0</v>
      </c>
      <c r="U39" s="74">
        <v>0</v>
      </c>
      <c r="V39" s="74">
        <v>0</v>
      </c>
      <c r="W39" s="74">
        <v>0</v>
      </c>
      <c r="X39" s="74">
        <v>18</v>
      </c>
      <c r="Y39" s="74">
        <v>0</v>
      </c>
      <c r="Z39" s="74">
        <v>26</v>
      </c>
      <c r="AA39" s="74">
        <v>0</v>
      </c>
      <c r="AB39" s="74">
        <v>0</v>
      </c>
      <c r="AC39" s="74">
        <v>20</v>
      </c>
      <c r="AD39" s="74">
        <v>16</v>
      </c>
      <c r="AE39" s="74">
        <v>42</v>
      </c>
      <c r="AF39" s="74">
        <v>40</v>
      </c>
      <c r="AG39" s="74">
        <v>26</v>
      </c>
      <c r="AH39" s="74">
        <v>593</v>
      </c>
      <c r="AI39" s="78">
        <v>1.6999999999999999E-3</v>
      </c>
    </row>
    <row r="40" spans="1:35" x14ac:dyDescent="0.2">
      <c r="A40" s="74" t="s">
        <v>575</v>
      </c>
      <c r="B40" s="74" t="s">
        <v>576</v>
      </c>
      <c r="C40" s="74">
        <v>0.99993399999999999</v>
      </c>
      <c r="D40" s="74">
        <v>0</v>
      </c>
      <c r="E40" s="74">
        <v>0</v>
      </c>
      <c r="F40" s="74">
        <v>0</v>
      </c>
      <c r="G40" s="74">
        <v>0</v>
      </c>
      <c r="H40" s="74">
        <v>0</v>
      </c>
      <c r="I40" s="74">
        <v>0</v>
      </c>
      <c r="J40" s="74">
        <v>0</v>
      </c>
      <c r="K40" s="74">
        <v>0</v>
      </c>
      <c r="L40" s="74">
        <v>0</v>
      </c>
      <c r="M40" s="74">
        <v>0</v>
      </c>
      <c r="N40" s="74">
        <v>0</v>
      </c>
      <c r="O40" s="74">
        <v>0</v>
      </c>
      <c r="P40" s="74">
        <v>3</v>
      </c>
      <c r="Q40" s="74">
        <v>0</v>
      </c>
      <c r="R40" s="74">
        <v>0</v>
      </c>
      <c r="S40" s="74">
        <v>0</v>
      </c>
      <c r="T40" s="74">
        <v>0</v>
      </c>
      <c r="U40" s="74">
        <v>175</v>
      </c>
      <c r="V40" s="74">
        <v>66</v>
      </c>
      <c r="W40" s="74">
        <v>309</v>
      </c>
      <c r="X40" s="74">
        <v>0</v>
      </c>
      <c r="Y40" s="74">
        <v>0</v>
      </c>
      <c r="Z40" s="74">
        <v>0</v>
      </c>
      <c r="AA40" s="74">
        <v>0</v>
      </c>
      <c r="AB40" s="74">
        <v>0</v>
      </c>
      <c r="AC40" s="74">
        <v>0</v>
      </c>
      <c r="AD40" s="74">
        <v>0</v>
      </c>
      <c r="AE40" s="74">
        <v>0</v>
      </c>
      <c r="AF40" s="74">
        <v>0</v>
      </c>
      <c r="AG40" s="74">
        <v>0</v>
      </c>
      <c r="AH40" s="74">
        <v>553</v>
      </c>
      <c r="AI40" s="78">
        <v>1.6000000000000001E-3</v>
      </c>
    </row>
    <row r="41" spans="1:35" x14ac:dyDescent="0.2">
      <c r="A41" s="74" t="s">
        <v>577</v>
      </c>
      <c r="B41" s="74" t="s">
        <v>558</v>
      </c>
      <c r="C41" s="74">
        <v>0.92560200000000004</v>
      </c>
      <c r="D41" s="74">
        <v>78</v>
      </c>
      <c r="E41" s="74">
        <v>0</v>
      </c>
      <c r="F41" s="74">
        <v>0</v>
      </c>
      <c r="G41" s="74">
        <v>0</v>
      </c>
      <c r="H41" s="74">
        <v>0</v>
      </c>
      <c r="I41" s="74">
        <v>0</v>
      </c>
      <c r="J41" s="74">
        <v>0</v>
      </c>
      <c r="K41" s="74">
        <v>0</v>
      </c>
      <c r="L41" s="74">
        <v>0</v>
      </c>
      <c r="M41" s="74">
        <v>0</v>
      </c>
      <c r="N41" s="74">
        <v>270</v>
      </c>
      <c r="O41" s="74">
        <v>0</v>
      </c>
      <c r="P41" s="74">
        <v>60</v>
      </c>
      <c r="Q41" s="74">
        <v>0</v>
      </c>
      <c r="R41" s="74">
        <v>0</v>
      </c>
      <c r="S41" s="74">
        <v>0</v>
      </c>
      <c r="T41" s="74">
        <v>34</v>
      </c>
      <c r="U41" s="74">
        <v>0</v>
      </c>
      <c r="V41" s="74">
        <v>0</v>
      </c>
      <c r="W41" s="74">
        <v>0</v>
      </c>
      <c r="X41" s="74">
        <v>0</v>
      </c>
      <c r="Y41" s="74">
        <v>0</v>
      </c>
      <c r="Z41" s="74">
        <v>0</v>
      </c>
      <c r="AA41" s="74">
        <v>0</v>
      </c>
      <c r="AB41" s="74">
        <v>0</v>
      </c>
      <c r="AC41" s="74">
        <v>0</v>
      </c>
      <c r="AD41" s="74">
        <v>97</v>
      </c>
      <c r="AE41" s="74">
        <v>0</v>
      </c>
      <c r="AF41" s="74">
        <v>0</v>
      </c>
      <c r="AG41" s="74">
        <v>0</v>
      </c>
      <c r="AH41" s="74">
        <v>539</v>
      </c>
      <c r="AI41" s="78">
        <v>1.6000000000000001E-3</v>
      </c>
    </row>
    <row r="42" spans="1:35" x14ac:dyDescent="0.2">
      <c r="A42" s="74" t="s">
        <v>578</v>
      </c>
      <c r="B42" s="74" t="s">
        <v>579</v>
      </c>
      <c r="C42" s="74">
        <v>0.99675499999999995</v>
      </c>
      <c r="D42" s="74">
        <v>0</v>
      </c>
      <c r="E42" s="74">
        <v>0</v>
      </c>
      <c r="F42" s="74">
        <v>0</v>
      </c>
      <c r="G42" s="74">
        <v>0</v>
      </c>
      <c r="H42" s="74">
        <v>0</v>
      </c>
      <c r="I42" s="74">
        <v>0</v>
      </c>
      <c r="J42" s="74">
        <v>0</v>
      </c>
      <c r="K42" s="74">
        <v>0</v>
      </c>
      <c r="L42" s="74">
        <v>0</v>
      </c>
      <c r="M42" s="74">
        <v>0</v>
      </c>
      <c r="N42" s="74">
        <v>0</v>
      </c>
      <c r="O42" s="74">
        <v>0</v>
      </c>
      <c r="P42" s="74">
        <v>0</v>
      </c>
      <c r="Q42" s="74">
        <v>0</v>
      </c>
      <c r="R42" s="74">
        <v>0</v>
      </c>
      <c r="S42" s="74">
        <v>0</v>
      </c>
      <c r="T42" s="74">
        <v>0</v>
      </c>
      <c r="U42" s="74">
        <v>199</v>
      </c>
      <c r="V42" s="74">
        <v>89</v>
      </c>
      <c r="W42" s="74">
        <v>236</v>
      </c>
      <c r="X42" s="74">
        <v>0</v>
      </c>
      <c r="Y42" s="74">
        <v>0</v>
      </c>
      <c r="Z42" s="74">
        <v>0</v>
      </c>
      <c r="AA42" s="74">
        <v>0</v>
      </c>
      <c r="AB42" s="74">
        <v>0</v>
      </c>
      <c r="AC42" s="74">
        <v>0</v>
      </c>
      <c r="AD42" s="74">
        <v>0</v>
      </c>
      <c r="AE42" s="74">
        <v>0</v>
      </c>
      <c r="AF42" s="74">
        <v>0</v>
      </c>
      <c r="AG42" s="74">
        <v>0</v>
      </c>
      <c r="AH42" s="74">
        <v>524</v>
      </c>
      <c r="AI42" s="78">
        <v>1.5E-3</v>
      </c>
    </row>
    <row r="43" spans="1:35" x14ac:dyDescent="0.2">
      <c r="A43" s="74" t="s">
        <v>580</v>
      </c>
      <c r="B43" s="74" t="s">
        <v>567</v>
      </c>
      <c r="C43" s="74">
        <v>0.99948300000000001</v>
      </c>
      <c r="D43" s="74">
        <v>0</v>
      </c>
      <c r="E43" s="74">
        <v>0</v>
      </c>
      <c r="F43" s="74">
        <v>0</v>
      </c>
      <c r="G43" s="74">
        <v>0</v>
      </c>
      <c r="H43" s="74">
        <v>0</v>
      </c>
      <c r="I43" s="74">
        <v>0</v>
      </c>
      <c r="J43" s="74">
        <v>0</v>
      </c>
      <c r="K43" s="74">
        <v>0</v>
      </c>
      <c r="L43" s="74">
        <v>0</v>
      </c>
      <c r="M43" s="74">
        <v>0</v>
      </c>
      <c r="N43" s="74">
        <v>0</v>
      </c>
      <c r="O43" s="74">
        <v>0</v>
      </c>
      <c r="P43" s="74">
        <v>0</v>
      </c>
      <c r="Q43" s="74">
        <v>0</v>
      </c>
      <c r="R43" s="74">
        <v>0</v>
      </c>
      <c r="S43" s="74">
        <v>0</v>
      </c>
      <c r="T43" s="74">
        <v>16</v>
      </c>
      <c r="U43" s="74">
        <v>26</v>
      </c>
      <c r="V43" s="74">
        <v>85</v>
      </c>
      <c r="W43" s="74">
        <v>391</v>
      </c>
      <c r="X43" s="74">
        <v>0</v>
      </c>
      <c r="Y43" s="74">
        <v>0</v>
      </c>
      <c r="Z43" s="74">
        <v>0</v>
      </c>
      <c r="AA43" s="74">
        <v>0</v>
      </c>
      <c r="AB43" s="74">
        <v>0</v>
      </c>
      <c r="AC43" s="74">
        <v>0</v>
      </c>
      <c r="AD43" s="74">
        <v>0</v>
      </c>
      <c r="AE43" s="74">
        <v>0</v>
      </c>
      <c r="AF43" s="74">
        <v>0</v>
      </c>
      <c r="AG43" s="74">
        <v>0</v>
      </c>
      <c r="AH43" s="74">
        <v>518</v>
      </c>
      <c r="AI43" s="78">
        <v>1.5E-3</v>
      </c>
    </row>
    <row r="44" spans="1:35" x14ac:dyDescent="0.2">
      <c r="A44" s="74" t="s">
        <v>581</v>
      </c>
      <c r="B44" s="74" t="s">
        <v>530</v>
      </c>
      <c r="C44" s="74">
        <v>0.77960300000000005</v>
      </c>
      <c r="D44" s="74">
        <v>209</v>
      </c>
      <c r="E44" s="74">
        <v>0</v>
      </c>
      <c r="F44" s="74">
        <v>0</v>
      </c>
      <c r="G44" s="74">
        <v>0</v>
      </c>
      <c r="H44" s="74">
        <v>17</v>
      </c>
      <c r="I44" s="74">
        <v>0</v>
      </c>
      <c r="J44" s="74">
        <v>0</v>
      </c>
      <c r="K44" s="74">
        <v>0</v>
      </c>
      <c r="L44" s="74">
        <v>0</v>
      </c>
      <c r="M44" s="74">
        <v>0</v>
      </c>
      <c r="N44" s="74">
        <v>0</v>
      </c>
      <c r="O44" s="74">
        <v>41</v>
      </c>
      <c r="P44" s="74">
        <v>0</v>
      </c>
      <c r="Q44" s="74">
        <v>0</v>
      </c>
      <c r="R44" s="74">
        <v>0</v>
      </c>
      <c r="S44" s="74">
        <v>0</v>
      </c>
      <c r="T44" s="74">
        <v>21</v>
      </c>
      <c r="U44" s="74">
        <v>80</v>
      </c>
      <c r="V44" s="74">
        <v>48</v>
      </c>
      <c r="W44" s="74">
        <v>86</v>
      </c>
      <c r="X44" s="74">
        <v>0</v>
      </c>
      <c r="Y44" s="74">
        <v>0</v>
      </c>
      <c r="Z44" s="74">
        <v>0</v>
      </c>
      <c r="AA44" s="74">
        <v>0</v>
      </c>
      <c r="AB44" s="74">
        <v>0</v>
      </c>
      <c r="AC44" s="74">
        <v>0</v>
      </c>
      <c r="AD44" s="74">
        <v>0</v>
      </c>
      <c r="AE44" s="74">
        <v>0</v>
      </c>
      <c r="AF44" s="74">
        <v>0</v>
      </c>
      <c r="AG44" s="74">
        <v>0</v>
      </c>
      <c r="AH44" s="74">
        <v>502</v>
      </c>
      <c r="AI44" s="78">
        <v>1.5E-3</v>
      </c>
    </row>
    <row r="45" spans="1:35" x14ac:dyDescent="0.2">
      <c r="A45" s="74" t="s">
        <v>582</v>
      </c>
      <c r="B45" s="74" t="s">
        <v>528</v>
      </c>
      <c r="C45" s="74">
        <v>0.76462600000000003</v>
      </c>
      <c r="D45" s="74">
        <v>0</v>
      </c>
      <c r="E45" s="74">
        <v>0</v>
      </c>
      <c r="F45" s="74">
        <v>60</v>
      </c>
      <c r="G45" s="74">
        <v>0</v>
      </c>
      <c r="H45" s="74">
        <v>36</v>
      </c>
      <c r="I45" s="74">
        <v>0</v>
      </c>
      <c r="J45" s="74">
        <v>0</v>
      </c>
      <c r="K45" s="74">
        <v>0</v>
      </c>
      <c r="L45" s="74">
        <v>0</v>
      </c>
      <c r="M45" s="74">
        <v>9</v>
      </c>
      <c r="N45" s="74">
        <v>28</v>
      </c>
      <c r="O45" s="74">
        <v>27</v>
      </c>
      <c r="P45" s="74">
        <v>0</v>
      </c>
      <c r="Q45" s="74">
        <v>0</v>
      </c>
      <c r="R45" s="74">
        <v>23</v>
      </c>
      <c r="S45" s="74">
        <v>33</v>
      </c>
      <c r="T45" s="74">
        <v>20</v>
      </c>
      <c r="U45" s="74">
        <v>0</v>
      </c>
      <c r="V45" s="74">
        <v>17</v>
      </c>
      <c r="W45" s="74">
        <v>0</v>
      </c>
      <c r="X45" s="74">
        <v>37</v>
      </c>
      <c r="Y45" s="74">
        <v>23</v>
      </c>
      <c r="Z45" s="74">
        <v>11</v>
      </c>
      <c r="AA45" s="74">
        <v>0</v>
      </c>
      <c r="AB45" s="74">
        <v>10</v>
      </c>
      <c r="AC45" s="74">
        <v>15</v>
      </c>
      <c r="AD45" s="74">
        <v>0</v>
      </c>
      <c r="AE45" s="74">
        <v>56</v>
      </c>
      <c r="AF45" s="74">
        <v>54</v>
      </c>
      <c r="AG45" s="74">
        <v>12</v>
      </c>
      <c r="AH45" s="74">
        <v>471</v>
      </c>
      <c r="AI45" s="78">
        <v>1.4E-3</v>
      </c>
    </row>
    <row r="46" spans="1:35" x14ac:dyDescent="0.2">
      <c r="A46" s="74" t="s">
        <v>583</v>
      </c>
      <c r="B46" s="74" t="s">
        <v>527</v>
      </c>
      <c r="C46" s="74">
        <v>0.99902500000000005</v>
      </c>
      <c r="D46" s="74">
        <v>0</v>
      </c>
      <c r="E46" s="74">
        <v>19</v>
      </c>
      <c r="F46" s="74">
        <v>21</v>
      </c>
      <c r="G46" s="74">
        <v>15</v>
      </c>
      <c r="H46" s="74">
        <v>0</v>
      </c>
      <c r="I46" s="74">
        <v>14</v>
      </c>
      <c r="J46" s="74">
        <v>0</v>
      </c>
      <c r="K46" s="74">
        <v>49</v>
      </c>
      <c r="L46" s="74">
        <v>37</v>
      </c>
      <c r="M46" s="74">
        <v>28</v>
      </c>
      <c r="N46" s="74">
        <v>30</v>
      </c>
      <c r="O46" s="74">
        <v>29</v>
      </c>
      <c r="P46" s="74">
        <v>0</v>
      </c>
      <c r="Q46" s="74">
        <v>27</v>
      </c>
      <c r="R46" s="74">
        <v>25</v>
      </c>
      <c r="S46" s="74">
        <v>17</v>
      </c>
      <c r="T46" s="74">
        <v>0</v>
      </c>
      <c r="U46" s="74">
        <v>0</v>
      </c>
      <c r="V46" s="74">
        <v>0</v>
      </c>
      <c r="W46" s="74">
        <v>0</v>
      </c>
      <c r="X46" s="74">
        <v>16</v>
      </c>
      <c r="Y46" s="74">
        <v>0</v>
      </c>
      <c r="Z46" s="74">
        <v>19</v>
      </c>
      <c r="AA46" s="74">
        <v>10</v>
      </c>
      <c r="AB46" s="74">
        <v>0</v>
      </c>
      <c r="AC46" s="74">
        <v>19</v>
      </c>
      <c r="AD46" s="74">
        <v>0</v>
      </c>
      <c r="AE46" s="74">
        <v>19</v>
      </c>
      <c r="AF46" s="74">
        <v>30</v>
      </c>
      <c r="AG46" s="74">
        <v>10</v>
      </c>
      <c r="AH46" s="74">
        <v>434</v>
      </c>
      <c r="AI46" s="78">
        <v>1.2999999999999999E-3</v>
      </c>
    </row>
    <row r="47" spans="1:35" x14ac:dyDescent="0.2">
      <c r="A47" s="74" t="s">
        <v>584</v>
      </c>
      <c r="B47" s="74" t="s">
        <v>585</v>
      </c>
      <c r="C47" s="74">
        <v>0.99766699999999997</v>
      </c>
      <c r="D47" s="74">
        <v>0</v>
      </c>
      <c r="E47" s="74">
        <v>0</v>
      </c>
      <c r="F47" s="74">
        <v>0</v>
      </c>
      <c r="G47" s="74">
        <v>0</v>
      </c>
      <c r="H47" s="74">
        <v>0</v>
      </c>
      <c r="I47" s="74">
        <v>0</v>
      </c>
      <c r="J47" s="74">
        <v>0</v>
      </c>
      <c r="K47" s="74">
        <v>0</v>
      </c>
      <c r="L47" s="74">
        <v>0</v>
      </c>
      <c r="M47" s="74">
        <v>0</v>
      </c>
      <c r="N47" s="74">
        <v>0</v>
      </c>
      <c r="O47" s="74">
        <v>0</v>
      </c>
      <c r="P47" s="74">
        <v>0</v>
      </c>
      <c r="Q47" s="74">
        <v>0</v>
      </c>
      <c r="R47" s="74">
        <v>0</v>
      </c>
      <c r="S47" s="74">
        <v>0</v>
      </c>
      <c r="T47" s="74">
        <v>0</v>
      </c>
      <c r="U47" s="74">
        <v>148</v>
      </c>
      <c r="V47" s="74">
        <v>98</v>
      </c>
      <c r="W47" s="74">
        <v>148</v>
      </c>
      <c r="X47" s="74">
        <v>0</v>
      </c>
      <c r="Y47" s="74">
        <v>0</v>
      </c>
      <c r="Z47" s="74">
        <v>0</v>
      </c>
      <c r="AA47" s="74">
        <v>0</v>
      </c>
      <c r="AB47" s="74">
        <v>0</v>
      </c>
      <c r="AC47" s="74">
        <v>0</v>
      </c>
      <c r="AD47" s="74">
        <v>2</v>
      </c>
      <c r="AE47" s="74">
        <v>0</v>
      </c>
      <c r="AF47" s="74">
        <v>0</v>
      </c>
      <c r="AG47" s="74">
        <v>0</v>
      </c>
      <c r="AH47" s="74">
        <v>396</v>
      </c>
      <c r="AI47" s="78">
        <v>1.1000000000000001E-3</v>
      </c>
    </row>
    <row r="48" spans="1:35" x14ac:dyDescent="0.2">
      <c r="A48" s="74" t="s">
        <v>586</v>
      </c>
      <c r="B48" s="74" t="s">
        <v>528</v>
      </c>
      <c r="C48" s="74">
        <v>0.92173700000000003</v>
      </c>
      <c r="D48" s="74">
        <v>0</v>
      </c>
      <c r="E48" s="74">
        <v>0</v>
      </c>
      <c r="F48" s="74">
        <v>42</v>
      </c>
      <c r="G48" s="74">
        <v>0</v>
      </c>
      <c r="H48" s="74">
        <v>25</v>
      </c>
      <c r="I48" s="74">
        <v>0</v>
      </c>
      <c r="J48" s="74">
        <v>11</v>
      </c>
      <c r="K48" s="74">
        <v>21</v>
      </c>
      <c r="L48" s="74">
        <v>13</v>
      </c>
      <c r="M48" s="74">
        <v>0</v>
      </c>
      <c r="N48" s="74">
        <v>26</v>
      </c>
      <c r="O48" s="74">
        <v>9</v>
      </c>
      <c r="P48" s="74">
        <v>0</v>
      </c>
      <c r="Q48" s="74">
        <v>19</v>
      </c>
      <c r="R48" s="74">
        <v>11</v>
      </c>
      <c r="S48" s="74">
        <v>11</v>
      </c>
      <c r="T48" s="74">
        <v>20</v>
      </c>
      <c r="U48" s="74">
        <v>0</v>
      </c>
      <c r="V48" s="74">
        <v>10</v>
      </c>
      <c r="W48" s="74">
        <v>0</v>
      </c>
      <c r="X48" s="74">
        <v>15</v>
      </c>
      <c r="Y48" s="74">
        <v>10</v>
      </c>
      <c r="Z48" s="74">
        <v>12</v>
      </c>
      <c r="AA48" s="74">
        <v>10</v>
      </c>
      <c r="AB48" s="74">
        <v>10</v>
      </c>
      <c r="AC48" s="74">
        <v>29</v>
      </c>
      <c r="AD48" s="74">
        <v>13</v>
      </c>
      <c r="AE48" s="74">
        <v>16</v>
      </c>
      <c r="AF48" s="74">
        <v>33</v>
      </c>
      <c r="AG48" s="74">
        <v>25</v>
      </c>
      <c r="AH48" s="74">
        <v>391</v>
      </c>
      <c r="AI48" s="78">
        <v>1.1000000000000001E-3</v>
      </c>
    </row>
    <row r="49" spans="1:35" x14ac:dyDescent="0.2">
      <c r="A49" s="74" t="s">
        <v>587</v>
      </c>
      <c r="B49" s="74" t="s">
        <v>527</v>
      </c>
      <c r="C49" s="74">
        <v>0.99971699999999997</v>
      </c>
      <c r="D49" s="74">
        <v>0</v>
      </c>
      <c r="E49" s="74">
        <v>12</v>
      </c>
      <c r="F49" s="74">
        <v>14</v>
      </c>
      <c r="G49" s="74">
        <v>14</v>
      </c>
      <c r="H49" s="74">
        <v>14</v>
      </c>
      <c r="I49" s="74">
        <v>12</v>
      </c>
      <c r="J49" s="74">
        <v>0</v>
      </c>
      <c r="K49" s="74">
        <v>52</v>
      </c>
      <c r="L49" s="74">
        <v>22</v>
      </c>
      <c r="M49" s="74">
        <v>25</v>
      </c>
      <c r="N49" s="74">
        <v>19</v>
      </c>
      <c r="O49" s="74">
        <v>22</v>
      </c>
      <c r="P49" s="74">
        <v>0</v>
      </c>
      <c r="Q49" s="74">
        <v>16</v>
      </c>
      <c r="R49" s="74">
        <v>19</v>
      </c>
      <c r="S49" s="74">
        <v>19</v>
      </c>
      <c r="T49" s="74">
        <v>0</v>
      </c>
      <c r="U49" s="74">
        <v>0</v>
      </c>
      <c r="V49" s="74">
        <v>0</v>
      </c>
      <c r="W49" s="74">
        <v>0</v>
      </c>
      <c r="X49" s="74">
        <v>17</v>
      </c>
      <c r="Y49" s="74">
        <v>0</v>
      </c>
      <c r="Z49" s="74">
        <v>17</v>
      </c>
      <c r="AA49" s="74">
        <v>0</v>
      </c>
      <c r="AB49" s="74">
        <v>0</v>
      </c>
      <c r="AC49" s="74">
        <v>12</v>
      </c>
      <c r="AD49" s="74">
        <v>15</v>
      </c>
      <c r="AE49" s="74">
        <v>20</v>
      </c>
      <c r="AF49" s="74">
        <v>20</v>
      </c>
      <c r="AG49" s="74">
        <v>12</v>
      </c>
      <c r="AH49" s="74">
        <v>373</v>
      </c>
      <c r="AI49" s="78">
        <v>1.1000000000000001E-3</v>
      </c>
    </row>
    <row r="50" spans="1:35" x14ac:dyDescent="0.2">
      <c r="A50" s="74" t="s">
        <v>588</v>
      </c>
      <c r="B50" s="74" t="s">
        <v>579</v>
      </c>
      <c r="C50" s="74">
        <v>0.97643800000000003</v>
      </c>
      <c r="D50" s="74">
        <v>0</v>
      </c>
      <c r="E50" s="74">
        <v>0</v>
      </c>
      <c r="F50" s="74">
        <v>0</v>
      </c>
      <c r="G50" s="74">
        <v>0</v>
      </c>
      <c r="H50" s="74">
        <v>0</v>
      </c>
      <c r="I50" s="74">
        <v>0</v>
      </c>
      <c r="J50" s="74">
        <v>0</v>
      </c>
      <c r="K50" s="74">
        <v>0</v>
      </c>
      <c r="L50" s="74">
        <v>0</v>
      </c>
      <c r="M50" s="74">
        <v>0</v>
      </c>
      <c r="N50" s="74">
        <v>0</v>
      </c>
      <c r="O50" s="74">
        <v>0</v>
      </c>
      <c r="P50" s="74">
        <v>0</v>
      </c>
      <c r="Q50" s="74">
        <v>0</v>
      </c>
      <c r="R50" s="74">
        <v>0</v>
      </c>
      <c r="S50" s="74">
        <v>0</v>
      </c>
      <c r="T50" s="74">
        <v>0</v>
      </c>
      <c r="U50" s="74">
        <v>141</v>
      </c>
      <c r="V50" s="74">
        <v>141</v>
      </c>
      <c r="W50" s="74">
        <v>67</v>
      </c>
      <c r="X50" s="74">
        <v>0</v>
      </c>
      <c r="Y50" s="74">
        <v>0</v>
      </c>
      <c r="Z50" s="74">
        <v>0</v>
      </c>
      <c r="AA50" s="74">
        <v>0</v>
      </c>
      <c r="AB50" s="74">
        <v>0</v>
      </c>
      <c r="AC50" s="74">
        <v>0</v>
      </c>
      <c r="AD50" s="74">
        <v>0</v>
      </c>
      <c r="AE50" s="74">
        <v>0</v>
      </c>
      <c r="AF50" s="74">
        <v>0</v>
      </c>
      <c r="AG50" s="74">
        <v>0</v>
      </c>
      <c r="AH50" s="74">
        <v>349</v>
      </c>
      <c r="AI50" s="78">
        <v>1E-3</v>
      </c>
    </row>
    <row r="51" spans="1:35" x14ac:dyDescent="0.2">
      <c r="A51" s="74" t="s">
        <v>589</v>
      </c>
      <c r="B51" s="74" t="s">
        <v>531</v>
      </c>
      <c r="C51" s="74">
        <v>0.93122000000000005</v>
      </c>
      <c r="D51" s="74">
        <v>0</v>
      </c>
      <c r="E51" s="74">
        <v>0</v>
      </c>
      <c r="F51" s="74">
        <v>0</v>
      </c>
      <c r="G51" s="74">
        <v>0</v>
      </c>
      <c r="H51" s="74">
        <v>0</v>
      </c>
      <c r="I51" s="74">
        <v>0</v>
      </c>
      <c r="J51" s="74">
        <v>0</v>
      </c>
      <c r="K51" s="74">
        <v>0</v>
      </c>
      <c r="L51" s="74">
        <v>0</v>
      </c>
      <c r="M51" s="74">
        <v>0</v>
      </c>
      <c r="N51" s="74">
        <v>0</v>
      </c>
      <c r="O51" s="74">
        <v>0</v>
      </c>
      <c r="P51" s="74">
        <v>52</v>
      </c>
      <c r="Q51" s="74">
        <v>0</v>
      </c>
      <c r="R51" s="74">
        <v>0</v>
      </c>
      <c r="S51" s="74">
        <v>0</v>
      </c>
      <c r="T51" s="74">
        <v>0</v>
      </c>
      <c r="U51" s="74">
        <v>0</v>
      </c>
      <c r="V51" s="74">
        <v>0</v>
      </c>
      <c r="W51" s="74">
        <v>0</v>
      </c>
      <c r="X51" s="74">
        <v>0</v>
      </c>
      <c r="Y51" s="74">
        <v>0</v>
      </c>
      <c r="Z51" s="74">
        <v>0</v>
      </c>
      <c r="AA51" s="74">
        <v>0</v>
      </c>
      <c r="AB51" s="74">
        <v>0</v>
      </c>
      <c r="AC51" s="74">
        <v>0</v>
      </c>
      <c r="AD51" s="74">
        <v>278</v>
      </c>
      <c r="AE51" s="74">
        <v>0</v>
      </c>
      <c r="AF51" s="74">
        <v>0</v>
      </c>
      <c r="AG51" s="74">
        <v>0</v>
      </c>
      <c r="AH51" s="74">
        <v>330</v>
      </c>
      <c r="AI51" s="78">
        <v>1E-3</v>
      </c>
    </row>
    <row r="52" spans="1:35" x14ac:dyDescent="0.2">
      <c r="A52" s="74" t="s">
        <v>590</v>
      </c>
      <c r="B52" s="74" t="s">
        <v>561</v>
      </c>
      <c r="C52" s="74">
        <v>1</v>
      </c>
      <c r="D52" s="74">
        <v>224</v>
      </c>
      <c r="E52" s="74">
        <v>66</v>
      </c>
      <c r="F52" s="74">
        <v>0</v>
      </c>
      <c r="G52" s="74">
        <v>0</v>
      </c>
      <c r="H52" s="74">
        <v>0</v>
      </c>
      <c r="I52" s="74">
        <v>0</v>
      </c>
      <c r="J52" s="74">
        <v>0</v>
      </c>
      <c r="K52" s="74">
        <v>0</v>
      </c>
      <c r="L52" s="74">
        <v>0</v>
      </c>
      <c r="M52" s="74">
        <v>0</v>
      </c>
      <c r="N52" s="74">
        <v>0</v>
      </c>
      <c r="O52" s="74">
        <v>0</v>
      </c>
      <c r="P52" s="74">
        <v>0</v>
      </c>
      <c r="Q52" s="74">
        <v>0</v>
      </c>
      <c r="R52" s="74">
        <v>0</v>
      </c>
      <c r="S52" s="74">
        <v>0</v>
      </c>
      <c r="T52" s="74">
        <v>0</v>
      </c>
      <c r="U52" s="74">
        <v>0</v>
      </c>
      <c r="V52" s="74">
        <v>0</v>
      </c>
      <c r="W52" s="74">
        <v>29</v>
      </c>
      <c r="X52" s="74">
        <v>0</v>
      </c>
      <c r="Y52" s="74">
        <v>0</v>
      </c>
      <c r="Z52" s="74">
        <v>0</v>
      </c>
      <c r="AA52" s="74">
        <v>0</v>
      </c>
      <c r="AB52" s="74">
        <v>0</v>
      </c>
      <c r="AC52" s="74">
        <v>0</v>
      </c>
      <c r="AD52" s="74">
        <v>0</v>
      </c>
      <c r="AE52" s="74">
        <v>0</v>
      </c>
      <c r="AF52" s="74">
        <v>0</v>
      </c>
      <c r="AG52" s="74">
        <v>0</v>
      </c>
      <c r="AH52" s="74">
        <v>319</v>
      </c>
      <c r="AI52" s="78">
        <v>8.9999999999999998E-4</v>
      </c>
    </row>
    <row r="53" spans="1:35" x14ac:dyDescent="0.2">
      <c r="A53" s="74" t="s">
        <v>591</v>
      </c>
      <c r="B53" s="74" t="s">
        <v>592</v>
      </c>
      <c r="C53" s="74">
        <v>0.93826600000000004</v>
      </c>
      <c r="D53" s="74">
        <v>10</v>
      </c>
      <c r="E53" s="74">
        <v>8</v>
      </c>
      <c r="F53" s="74">
        <v>0</v>
      </c>
      <c r="G53" s="74">
        <v>0</v>
      </c>
      <c r="H53" s="74">
        <v>0</v>
      </c>
      <c r="I53" s="74">
        <v>89</v>
      </c>
      <c r="J53" s="74">
        <v>134</v>
      </c>
      <c r="K53" s="74">
        <v>0</v>
      </c>
      <c r="L53" s="74">
        <v>28</v>
      </c>
      <c r="M53" s="74">
        <v>0</v>
      </c>
      <c r="N53" s="74">
        <v>0</v>
      </c>
      <c r="O53" s="74">
        <v>0</v>
      </c>
      <c r="P53" s="74">
        <v>0</v>
      </c>
      <c r="Q53" s="74">
        <v>0</v>
      </c>
      <c r="R53" s="74">
        <v>0</v>
      </c>
      <c r="S53" s="74">
        <v>0</v>
      </c>
      <c r="T53" s="74">
        <v>0</v>
      </c>
      <c r="U53" s="74">
        <v>0</v>
      </c>
      <c r="V53" s="74">
        <v>0</v>
      </c>
      <c r="W53" s="74">
        <v>0</v>
      </c>
      <c r="X53" s="74">
        <v>0</v>
      </c>
      <c r="Y53" s="74">
        <v>0</v>
      </c>
      <c r="Z53" s="74">
        <v>0</v>
      </c>
      <c r="AA53" s="74">
        <v>0</v>
      </c>
      <c r="AB53" s="74">
        <v>0</v>
      </c>
      <c r="AC53" s="74">
        <v>0</v>
      </c>
      <c r="AD53" s="74">
        <v>0</v>
      </c>
      <c r="AE53" s="74">
        <v>0</v>
      </c>
      <c r="AF53" s="74">
        <v>18</v>
      </c>
      <c r="AG53" s="74">
        <v>26</v>
      </c>
      <c r="AH53" s="74">
        <v>313</v>
      </c>
      <c r="AI53" s="78">
        <v>8.9999999999999998E-4</v>
      </c>
    </row>
    <row r="54" spans="1:35" x14ac:dyDescent="0.2">
      <c r="A54" s="74" t="s">
        <v>593</v>
      </c>
      <c r="B54" s="74" t="s">
        <v>530</v>
      </c>
      <c r="C54" s="74">
        <v>0.76105500000000004</v>
      </c>
      <c r="D54" s="74">
        <v>92</v>
      </c>
      <c r="E54" s="74">
        <v>0</v>
      </c>
      <c r="F54" s="74">
        <v>0</v>
      </c>
      <c r="G54" s="74">
        <v>0</v>
      </c>
      <c r="H54" s="74">
        <v>0</v>
      </c>
      <c r="I54" s="74">
        <v>0</v>
      </c>
      <c r="J54" s="74">
        <v>0</v>
      </c>
      <c r="K54" s="74">
        <v>0</v>
      </c>
      <c r="L54" s="74">
        <v>0</v>
      </c>
      <c r="M54" s="74">
        <v>0</v>
      </c>
      <c r="N54" s="74">
        <v>0</v>
      </c>
      <c r="O54" s="74">
        <v>71</v>
      </c>
      <c r="P54" s="74">
        <v>0</v>
      </c>
      <c r="Q54" s="74">
        <v>0</v>
      </c>
      <c r="R54" s="74">
        <v>0</v>
      </c>
      <c r="S54" s="74">
        <v>15</v>
      </c>
      <c r="T54" s="74">
        <v>21</v>
      </c>
      <c r="U54" s="74">
        <v>37</v>
      </c>
      <c r="V54" s="74">
        <v>26</v>
      </c>
      <c r="W54" s="74">
        <v>48</v>
      </c>
      <c r="X54" s="74">
        <v>0</v>
      </c>
      <c r="Y54" s="74">
        <v>0</v>
      </c>
      <c r="Z54" s="74">
        <v>0</v>
      </c>
      <c r="AA54" s="74">
        <v>0</v>
      </c>
      <c r="AB54" s="74">
        <v>0</v>
      </c>
      <c r="AC54" s="74">
        <v>0</v>
      </c>
      <c r="AD54" s="74">
        <v>0</v>
      </c>
      <c r="AE54" s="74">
        <v>0</v>
      </c>
      <c r="AF54" s="74">
        <v>0</v>
      </c>
      <c r="AG54" s="74">
        <v>0</v>
      </c>
      <c r="AH54" s="74">
        <v>310</v>
      </c>
      <c r="AI54" s="78">
        <v>8.9999999999999998E-4</v>
      </c>
    </row>
    <row r="55" spans="1:35" x14ac:dyDescent="0.2">
      <c r="A55" s="74" t="s">
        <v>594</v>
      </c>
      <c r="B55" s="74" t="s">
        <v>528</v>
      </c>
      <c r="C55" s="74">
        <v>0.75956000000000001</v>
      </c>
      <c r="D55" s="74">
        <v>0</v>
      </c>
      <c r="E55" s="74">
        <v>0</v>
      </c>
      <c r="F55" s="74">
        <v>25</v>
      </c>
      <c r="G55" s="74">
        <v>0</v>
      </c>
      <c r="H55" s="74">
        <v>16</v>
      </c>
      <c r="I55" s="74">
        <v>0</v>
      </c>
      <c r="J55" s="74">
        <v>0</v>
      </c>
      <c r="K55" s="74">
        <v>9</v>
      </c>
      <c r="L55" s="74">
        <v>0</v>
      </c>
      <c r="M55" s="74">
        <v>17</v>
      </c>
      <c r="N55" s="74">
        <v>15</v>
      </c>
      <c r="O55" s="74">
        <v>12</v>
      </c>
      <c r="P55" s="74">
        <v>0</v>
      </c>
      <c r="Q55" s="74">
        <v>17</v>
      </c>
      <c r="R55" s="74">
        <v>14</v>
      </c>
      <c r="S55" s="74">
        <v>12</v>
      </c>
      <c r="T55" s="74">
        <v>13</v>
      </c>
      <c r="U55" s="74">
        <v>0</v>
      </c>
      <c r="V55" s="74">
        <v>0</v>
      </c>
      <c r="W55" s="74">
        <v>0</v>
      </c>
      <c r="X55" s="74">
        <v>16</v>
      </c>
      <c r="Y55" s="74">
        <v>10</v>
      </c>
      <c r="Z55" s="74">
        <v>10</v>
      </c>
      <c r="AA55" s="74">
        <v>10</v>
      </c>
      <c r="AB55" s="74">
        <v>0</v>
      </c>
      <c r="AC55" s="74">
        <v>24</v>
      </c>
      <c r="AD55" s="74">
        <v>0</v>
      </c>
      <c r="AE55" s="74">
        <v>28</v>
      </c>
      <c r="AF55" s="74">
        <v>28</v>
      </c>
      <c r="AG55" s="74">
        <v>12</v>
      </c>
      <c r="AH55" s="74">
        <v>288</v>
      </c>
      <c r="AI55" s="78">
        <v>8.0000000000000004E-4</v>
      </c>
    </row>
    <row r="56" spans="1:35" x14ac:dyDescent="0.2">
      <c r="A56" s="74" t="s">
        <v>595</v>
      </c>
      <c r="B56" s="74" t="s">
        <v>530</v>
      </c>
      <c r="C56" s="74">
        <v>0.78030900000000003</v>
      </c>
      <c r="D56" s="74">
        <v>0</v>
      </c>
      <c r="E56" s="74">
        <v>22</v>
      </c>
      <c r="F56" s="74">
        <v>0</v>
      </c>
      <c r="G56" s="74">
        <v>0</v>
      </c>
      <c r="H56" s="74">
        <v>0</v>
      </c>
      <c r="I56" s="74">
        <v>0</v>
      </c>
      <c r="J56" s="74">
        <v>0</v>
      </c>
      <c r="K56" s="74">
        <v>0</v>
      </c>
      <c r="L56" s="74">
        <v>0</v>
      </c>
      <c r="M56" s="74">
        <v>0</v>
      </c>
      <c r="N56" s="74">
        <v>0</v>
      </c>
      <c r="O56" s="74">
        <v>0</v>
      </c>
      <c r="P56" s="74">
        <v>47</v>
      </c>
      <c r="Q56" s="74">
        <v>0</v>
      </c>
      <c r="R56" s="74">
        <v>0</v>
      </c>
      <c r="S56" s="74">
        <v>0</v>
      </c>
      <c r="T56" s="74">
        <v>137</v>
      </c>
      <c r="U56" s="74">
        <v>0</v>
      </c>
      <c r="V56" s="74">
        <v>0</v>
      </c>
      <c r="W56" s="74">
        <v>0</v>
      </c>
      <c r="X56" s="74">
        <v>0</v>
      </c>
      <c r="Y56" s="74">
        <v>0</v>
      </c>
      <c r="Z56" s="74">
        <v>0</v>
      </c>
      <c r="AA56" s="74">
        <v>0</v>
      </c>
      <c r="AB56" s="74">
        <v>0</v>
      </c>
      <c r="AC56" s="74">
        <v>0</v>
      </c>
      <c r="AD56" s="74">
        <v>13</v>
      </c>
      <c r="AE56" s="74">
        <v>60</v>
      </c>
      <c r="AF56" s="74">
        <v>0</v>
      </c>
      <c r="AG56" s="74">
        <v>0</v>
      </c>
      <c r="AH56" s="74">
        <v>279</v>
      </c>
      <c r="AI56" s="78">
        <v>8.0000000000000004E-4</v>
      </c>
    </row>
    <row r="57" spans="1:35" x14ac:dyDescent="0.2">
      <c r="A57" s="74" t="s">
        <v>596</v>
      </c>
      <c r="B57" s="74" t="s">
        <v>527</v>
      </c>
      <c r="C57" s="74">
        <v>0.99966299999999997</v>
      </c>
      <c r="D57" s="74">
        <v>0</v>
      </c>
      <c r="E57" s="74">
        <v>17</v>
      </c>
      <c r="F57" s="74">
        <v>10</v>
      </c>
      <c r="G57" s="74">
        <v>19</v>
      </c>
      <c r="H57" s="74">
        <v>13</v>
      </c>
      <c r="I57" s="74">
        <v>10</v>
      </c>
      <c r="J57" s="74">
        <v>0</v>
      </c>
      <c r="K57" s="74">
        <v>21</v>
      </c>
      <c r="L57" s="74">
        <v>24</v>
      </c>
      <c r="M57" s="74">
        <v>0</v>
      </c>
      <c r="N57" s="74">
        <v>27</v>
      </c>
      <c r="O57" s="74">
        <v>19</v>
      </c>
      <c r="P57" s="74">
        <v>0</v>
      </c>
      <c r="Q57" s="74">
        <v>11</v>
      </c>
      <c r="R57" s="74">
        <v>22</v>
      </c>
      <c r="S57" s="74">
        <v>15</v>
      </c>
      <c r="T57" s="74">
        <v>0</v>
      </c>
      <c r="U57" s="74">
        <v>0</v>
      </c>
      <c r="V57" s="74">
        <v>0</v>
      </c>
      <c r="W57" s="74">
        <v>0</v>
      </c>
      <c r="X57" s="74">
        <v>0</v>
      </c>
      <c r="Y57" s="74">
        <v>0</v>
      </c>
      <c r="Z57" s="74">
        <v>0</v>
      </c>
      <c r="AA57" s="74">
        <v>0</v>
      </c>
      <c r="AB57" s="74">
        <v>0</v>
      </c>
      <c r="AC57" s="74">
        <v>0</v>
      </c>
      <c r="AD57" s="74">
        <v>12</v>
      </c>
      <c r="AE57" s="74">
        <v>17</v>
      </c>
      <c r="AF57" s="74">
        <v>18</v>
      </c>
      <c r="AG57" s="74">
        <v>19</v>
      </c>
      <c r="AH57" s="74">
        <v>274</v>
      </c>
      <c r="AI57" s="78">
        <v>8.0000000000000004E-4</v>
      </c>
    </row>
    <row r="58" spans="1:35" x14ac:dyDescent="0.2">
      <c r="A58" s="79" t="s">
        <v>597</v>
      </c>
      <c r="B58" s="74" t="s">
        <v>528</v>
      </c>
      <c r="C58" s="74">
        <v>0.82174100000000005</v>
      </c>
      <c r="D58" s="74">
        <v>0</v>
      </c>
      <c r="E58" s="74">
        <v>0</v>
      </c>
      <c r="F58" s="74">
        <v>53</v>
      </c>
      <c r="G58" s="74">
        <v>0</v>
      </c>
      <c r="H58" s="74">
        <v>27</v>
      </c>
      <c r="I58" s="74">
        <v>0</v>
      </c>
      <c r="J58" s="74">
        <v>0</v>
      </c>
      <c r="K58" s="74">
        <v>0</v>
      </c>
      <c r="L58" s="74">
        <v>25</v>
      </c>
      <c r="M58" s="74">
        <v>0</v>
      </c>
      <c r="N58" s="74">
        <v>20</v>
      </c>
      <c r="O58" s="74">
        <v>0</v>
      </c>
      <c r="P58" s="74">
        <v>0</v>
      </c>
      <c r="Q58" s="74">
        <v>0</v>
      </c>
      <c r="R58" s="74">
        <v>0</v>
      </c>
      <c r="S58" s="74">
        <v>0</v>
      </c>
      <c r="T58" s="74">
        <v>0</v>
      </c>
      <c r="U58" s="74">
        <v>0</v>
      </c>
      <c r="V58" s="74">
        <v>0</v>
      </c>
      <c r="W58" s="74">
        <v>0</v>
      </c>
      <c r="X58" s="74">
        <v>19</v>
      </c>
      <c r="Y58" s="74">
        <v>12</v>
      </c>
      <c r="Z58" s="74">
        <v>0</v>
      </c>
      <c r="AA58" s="74">
        <v>26</v>
      </c>
      <c r="AB58" s="74">
        <v>0</v>
      </c>
      <c r="AC58" s="74">
        <v>12</v>
      </c>
      <c r="AD58" s="74">
        <v>0</v>
      </c>
      <c r="AE58" s="74">
        <v>50</v>
      </c>
      <c r="AF58" s="74">
        <v>14</v>
      </c>
      <c r="AG58" s="74">
        <v>10</v>
      </c>
      <c r="AH58" s="74">
        <v>268</v>
      </c>
      <c r="AI58" s="78">
        <v>8.0000000000000004E-4</v>
      </c>
    </row>
    <row r="59" spans="1:35" x14ac:dyDescent="0.2">
      <c r="A59" s="74" t="s">
        <v>598</v>
      </c>
      <c r="B59" s="74" t="s">
        <v>531</v>
      </c>
      <c r="C59" s="74">
        <v>0.88412400000000002</v>
      </c>
      <c r="D59" s="74">
        <v>0</v>
      </c>
      <c r="E59" s="74">
        <v>0</v>
      </c>
      <c r="F59" s="74">
        <v>0</v>
      </c>
      <c r="G59" s="74">
        <v>10</v>
      </c>
      <c r="H59" s="74">
        <v>0</v>
      </c>
      <c r="I59" s="74">
        <v>0</v>
      </c>
      <c r="J59" s="74">
        <v>0</v>
      </c>
      <c r="K59" s="74">
        <v>12</v>
      </c>
      <c r="L59" s="74">
        <v>15</v>
      </c>
      <c r="M59" s="74">
        <v>0</v>
      </c>
      <c r="N59" s="74">
        <v>14</v>
      </c>
      <c r="O59" s="74">
        <v>14</v>
      </c>
      <c r="P59" s="74">
        <v>0</v>
      </c>
      <c r="Q59" s="74">
        <v>13</v>
      </c>
      <c r="R59" s="74">
        <v>22</v>
      </c>
      <c r="S59" s="74">
        <v>26</v>
      </c>
      <c r="T59" s="74">
        <v>0</v>
      </c>
      <c r="U59" s="74">
        <v>0</v>
      </c>
      <c r="V59" s="74">
        <v>0</v>
      </c>
      <c r="W59" s="74">
        <v>0</v>
      </c>
      <c r="X59" s="74">
        <v>10</v>
      </c>
      <c r="Y59" s="74">
        <v>0</v>
      </c>
      <c r="Z59" s="74">
        <v>9</v>
      </c>
      <c r="AA59" s="74">
        <v>0</v>
      </c>
      <c r="AB59" s="74">
        <v>0</v>
      </c>
      <c r="AC59" s="74">
        <v>40</v>
      </c>
      <c r="AD59" s="74">
        <v>9</v>
      </c>
      <c r="AE59" s="74">
        <v>40</v>
      </c>
      <c r="AF59" s="74">
        <v>0</v>
      </c>
      <c r="AG59" s="74">
        <v>30</v>
      </c>
      <c r="AH59" s="74">
        <v>264</v>
      </c>
      <c r="AI59" s="78">
        <v>8.0000000000000004E-4</v>
      </c>
    </row>
    <row r="60" spans="1:35" x14ac:dyDescent="0.2">
      <c r="A60" s="74" t="s">
        <v>599</v>
      </c>
      <c r="B60" s="74" t="s">
        <v>561</v>
      </c>
      <c r="C60" s="74">
        <v>0.99998399999999998</v>
      </c>
      <c r="D60" s="74">
        <v>252</v>
      </c>
      <c r="E60" s="74">
        <v>0</v>
      </c>
      <c r="F60" s="74">
        <v>0</v>
      </c>
      <c r="G60" s="74">
        <v>0</v>
      </c>
      <c r="H60" s="74">
        <v>10</v>
      </c>
      <c r="I60" s="74">
        <v>0</v>
      </c>
      <c r="J60" s="74">
        <v>0</v>
      </c>
      <c r="K60" s="74">
        <v>0</v>
      </c>
      <c r="L60" s="74">
        <v>0</v>
      </c>
      <c r="M60" s="74">
        <v>0</v>
      </c>
      <c r="N60" s="74">
        <v>0</v>
      </c>
      <c r="O60" s="74">
        <v>0</v>
      </c>
      <c r="P60" s="74">
        <v>0</v>
      </c>
      <c r="Q60" s="74">
        <v>0</v>
      </c>
      <c r="R60" s="74">
        <v>0</v>
      </c>
      <c r="S60" s="74">
        <v>0</v>
      </c>
      <c r="T60" s="74">
        <v>0</v>
      </c>
      <c r="U60" s="74">
        <v>0</v>
      </c>
      <c r="V60" s="74">
        <v>0</v>
      </c>
      <c r="W60" s="74">
        <v>0</v>
      </c>
      <c r="X60" s="74">
        <v>0</v>
      </c>
      <c r="Y60" s="74">
        <v>0</v>
      </c>
      <c r="Z60" s="74">
        <v>0</v>
      </c>
      <c r="AA60" s="74">
        <v>0</v>
      </c>
      <c r="AB60" s="74">
        <v>0</v>
      </c>
      <c r="AC60" s="74">
        <v>0</v>
      </c>
      <c r="AD60" s="74">
        <v>0</v>
      </c>
      <c r="AE60" s="74">
        <v>0</v>
      </c>
      <c r="AF60" s="74">
        <v>0</v>
      </c>
      <c r="AG60" s="74">
        <v>0</v>
      </c>
      <c r="AH60" s="74">
        <v>262</v>
      </c>
      <c r="AI60" s="78">
        <v>8.0000000000000004E-4</v>
      </c>
    </row>
    <row r="61" spans="1:35" x14ac:dyDescent="0.2">
      <c r="A61" s="74" t="s">
        <v>600</v>
      </c>
      <c r="B61" s="74" t="s">
        <v>531</v>
      </c>
      <c r="C61" s="74">
        <v>0.91766899999999996</v>
      </c>
      <c r="D61" s="74">
        <v>8</v>
      </c>
      <c r="E61" s="74">
        <v>0</v>
      </c>
      <c r="F61" s="74">
        <v>17</v>
      </c>
      <c r="G61" s="74">
        <v>14</v>
      </c>
      <c r="H61" s="74">
        <v>0</v>
      </c>
      <c r="I61" s="74">
        <v>0</v>
      </c>
      <c r="J61" s="74">
        <v>0</v>
      </c>
      <c r="K61" s="74">
        <v>0</v>
      </c>
      <c r="L61" s="74">
        <v>0</v>
      </c>
      <c r="M61" s="74">
        <v>9</v>
      </c>
      <c r="N61" s="74">
        <v>0</v>
      </c>
      <c r="O61" s="74">
        <v>13</v>
      </c>
      <c r="P61" s="74">
        <v>0</v>
      </c>
      <c r="Q61" s="74">
        <v>22</v>
      </c>
      <c r="R61" s="74">
        <v>24</v>
      </c>
      <c r="S61" s="74">
        <v>16</v>
      </c>
      <c r="T61" s="74">
        <v>0</v>
      </c>
      <c r="U61" s="74">
        <v>0</v>
      </c>
      <c r="V61" s="74">
        <v>0</v>
      </c>
      <c r="W61" s="74">
        <v>0</v>
      </c>
      <c r="X61" s="74">
        <v>17</v>
      </c>
      <c r="Y61" s="74">
        <v>0</v>
      </c>
      <c r="Z61" s="74">
        <v>0</v>
      </c>
      <c r="AA61" s="74">
        <v>18</v>
      </c>
      <c r="AB61" s="74">
        <v>0</v>
      </c>
      <c r="AC61" s="74">
        <v>29</v>
      </c>
      <c r="AD61" s="74">
        <v>13</v>
      </c>
      <c r="AE61" s="74">
        <v>36</v>
      </c>
      <c r="AF61" s="74">
        <v>14</v>
      </c>
      <c r="AG61" s="74">
        <v>11</v>
      </c>
      <c r="AH61" s="74">
        <v>261</v>
      </c>
      <c r="AI61" s="78">
        <v>8.0000000000000004E-4</v>
      </c>
    </row>
    <row r="62" spans="1:35" x14ac:dyDescent="0.2">
      <c r="A62" s="74" t="s">
        <v>601</v>
      </c>
      <c r="B62" s="74" t="s">
        <v>528</v>
      </c>
      <c r="C62" s="74">
        <v>0.92067399999999999</v>
      </c>
      <c r="D62" s="74">
        <v>0</v>
      </c>
      <c r="E62" s="74">
        <v>0</v>
      </c>
      <c r="F62" s="74">
        <v>15</v>
      </c>
      <c r="G62" s="74">
        <v>0</v>
      </c>
      <c r="H62" s="74">
        <v>9</v>
      </c>
      <c r="I62" s="74">
        <v>0</v>
      </c>
      <c r="J62" s="74">
        <v>0</v>
      </c>
      <c r="K62" s="74">
        <v>0</v>
      </c>
      <c r="L62" s="74">
        <v>20</v>
      </c>
      <c r="M62" s="74">
        <v>9</v>
      </c>
      <c r="N62" s="74">
        <v>18</v>
      </c>
      <c r="O62" s="74">
        <v>0</v>
      </c>
      <c r="P62" s="74">
        <v>0</v>
      </c>
      <c r="Q62" s="74">
        <v>10</v>
      </c>
      <c r="R62" s="74">
        <v>10</v>
      </c>
      <c r="S62" s="74">
        <v>15</v>
      </c>
      <c r="T62" s="74">
        <v>12</v>
      </c>
      <c r="U62" s="74">
        <v>0</v>
      </c>
      <c r="V62" s="74">
        <v>0</v>
      </c>
      <c r="W62" s="74">
        <v>0</v>
      </c>
      <c r="X62" s="74">
        <v>15</v>
      </c>
      <c r="Y62" s="74">
        <v>13</v>
      </c>
      <c r="Z62" s="74">
        <v>14</v>
      </c>
      <c r="AA62" s="74">
        <v>17</v>
      </c>
      <c r="AB62" s="74">
        <v>15</v>
      </c>
      <c r="AC62" s="74">
        <v>12</v>
      </c>
      <c r="AD62" s="74">
        <v>0</v>
      </c>
      <c r="AE62" s="74">
        <v>22</v>
      </c>
      <c r="AF62" s="74">
        <v>31</v>
      </c>
      <c r="AG62" s="74">
        <v>0</v>
      </c>
      <c r="AH62" s="74">
        <v>257</v>
      </c>
      <c r="AI62" s="78">
        <v>6.9999999999999999E-4</v>
      </c>
    </row>
    <row r="63" spans="1:35" x14ac:dyDescent="0.2">
      <c r="A63" s="74" t="s">
        <v>602</v>
      </c>
      <c r="B63" s="74" t="s">
        <v>527</v>
      </c>
      <c r="C63" s="74">
        <v>0.99970000000000003</v>
      </c>
      <c r="D63" s="74">
        <v>0</v>
      </c>
      <c r="E63" s="74">
        <v>11</v>
      </c>
      <c r="F63" s="74">
        <v>0</v>
      </c>
      <c r="G63" s="74">
        <v>17</v>
      </c>
      <c r="H63" s="74">
        <v>0</v>
      </c>
      <c r="I63" s="74">
        <v>0</v>
      </c>
      <c r="J63" s="74">
        <v>0</v>
      </c>
      <c r="K63" s="74">
        <v>24</v>
      </c>
      <c r="L63" s="74">
        <v>28</v>
      </c>
      <c r="M63" s="74">
        <v>12</v>
      </c>
      <c r="N63" s="74">
        <v>20</v>
      </c>
      <c r="O63" s="74">
        <v>24</v>
      </c>
      <c r="P63" s="74">
        <v>0</v>
      </c>
      <c r="Q63" s="74">
        <v>12</v>
      </c>
      <c r="R63" s="74">
        <v>13</v>
      </c>
      <c r="S63" s="74">
        <v>22</v>
      </c>
      <c r="T63" s="74">
        <v>0</v>
      </c>
      <c r="U63" s="74">
        <v>0</v>
      </c>
      <c r="V63" s="74">
        <v>0</v>
      </c>
      <c r="W63" s="74">
        <v>0</v>
      </c>
      <c r="X63" s="74">
        <v>10</v>
      </c>
      <c r="Y63" s="74">
        <v>0</v>
      </c>
      <c r="Z63" s="74">
        <v>0</v>
      </c>
      <c r="AA63" s="74">
        <v>0</v>
      </c>
      <c r="AB63" s="74">
        <v>0</v>
      </c>
      <c r="AC63" s="74">
        <v>0</v>
      </c>
      <c r="AD63" s="74">
        <v>13</v>
      </c>
      <c r="AE63" s="74">
        <v>17</v>
      </c>
      <c r="AF63" s="74">
        <v>12</v>
      </c>
      <c r="AG63" s="74">
        <v>14</v>
      </c>
      <c r="AH63" s="74">
        <v>249</v>
      </c>
      <c r="AI63" s="78">
        <v>6.9999999999999999E-4</v>
      </c>
    </row>
    <row r="64" spans="1:35" x14ac:dyDescent="0.2">
      <c r="A64" s="74" t="s">
        <v>603</v>
      </c>
      <c r="B64" s="74" t="s">
        <v>543</v>
      </c>
      <c r="C64" s="74">
        <v>0.99756199999999995</v>
      </c>
      <c r="D64" s="74">
        <v>0</v>
      </c>
      <c r="E64" s="74">
        <v>92</v>
      </c>
      <c r="F64" s="74">
        <v>0</v>
      </c>
      <c r="G64" s="74">
        <v>0</v>
      </c>
      <c r="H64" s="74">
        <v>0</v>
      </c>
      <c r="I64" s="74">
        <v>0</v>
      </c>
      <c r="J64" s="74">
        <v>0</v>
      </c>
      <c r="K64" s="74">
        <v>0</v>
      </c>
      <c r="L64" s="74">
        <v>0</v>
      </c>
      <c r="M64" s="74">
        <v>0</v>
      </c>
      <c r="N64" s="74">
        <v>0</v>
      </c>
      <c r="O64" s="74">
        <v>0</v>
      </c>
      <c r="P64" s="74">
        <v>0</v>
      </c>
      <c r="Q64" s="74">
        <v>0</v>
      </c>
      <c r="R64" s="74">
        <v>0</v>
      </c>
      <c r="S64" s="74">
        <v>0</v>
      </c>
      <c r="T64" s="74">
        <v>0</v>
      </c>
      <c r="U64" s="74">
        <v>0</v>
      </c>
      <c r="V64" s="74">
        <v>118</v>
      </c>
      <c r="W64" s="74">
        <v>32</v>
      </c>
      <c r="X64" s="74">
        <v>0</v>
      </c>
      <c r="Y64" s="74">
        <v>0</v>
      </c>
      <c r="Z64" s="74">
        <v>0</v>
      </c>
      <c r="AA64" s="74">
        <v>0</v>
      </c>
      <c r="AB64" s="74">
        <v>0</v>
      </c>
      <c r="AC64" s="74">
        <v>0</v>
      </c>
      <c r="AD64" s="74">
        <v>0</v>
      </c>
      <c r="AE64" s="74">
        <v>0</v>
      </c>
      <c r="AF64" s="74">
        <v>0</v>
      </c>
      <c r="AG64" s="74">
        <v>0</v>
      </c>
      <c r="AH64" s="74">
        <v>242</v>
      </c>
      <c r="AI64" s="78">
        <v>6.9999999999999999E-4</v>
      </c>
    </row>
    <row r="65" spans="1:35" x14ac:dyDescent="0.2">
      <c r="A65" s="74" t="s">
        <v>604</v>
      </c>
      <c r="B65" s="74" t="s">
        <v>534</v>
      </c>
      <c r="C65" s="74">
        <v>0.89813299999999996</v>
      </c>
      <c r="D65" s="74">
        <v>0</v>
      </c>
      <c r="E65" s="74">
        <v>51</v>
      </c>
      <c r="F65" s="74">
        <v>0</v>
      </c>
      <c r="G65" s="74">
        <v>0</v>
      </c>
      <c r="H65" s="74">
        <v>0</v>
      </c>
      <c r="I65" s="74">
        <v>0</v>
      </c>
      <c r="J65" s="74">
        <v>0</v>
      </c>
      <c r="K65" s="74">
        <v>0</v>
      </c>
      <c r="L65" s="74">
        <v>33</v>
      </c>
      <c r="M65" s="74">
        <v>0</v>
      </c>
      <c r="N65" s="74">
        <v>76</v>
      </c>
      <c r="O65" s="74">
        <v>75</v>
      </c>
      <c r="P65" s="74">
        <v>0</v>
      </c>
      <c r="Q65" s="74">
        <v>0</v>
      </c>
      <c r="R65" s="74">
        <v>0</v>
      </c>
      <c r="S65" s="74">
        <v>0</v>
      </c>
      <c r="T65" s="74">
        <v>0</v>
      </c>
      <c r="U65" s="74">
        <v>0</v>
      </c>
      <c r="V65" s="74">
        <v>0</v>
      </c>
      <c r="W65" s="74">
        <v>0</v>
      </c>
      <c r="X65" s="74">
        <v>0</v>
      </c>
      <c r="Y65" s="74">
        <v>0</v>
      </c>
      <c r="Z65" s="74">
        <v>0</v>
      </c>
      <c r="AA65" s="74">
        <v>0</v>
      </c>
      <c r="AB65" s="74">
        <v>0</v>
      </c>
      <c r="AC65" s="74">
        <v>0</v>
      </c>
      <c r="AD65" s="74">
        <v>0</v>
      </c>
      <c r="AE65" s="74">
        <v>0</v>
      </c>
      <c r="AF65" s="74">
        <v>0</v>
      </c>
      <c r="AG65" s="74">
        <v>0</v>
      </c>
      <c r="AH65" s="74">
        <v>235</v>
      </c>
      <c r="AI65" s="78">
        <v>6.9999999999999999E-4</v>
      </c>
    </row>
    <row r="66" spans="1:35" x14ac:dyDescent="0.2">
      <c r="A66" s="74" t="s">
        <v>605</v>
      </c>
      <c r="B66" s="74" t="s">
        <v>534</v>
      </c>
      <c r="C66" s="74">
        <v>0.88242699999999996</v>
      </c>
      <c r="D66" s="74">
        <v>0</v>
      </c>
      <c r="E66" s="74">
        <v>51</v>
      </c>
      <c r="F66" s="74">
        <v>0</v>
      </c>
      <c r="G66" s="74">
        <v>0</v>
      </c>
      <c r="H66" s="74">
        <v>0</v>
      </c>
      <c r="I66" s="74">
        <v>0</v>
      </c>
      <c r="J66" s="74">
        <v>0</v>
      </c>
      <c r="K66" s="74">
        <v>0</v>
      </c>
      <c r="L66" s="74">
        <v>26</v>
      </c>
      <c r="M66" s="74">
        <v>0</v>
      </c>
      <c r="N66" s="74">
        <v>68</v>
      </c>
      <c r="O66" s="74">
        <v>84</v>
      </c>
      <c r="P66" s="74">
        <v>0</v>
      </c>
      <c r="Q66" s="74">
        <v>0</v>
      </c>
      <c r="R66" s="74">
        <v>0</v>
      </c>
      <c r="S66" s="74">
        <v>0</v>
      </c>
      <c r="T66" s="74">
        <v>0</v>
      </c>
      <c r="U66" s="74">
        <v>0</v>
      </c>
      <c r="V66" s="74">
        <v>0</v>
      </c>
      <c r="W66" s="74">
        <v>0</v>
      </c>
      <c r="X66" s="74">
        <v>0</v>
      </c>
      <c r="Y66" s="74">
        <v>0</v>
      </c>
      <c r="Z66" s="74">
        <v>0</v>
      </c>
      <c r="AA66" s="74">
        <v>0</v>
      </c>
      <c r="AB66" s="74">
        <v>0</v>
      </c>
      <c r="AC66" s="74">
        <v>0</v>
      </c>
      <c r="AD66" s="74">
        <v>0</v>
      </c>
      <c r="AE66" s="74">
        <v>0</v>
      </c>
      <c r="AF66" s="74">
        <v>0</v>
      </c>
      <c r="AG66" s="74">
        <v>0</v>
      </c>
      <c r="AH66" s="74">
        <v>229</v>
      </c>
      <c r="AI66" s="78">
        <v>6.9999999999999999E-4</v>
      </c>
    </row>
    <row r="67" spans="1:35" x14ac:dyDescent="0.2">
      <c r="A67" s="74" t="s">
        <v>606</v>
      </c>
      <c r="B67" s="74" t="s">
        <v>567</v>
      </c>
      <c r="C67" s="74">
        <v>0.98552300000000004</v>
      </c>
      <c r="D67" s="74">
        <v>0</v>
      </c>
      <c r="E67" s="74">
        <v>0</v>
      </c>
      <c r="F67" s="74">
        <v>0</v>
      </c>
      <c r="G67" s="74">
        <v>0</v>
      </c>
      <c r="H67" s="74">
        <v>0</v>
      </c>
      <c r="I67" s="74">
        <v>0</v>
      </c>
      <c r="J67" s="74">
        <v>0</v>
      </c>
      <c r="K67" s="74">
        <v>0</v>
      </c>
      <c r="L67" s="74">
        <v>0</v>
      </c>
      <c r="M67" s="74">
        <v>0</v>
      </c>
      <c r="N67" s="74">
        <v>0</v>
      </c>
      <c r="O67" s="74">
        <v>0</v>
      </c>
      <c r="P67" s="74">
        <v>0</v>
      </c>
      <c r="Q67" s="74">
        <v>0</v>
      </c>
      <c r="R67" s="74">
        <v>0</v>
      </c>
      <c r="S67" s="74">
        <v>0</v>
      </c>
      <c r="T67" s="74">
        <v>34</v>
      </c>
      <c r="U67" s="74">
        <v>0</v>
      </c>
      <c r="V67" s="74">
        <v>58</v>
      </c>
      <c r="W67" s="74">
        <v>129</v>
      </c>
      <c r="X67" s="74">
        <v>0</v>
      </c>
      <c r="Y67" s="74">
        <v>0</v>
      </c>
      <c r="Z67" s="74">
        <v>0</v>
      </c>
      <c r="AA67" s="74">
        <v>0</v>
      </c>
      <c r="AB67" s="74">
        <v>0</v>
      </c>
      <c r="AC67" s="74">
        <v>0</v>
      </c>
      <c r="AD67" s="74">
        <v>0</v>
      </c>
      <c r="AE67" s="74">
        <v>0</v>
      </c>
      <c r="AF67" s="74">
        <v>0</v>
      </c>
      <c r="AG67" s="74">
        <v>0</v>
      </c>
      <c r="AH67" s="74">
        <v>221</v>
      </c>
      <c r="AI67" s="78">
        <v>5.9999999999999995E-4</v>
      </c>
    </row>
    <row r="68" spans="1:35" x14ac:dyDescent="0.2">
      <c r="A68" s="74" t="s">
        <v>607</v>
      </c>
      <c r="B68" s="74" t="s">
        <v>567</v>
      </c>
      <c r="C68" s="74">
        <v>0.99948300000000001</v>
      </c>
      <c r="D68" s="74">
        <v>0</v>
      </c>
      <c r="E68" s="74">
        <v>0</v>
      </c>
      <c r="F68" s="74">
        <v>4</v>
      </c>
      <c r="G68" s="74">
        <v>0</v>
      </c>
      <c r="H68" s="74">
        <v>0</v>
      </c>
      <c r="I68" s="74">
        <v>0</v>
      </c>
      <c r="J68" s="74">
        <v>0</v>
      </c>
      <c r="K68" s="74">
        <v>0</v>
      </c>
      <c r="L68" s="74">
        <v>0</v>
      </c>
      <c r="M68" s="74">
        <v>0</v>
      </c>
      <c r="N68" s="74">
        <v>0</v>
      </c>
      <c r="O68" s="74">
        <v>0</v>
      </c>
      <c r="P68" s="74">
        <v>0</v>
      </c>
      <c r="Q68" s="74">
        <v>0</v>
      </c>
      <c r="R68" s="74">
        <v>0</v>
      </c>
      <c r="S68" s="74">
        <v>0</v>
      </c>
      <c r="T68" s="74">
        <v>0</v>
      </c>
      <c r="U68" s="74">
        <v>0</v>
      </c>
      <c r="V68" s="74">
        <v>149</v>
      </c>
      <c r="W68" s="74">
        <v>63</v>
      </c>
      <c r="X68" s="74">
        <v>0</v>
      </c>
      <c r="Y68" s="74">
        <v>0</v>
      </c>
      <c r="Z68" s="74">
        <v>0</v>
      </c>
      <c r="AA68" s="74">
        <v>0</v>
      </c>
      <c r="AB68" s="74">
        <v>0</v>
      </c>
      <c r="AC68" s="74">
        <v>0</v>
      </c>
      <c r="AD68" s="74">
        <v>0</v>
      </c>
      <c r="AE68" s="74">
        <v>0</v>
      </c>
      <c r="AF68" s="74">
        <v>0</v>
      </c>
      <c r="AG68" s="74">
        <v>0</v>
      </c>
      <c r="AH68" s="74">
        <v>216</v>
      </c>
      <c r="AI68" s="78">
        <v>5.9999999999999995E-4</v>
      </c>
    </row>
    <row r="69" spans="1:35" x14ac:dyDescent="0.2">
      <c r="A69" s="74" t="s">
        <v>608</v>
      </c>
      <c r="B69" s="74" t="s">
        <v>536</v>
      </c>
      <c r="C69" s="74">
        <v>0.93104699999999996</v>
      </c>
      <c r="D69" s="74">
        <v>0</v>
      </c>
      <c r="E69" s="74">
        <v>0</v>
      </c>
      <c r="F69" s="74">
        <v>0</v>
      </c>
      <c r="G69" s="74">
        <v>0</v>
      </c>
      <c r="H69" s="74">
        <v>0</v>
      </c>
      <c r="I69" s="74">
        <v>0</v>
      </c>
      <c r="J69" s="74">
        <v>0</v>
      </c>
      <c r="K69" s="74">
        <v>0</v>
      </c>
      <c r="L69" s="74">
        <v>0</v>
      </c>
      <c r="M69" s="74">
        <v>0</v>
      </c>
      <c r="N69" s="74">
        <v>0</v>
      </c>
      <c r="O69" s="74">
        <v>0</v>
      </c>
      <c r="P69" s="74">
        <v>188</v>
      </c>
      <c r="Q69" s="74">
        <v>0</v>
      </c>
      <c r="R69" s="74">
        <v>0</v>
      </c>
      <c r="S69" s="74">
        <v>0</v>
      </c>
      <c r="T69" s="74">
        <v>0</v>
      </c>
      <c r="U69" s="74">
        <v>0</v>
      </c>
      <c r="V69" s="74">
        <v>0</v>
      </c>
      <c r="W69" s="74">
        <v>0</v>
      </c>
      <c r="X69" s="74">
        <v>0</v>
      </c>
      <c r="Y69" s="74">
        <v>0</v>
      </c>
      <c r="Z69" s="74">
        <v>0</v>
      </c>
      <c r="AA69" s="74">
        <v>0</v>
      </c>
      <c r="AB69" s="74">
        <v>0</v>
      </c>
      <c r="AC69" s="74">
        <v>0</v>
      </c>
      <c r="AD69" s="74">
        <v>0</v>
      </c>
      <c r="AE69" s="74">
        <v>14</v>
      </c>
      <c r="AF69" s="74">
        <v>0</v>
      </c>
      <c r="AG69" s="74">
        <v>0</v>
      </c>
      <c r="AH69" s="74">
        <v>202</v>
      </c>
      <c r="AI69" s="78">
        <v>5.9999999999999995E-4</v>
      </c>
    </row>
    <row r="70" spans="1:35" x14ac:dyDescent="0.2">
      <c r="A70" s="74" t="s">
        <v>609</v>
      </c>
      <c r="B70" s="74" t="s">
        <v>530</v>
      </c>
      <c r="C70" s="74">
        <v>0.76379600000000003</v>
      </c>
      <c r="D70" s="74">
        <v>69</v>
      </c>
      <c r="E70" s="74">
        <v>0</v>
      </c>
      <c r="F70" s="74">
        <v>0</v>
      </c>
      <c r="G70" s="74">
        <v>0</v>
      </c>
      <c r="H70" s="74">
        <v>0</v>
      </c>
      <c r="I70" s="74">
        <v>0</v>
      </c>
      <c r="J70" s="74">
        <v>0</v>
      </c>
      <c r="K70" s="74">
        <v>0</v>
      </c>
      <c r="L70" s="74">
        <v>0</v>
      </c>
      <c r="M70" s="74">
        <v>0</v>
      </c>
      <c r="N70" s="74">
        <v>0</v>
      </c>
      <c r="O70" s="74">
        <v>31</v>
      </c>
      <c r="P70" s="74">
        <v>0</v>
      </c>
      <c r="Q70" s="74">
        <v>0</v>
      </c>
      <c r="R70" s="74">
        <v>0</v>
      </c>
      <c r="S70" s="74">
        <v>0</v>
      </c>
      <c r="T70" s="74">
        <v>20</v>
      </c>
      <c r="U70" s="74">
        <v>22</v>
      </c>
      <c r="V70" s="74">
        <v>25</v>
      </c>
      <c r="W70" s="74">
        <v>33</v>
      </c>
      <c r="X70" s="74">
        <v>0</v>
      </c>
      <c r="Y70" s="74">
        <v>0</v>
      </c>
      <c r="Z70" s="74">
        <v>0</v>
      </c>
      <c r="AA70" s="74">
        <v>0</v>
      </c>
      <c r="AB70" s="74">
        <v>0</v>
      </c>
      <c r="AC70" s="74">
        <v>0</v>
      </c>
      <c r="AD70" s="74">
        <v>0</v>
      </c>
      <c r="AE70" s="74">
        <v>0</v>
      </c>
      <c r="AF70" s="74">
        <v>0</v>
      </c>
      <c r="AG70" s="74">
        <v>0</v>
      </c>
      <c r="AH70" s="74">
        <v>200</v>
      </c>
      <c r="AI70" s="78">
        <v>5.9999999999999995E-4</v>
      </c>
    </row>
    <row r="71" spans="1:35" x14ac:dyDescent="0.2">
      <c r="A71" s="74" t="s">
        <v>610</v>
      </c>
      <c r="B71" s="74" t="s">
        <v>528</v>
      </c>
      <c r="C71" s="74">
        <v>0.80196800000000001</v>
      </c>
      <c r="D71" s="74">
        <v>0</v>
      </c>
      <c r="E71" s="74">
        <v>0</v>
      </c>
      <c r="F71" s="74">
        <v>17</v>
      </c>
      <c r="G71" s="74">
        <v>0</v>
      </c>
      <c r="H71" s="74">
        <v>15</v>
      </c>
      <c r="I71" s="74">
        <v>0</v>
      </c>
      <c r="J71" s="74">
        <v>0</v>
      </c>
      <c r="K71" s="74">
        <v>0</v>
      </c>
      <c r="L71" s="74">
        <v>12</v>
      </c>
      <c r="M71" s="74">
        <v>13</v>
      </c>
      <c r="N71" s="74">
        <v>10</v>
      </c>
      <c r="O71" s="74">
        <v>0</v>
      </c>
      <c r="P71" s="74">
        <v>0</v>
      </c>
      <c r="Q71" s="74">
        <v>10</v>
      </c>
      <c r="R71" s="74">
        <v>0</v>
      </c>
      <c r="S71" s="74">
        <v>9</v>
      </c>
      <c r="T71" s="74">
        <v>0</v>
      </c>
      <c r="U71" s="74">
        <v>0</v>
      </c>
      <c r="V71" s="74">
        <v>0</v>
      </c>
      <c r="W71" s="74">
        <v>0</v>
      </c>
      <c r="X71" s="74">
        <v>9</v>
      </c>
      <c r="Y71" s="74">
        <v>14</v>
      </c>
      <c r="Z71" s="74">
        <v>14</v>
      </c>
      <c r="AA71" s="74">
        <v>13</v>
      </c>
      <c r="AB71" s="74">
        <v>0</v>
      </c>
      <c r="AC71" s="74">
        <v>17</v>
      </c>
      <c r="AD71" s="74">
        <v>0</v>
      </c>
      <c r="AE71" s="74">
        <v>18</v>
      </c>
      <c r="AF71" s="74">
        <v>14</v>
      </c>
      <c r="AG71" s="74">
        <v>11</v>
      </c>
      <c r="AH71" s="74">
        <v>196</v>
      </c>
      <c r="AI71" s="78">
        <v>5.9999999999999995E-4</v>
      </c>
    </row>
    <row r="72" spans="1:35" x14ac:dyDescent="0.2">
      <c r="A72" s="74" t="s">
        <v>611</v>
      </c>
      <c r="B72" s="74" t="s">
        <v>612</v>
      </c>
      <c r="C72" s="74">
        <v>0.977858</v>
      </c>
      <c r="D72" s="74">
        <v>0</v>
      </c>
      <c r="E72" s="74">
        <v>0</v>
      </c>
      <c r="F72" s="74">
        <v>0</v>
      </c>
      <c r="G72" s="74">
        <v>0</v>
      </c>
      <c r="H72" s="74">
        <v>0</v>
      </c>
      <c r="I72" s="74">
        <v>0</v>
      </c>
      <c r="J72" s="74">
        <v>0</v>
      </c>
      <c r="K72" s="74">
        <v>0</v>
      </c>
      <c r="L72" s="74">
        <v>0</v>
      </c>
      <c r="M72" s="74">
        <v>0</v>
      </c>
      <c r="N72" s="74">
        <v>0</v>
      </c>
      <c r="O72" s="74">
        <v>0</v>
      </c>
      <c r="P72" s="74">
        <v>0</v>
      </c>
      <c r="Q72" s="74">
        <v>0</v>
      </c>
      <c r="R72" s="74">
        <v>0</v>
      </c>
      <c r="S72" s="74">
        <v>0</v>
      </c>
      <c r="T72" s="74">
        <v>0</v>
      </c>
      <c r="U72" s="74">
        <v>19</v>
      </c>
      <c r="V72" s="74">
        <v>0</v>
      </c>
      <c r="W72" s="74">
        <v>93</v>
      </c>
      <c r="X72" s="74">
        <v>0</v>
      </c>
      <c r="Y72" s="74">
        <v>0</v>
      </c>
      <c r="Z72" s="74">
        <v>0</v>
      </c>
      <c r="AA72" s="74">
        <v>0</v>
      </c>
      <c r="AB72" s="74">
        <v>0</v>
      </c>
      <c r="AC72" s="74">
        <v>0</v>
      </c>
      <c r="AD72" s="74">
        <v>76</v>
      </c>
      <c r="AE72" s="74">
        <v>0</v>
      </c>
      <c r="AF72" s="74">
        <v>0</v>
      </c>
      <c r="AG72" s="74">
        <v>0</v>
      </c>
      <c r="AH72" s="74">
        <v>188</v>
      </c>
      <c r="AI72" s="78">
        <v>5.0000000000000001E-4</v>
      </c>
    </row>
    <row r="73" spans="1:35" x14ac:dyDescent="0.2">
      <c r="A73" s="74" t="s">
        <v>613</v>
      </c>
      <c r="B73" s="74" t="s">
        <v>527</v>
      </c>
      <c r="C73" s="74">
        <v>0.99964200000000003</v>
      </c>
      <c r="D73" s="74">
        <v>0</v>
      </c>
      <c r="E73" s="74">
        <v>14</v>
      </c>
      <c r="F73" s="74">
        <v>0</v>
      </c>
      <c r="G73" s="74">
        <v>17</v>
      </c>
      <c r="H73" s="74">
        <v>0</v>
      </c>
      <c r="I73" s="74">
        <v>10</v>
      </c>
      <c r="J73" s="74">
        <v>0</v>
      </c>
      <c r="K73" s="74">
        <v>23</v>
      </c>
      <c r="L73" s="74">
        <v>19</v>
      </c>
      <c r="M73" s="74">
        <v>15</v>
      </c>
      <c r="N73" s="74">
        <v>0</v>
      </c>
      <c r="O73" s="74">
        <v>15</v>
      </c>
      <c r="P73" s="74">
        <v>0</v>
      </c>
      <c r="Q73" s="74">
        <v>0</v>
      </c>
      <c r="R73" s="74">
        <v>17</v>
      </c>
      <c r="S73" s="74">
        <v>20</v>
      </c>
      <c r="T73" s="74">
        <v>0</v>
      </c>
      <c r="U73" s="74">
        <v>0</v>
      </c>
      <c r="V73" s="74">
        <v>0</v>
      </c>
      <c r="W73" s="74">
        <v>0</v>
      </c>
      <c r="X73" s="74">
        <v>0</v>
      </c>
      <c r="Y73" s="74">
        <v>0</v>
      </c>
      <c r="Z73" s="74">
        <v>0</v>
      </c>
      <c r="AA73" s="74">
        <v>0</v>
      </c>
      <c r="AB73" s="74">
        <v>0</v>
      </c>
      <c r="AC73" s="74">
        <v>0</v>
      </c>
      <c r="AD73" s="74">
        <v>0</v>
      </c>
      <c r="AE73" s="74">
        <v>22</v>
      </c>
      <c r="AF73" s="74">
        <v>12</v>
      </c>
      <c r="AG73" s="74">
        <v>0</v>
      </c>
      <c r="AH73" s="74">
        <v>184</v>
      </c>
      <c r="AI73" s="78">
        <v>5.0000000000000001E-4</v>
      </c>
    </row>
    <row r="74" spans="1:35" x14ac:dyDescent="0.2">
      <c r="A74" s="74" t="s">
        <v>614</v>
      </c>
      <c r="B74" s="74" t="s">
        <v>528</v>
      </c>
      <c r="C74" s="74">
        <v>0.91978899999999997</v>
      </c>
      <c r="D74" s="74">
        <v>0</v>
      </c>
      <c r="E74" s="74">
        <v>0</v>
      </c>
      <c r="F74" s="74">
        <v>33</v>
      </c>
      <c r="G74" s="74">
        <v>0</v>
      </c>
      <c r="H74" s="74">
        <v>0</v>
      </c>
      <c r="I74" s="74">
        <v>0</v>
      </c>
      <c r="J74" s="74">
        <v>0</v>
      </c>
      <c r="K74" s="74">
        <v>0</v>
      </c>
      <c r="L74" s="74">
        <v>24</v>
      </c>
      <c r="M74" s="74">
        <v>0</v>
      </c>
      <c r="N74" s="74">
        <v>0</v>
      </c>
      <c r="O74" s="74">
        <v>9</v>
      </c>
      <c r="P74" s="74">
        <v>0</v>
      </c>
      <c r="Q74" s="74">
        <v>0</v>
      </c>
      <c r="R74" s="74">
        <v>0</v>
      </c>
      <c r="S74" s="74">
        <v>0</v>
      </c>
      <c r="T74" s="74">
        <v>9</v>
      </c>
      <c r="U74" s="74">
        <v>0</v>
      </c>
      <c r="V74" s="74">
        <v>0</v>
      </c>
      <c r="W74" s="74">
        <v>0</v>
      </c>
      <c r="X74" s="74">
        <v>14</v>
      </c>
      <c r="Y74" s="74">
        <v>13</v>
      </c>
      <c r="Z74" s="74">
        <v>10</v>
      </c>
      <c r="AA74" s="74">
        <v>10</v>
      </c>
      <c r="AB74" s="74">
        <v>0</v>
      </c>
      <c r="AC74" s="74">
        <v>0</v>
      </c>
      <c r="AD74" s="74">
        <v>0</v>
      </c>
      <c r="AE74" s="74">
        <v>24</v>
      </c>
      <c r="AF74" s="74">
        <v>21</v>
      </c>
      <c r="AG74" s="74">
        <v>0</v>
      </c>
      <c r="AH74" s="74">
        <v>167</v>
      </c>
      <c r="AI74" s="78">
        <v>5.0000000000000001E-4</v>
      </c>
    </row>
    <row r="75" spans="1:35" x14ac:dyDescent="0.2">
      <c r="A75" s="74" t="s">
        <v>615</v>
      </c>
      <c r="B75" s="74" t="s">
        <v>528</v>
      </c>
      <c r="C75" s="74">
        <v>0.71270199999999995</v>
      </c>
      <c r="D75" s="74">
        <v>0</v>
      </c>
      <c r="E75" s="74">
        <v>0</v>
      </c>
      <c r="F75" s="74">
        <v>17</v>
      </c>
      <c r="G75" s="74">
        <v>0</v>
      </c>
      <c r="H75" s="74">
        <v>15</v>
      </c>
      <c r="I75" s="74">
        <v>0</v>
      </c>
      <c r="J75" s="74">
        <v>0</v>
      </c>
      <c r="K75" s="74">
        <v>0</v>
      </c>
      <c r="L75" s="74">
        <v>0</v>
      </c>
      <c r="M75" s="74">
        <v>0</v>
      </c>
      <c r="N75" s="74">
        <v>0</v>
      </c>
      <c r="O75" s="74">
        <v>0</v>
      </c>
      <c r="P75" s="74">
        <v>0</v>
      </c>
      <c r="Q75" s="74">
        <v>0</v>
      </c>
      <c r="R75" s="74">
        <v>11</v>
      </c>
      <c r="S75" s="74">
        <v>11</v>
      </c>
      <c r="T75" s="74">
        <v>0</v>
      </c>
      <c r="U75" s="74">
        <v>0</v>
      </c>
      <c r="V75" s="74">
        <v>0</v>
      </c>
      <c r="W75" s="74">
        <v>0</v>
      </c>
      <c r="X75" s="74">
        <v>20</v>
      </c>
      <c r="Y75" s="74">
        <v>0</v>
      </c>
      <c r="Z75" s="74">
        <v>0</v>
      </c>
      <c r="AA75" s="74">
        <v>0</v>
      </c>
      <c r="AB75" s="74">
        <v>17</v>
      </c>
      <c r="AC75" s="74">
        <v>18</v>
      </c>
      <c r="AD75" s="74">
        <v>0</v>
      </c>
      <c r="AE75" s="74">
        <v>23</v>
      </c>
      <c r="AF75" s="74">
        <v>16</v>
      </c>
      <c r="AG75" s="74">
        <v>12</v>
      </c>
      <c r="AH75" s="74">
        <v>160</v>
      </c>
      <c r="AI75" s="78">
        <v>5.0000000000000001E-4</v>
      </c>
    </row>
    <row r="76" spans="1:35" x14ac:dyDescent="0.2">
      <c r="A76" s="74" t="s">
        <v>616</v>
      </c>
      <c r="B76" s="74" t="s">
        <v>531</v>
      </c>
      <c r="C76" s="74">
        <v>0.83623999999999998</v>
      </c>
      <c r="D76" s="74">
        <v>0</v>
      </c>
      <c r="E76" s="74">
        <v>13</v>
      </c>
      <c r="F76" s="74">
        <v>0</v>
      </c>
      <c r="G76" s="74">
        <v>0</v>
      </c>
      <c r="H76" s="74">
        <v>0</v>
      </c>
      <c r="I76" s="74">
        <v>0</v>
      </c>
      <c r="J76" s="74">
        <v>0</v>
      </c>
      <c r="K76" s="74">
        <v>0</v>
      </c>
      <c r="L76" s="74">
        <v>0</v>
      </c>
      <c r="M76" s="74">
        <v>0</v>
      </c>
      <c r="N76" s="74">
        <v>9</v>
      </c>
      <c r="O76" s="74">
        <v>11</v>
      </c>
      <c r="P76" s="74">
        <v>0</v>
      </c>
      <c r="Q76" s="74">
        <v>13</v>
      </c>
      <c r="R76" s="74">
        <v>20</v>
      </c>
      <c r="S76" s="74">
        <v>0</v>
      </c>
      <c r="T76" s="74">
        <v>0</v>
      </c>
      <c r="U76" s="74">
        <v>0</v>
      </c>
      <c r="V76" s="74">
        <v>0</v>
      </c>
      <c r="W76" s="74">
        <v>0</v>
      </c>
      <c r="X76" s="74">
        <v>0</v>
      </c>
      <c r="Y76" s="74">
        <v>0</v>
      </c>
      <c r="Z76" s="74">
        <v>10</v>
      </c>
      <c r="AA76" s="74">
        <v>9</v>
      </c>
      <c r="AB76" s="74">
        <v>0</v>
      </c>
      <c r="AC76" s="74">
        <v>33</v>
      </c>
      <c r="AD76" s="74">
        <v>11</v>
      </c>
      <c r="AE76" s="74">
        <v>13</v>
      </c>
      <c r="AF76" s="74">
        <v>15</v>
      </c>
      <c r="AG76" s="74">
        <v>0</v>
      </c>
      <c r="AH76" s="74">
        <v>157</v>
      </c>
      <c r="AI76" s="78">
        <v>5.0000000000000001E-4</v>
      </c>
    </row>
    <row r="77" spans="1:35" x14ac:dyDescent="0.2">
      <c r="A77" s="74" t="s">
        <v>617</v>
      </c>
      <c r="B77" s="74" t="s">
        <v>534</v>
      </c>
      <c r="C77" s="74">
        <v>0.90274799999999999</v>
      </c>
      <c r="D77" s="74">
        <v>0</v>
      </c>
      <c r="E77" s="74">
        <v>0</v>
      </c>
      <c r="F77" s="74">
        <v>0</v>
      </c>
      <c r="G77" s="74">
        <v>0</v>
      </c>
      <c r="H77" s="74">
        <v>0</v>
      </c>
      <c r="I77" s="74">
        <v>0</v>
      </c>
      <c r="J77" s="74">
        <v>0</v>
      </c>
      <c r="K77" s="74">
        <v>0</v>
      </c>
      <c r="L77" s="74">
        <v>0</v>
      </c>
      <c r="M77" s="74">
        <v>0</v>
      </c>
      <c r="N77" s="74">
        <v>0</v>
      </c>
      <c r="O77" s="74">
        <v>0</v>
      </c>
      <c r="P77" s="74">
        <v>134</v>
      </c>
      <c r="Q77" s="74">
        <v>0</v>
      </c>
      <c r="R77" s="74">
        <v>0</v>
      </c>
      <c r="S77" s="74">
        <v>0</v>
      </c>
      <c r="T77" s="74">
        <v>0</v>
      </c>
      <c r="U77" s="74">
        <v>0</v>
      </c>
      <c r="V77" s="74">
        <v>0</v>
      </c>
      <c r="W77" s="74">
        <v>0</v>
      </c>
      <c r="X77" s="74">
        <v>0</v>
      </c>
      <c r="Y77" s="74">
        <v>0</v>
      </c>
      <c r="Z77" s="74">
        <v>0</v>
      </c>
      <c r="AA77" s="74">
        <v>0</v>
      </c>
      <c r="AB77" s="74">
        <v>0</v>
      </c>
      <c r="AC77" s="74">
        <v>0</v>
      </c>
      <c r="AD77" s="74">
        <v>18</v>
      </c>
      <c r="AE77" s="74">
        <v>0</v>
      </c>
      <c r="AF77" s="74">
        <v>0</v>
      </c>
      <c r="AG77" s="74">
        <v>0</v>
      </c>
      <c r="AH77" s="74">
        <v>152</v>
      </c>
      <c r="AI77" s="78">
        <v>4.0000000000000002E-4</v>
      </c>
    </row>
    <row r="78" spans="1:35" x14ac:dyDescent="0.2">
      <c r="A78" s="74" t="s">
        <v>618</v>
      </c>
      <c r="B78" s="74" t="s">
        <v>527</v>
      </c>
      <c r="C78" s="74">
        <v>0.99966200000000005</v>
      </c>
      <c r="D78" s="74">
        <v>0</v>
      </c>
      <c r="E78" s="74">
        <v>12</v>
      </c>
      <c r="F78" s="74">
        <v>16</v>
      </c>
      <c r="G78" s="74">
        <v>10</v>
      </c>
      <c r="H78" s="74">
        <v>0</v>
      </c>
      <c r="I78" s="74">
        <v>0</v>
      </c>
      <c r="J78" s="74">
        <v>0</v>
      </c>
      <c r="K78" s="74">
        <v>12</v>
      </c>
      <c r="L78" s="74">
        <v>19</v>
      </c>
      <c r="M78" s="74">
        <v>0</v>
      </c>
      <c r="N78" s="74">
        <v>0</v>
      </c>
      <c r="O78" s="74">
        <v>11</v>
      </c>
      <c r="P78" s="74">
        <v>0</v>
      </c>
      <c r="Q78" s="74">
        <v>10</v>
      </c>
      <c r="R78" s="74">
        <v>0</v>
      </c>
      <c r="S78" s="74">
        <v>0</v>
      </c>
      <c r="T78" s="74">
        <v>0</v>
      </c>
      <c r="U78" s="74">
        <v>0</v>
      </c>
      <c r="V78" s="74">
        <v>0</v>
      </c>
      <c r="W78" s="74">
        <v>0</v>
      </c>
      <c r="X78" s="74">
        <v>0</v>
      </c>
      <c r="Y78" s="74">
        <v>0</v>
      </c>
      <c r="Z78" s="74">
        <v>13</v>
      </c>
      <c r="AA78" s="74">
        <v>0</v>
      </c>
      <c r="AB78" s="74">
        <v>0</v>
      </c>
      <c r="AC78" s="74">
        <v>0</v>
      </c>
      <c r="AD78" s="74">
        <v>19</v>
      </c>
      <c r="AE78" s="74">
        <v>15</v>
      </c>
      <c r="AF78" s="74">
        <v>13</v>
      </c>
      <c r="AG78" s="74">
        <v>0</v>
      </c>
      <c r="AH78" s="74">
        <v>150</v>
      </c>
      <c r="AI78" s="78">
        <v>4.0000000000000002E-4</v>
      </c>
    </row>
    <row r="79" spans="1:35" x14ac:dyDescent="0.2">
      <c r="A79" s="74" t="s">
        <v>619</v>
      </c>
      <c r="B79" s="74" t="s">
        <v>527</v>
      </c>
      <c r="C79" s="74">
        <v>0.99971699999999997</v>
      </c>
      <c r="D79" s="74">
        <v>0</v>
      </c>
      <c r="E79" s="74">
        <v>11</v>
      </c>
      <c r="F79" s="74">
        <v>13</v>
      </c>
      <c r="G79" s="74">
        <v>0</v>
      </c>
      <c r="H79" s="74">
        <v>0</v>
      </c>
      <c r="I79" s="74">
        <v>0</v>
      </c>
      <c r="J79" s="74">
        <v>0</v>
      </c>
      <c r="K79" s="74">
        <v>15</v>
      </c>
      <c r="L79" s="74">
        <v>11</v>
      </c>
      <c r="M79" s="74">
        <v>0</v>
      </c>
      <c r="N79" s="74">
        <v>12</v>
      </c>
      <c r="O79" s="74">
        <v>14</v>
      </c>
      <c r="P79" s="74">
        <v>0</v>
      </c>
      <c r="Q79" s="74">
        <v>0</v>
      </c>
      <c r="R79" s="74">
        <v>11</v>
      </c>
      <c r="S79" s="74">
        <v>0</v>
      </c>
      <c r="T79" s="74">
        <v>0</v>
      </c>
      <c r="U79" s="74">
        <v>0</v>
      </c>
      <c r="V79" s="74">
        <v>0</v>
      </c>
      <c r="W79" s="74">
        <v>0</v>
      </c>
      <c r="X79" s="74">
        <v>0</v>
      </c>
      <c r="Y79" s="74">
        <v>0</v>
      </c>
      <c r="Z79" s="74">
        <v>25</v>
      </c>
      <c r="AA79" s="74">
        <v>0</v>
      </c>
      <c r="AB79" s="74">
        <v>0</v>
      </c>
      <c r="AC79" s="74">
        <v>0</v>
      </c>
      <c r="AD79" s="74">
        <v>11</v>
      </c>
      <c r="AE79" s="74">
        <v>11</v>
      </c>
      <c r="AF79" s="74">
        <v>14</v>
      </c>
      <c r="AG79" s="74">
        <v>0</v>
      </c>
      <c r="AH79" s="74">
        <v>148</v>
      </c>
      <c r="AI79" s="78">
        <v>4.0000000000000002E-4</v>
      </c>
    </row>
    <row r="80" spans="1:35" x14ac:dyDescent="0.2">
      <c r="A80" s="74" t="s">
        <v>620</v>
      </c>
      <c r="B80" s="74" t="s">
        <v>621</v>
      </c>
      <c r="C80" s="74">
        <v>0.99964699999999995</v>
      </c>
      <c r="D80" s="74">
        <v>0</v>
      </c>
      <c r="E80" s="74">
        <v>7</v>
      </c>
      <c r="F80" s="74">
        <v>0</v>
      </c>
      <c r="G80" s="74">
        <v>0</v>
      </c>
      <c r="H80" s="74">
        <v>0</v>
      </c>
      <c r="I80" s="74">
        <v>0</v>
      </c>
      <c r="J80" s="74">
        <v>0</v>
      </c>
      <c r="K80" s="74">
        <v>0</v>
      </c>
      <c r="L80" s="74">
        <v>0</v>
      </c>
      <c r="M80" s="74">
        <v>0</v>
      </c>
      <c r="N80" s="74">
        <v>0</v>
      </c>
      <c r="O80" s="74">
        <v>0</v>
      </c>
      <c r="P80" s="74">
        <v>15</v>
      </c>
      <c r="Q80" s="74">
        <v>0</v>
      </c>
      <c r="R80" s="74">
        <v>0</v>
      </c>
      <c r="S80" s="74">
        <v>0</v>
      </c>
      <c r="T80" s="74">
        <v>0</v>
      </c>
      <c r="U80" s="74">
        <v>0</v>
      </c>
      <c r="V80" s="74">
        <v>0</v>
      </c>
      <c r="W80" s="74">
        <v>125</v>
      </c>
      <c r="X80" s="74">
        <v>0</v>
      </c>
      <c r="Y80" s="74">
        <v>0</v>
      </c>
      <c r="Z80" s="74">
        <v>0</v>
      </c>
      <c r="AA80" s="74">
        <v>0</v>
      </c>
      <c r="AB80" s="74">
        <v>0</v>
      </c>
      <c r="AC80" s="74">
        <v>0</v>
      </c>
      <c r="AD80" s="74">
        <v>0</v>
      </c>
      <c r="AE80" s="74">
        <v>0</v>
      </c>
      <c r="AF80" s="74">
        <v>0</v>
      </c>
      <c r="AG80" s="74">
        <v>0</v>
      </c>
      <c r="AH80" s="74">
        <v>147</v>
      </c>
      <c r="AI80" s="78">
        <v>4.0000000000000002E-4</v>
      </c>
    </row>
    <row r="81" spans="1:35" x14ac:dyDescent="0.2">
      <c r="A81" s="74" t="s">
        <v>622</v>
      </c>
      <c r="B81" s="74" t="s">
        <v>623</v>
      </c>
      <c r="C81" s="74">
        <v>0.94350699999999998</v>
      </c>
      <c r="D81" s="74">
        <v>0</v>
      </c>
      <c r="E81" s="74">
        <v>0</v>
      </c>
      <c r="F81" s="74">
        <v>0</v>
      </c>
      <c r="G81" s="74">
        <v>0</v>
      </c>
      <c r="H81" s="74">
        <v>0</v>
      </c>
      <c r="I81" s="74">
        <v>0</v>
      </c>
      <c r="J81" s="74">
        <v>119</v>
      </c>
      <c r="K81" s="74">
        <v>0</v>
      </c>
      <c r="L81" s="74">
        <v>0</v>
      </c>
      <c r="M81" s="74">
        <v>0</v>
      </c>
      <c r="N81" s="74">
        <v>0</v>
      </c>
      <c r="O81" s="74">
        <v>0</v>
      </c>
      <c r="P81" s="74">
        <v>0</v>
      </c>
      <c r="Q81" s="74">
        <v>0</v>
      </c>
      <c r="R81" s="74">
        <v>0</v>
      </c>
      <c r="S81" s="74">
        <v>0</v>
      </c>
      <c r="T81" s="74">
        <v>0</v>
      </c>
      <c r="U81" s="74">
        <v>0</v>
      </c>
      <c r="V81" s="74">
        <v>24</v>
      </c>
      <c r="W81" s="74">
        <v>0</v>
      </c>
      <c r="X81" s="74">
        <v>0</v>
      </c>
      <c r="Y81" s="74">
        <v>0</v>
      </c>
      <c r="Z81" s="74">
        <v>0</v>
      </c>
      <c r="AA81" s="74">
        <v>0</v>
      </c>
      <c r="AB81" s="74">
        <v>0</v>
      </c>
      <c r="AC81" s="74">
        <v>0</v>
      </c>
      <c r="AD81" s="74">
        <v>0</v>
      </c>
      <c r="AE81" s="74">
        <v>0</v>
      </c>
      <c r="AF81" s="74">
        <v>0</v>
      </c>
      <c r="AG81" s="74">
        <v>0</v>
      </c>
      <c r="AH81" s="74">
        <v>143</v>
      </c>
      <c r="AI81" s="78">
        <v>4.0000000000000002E-4</v>
      </c>
    </row>
    <row r="82" spans="1:35" x14ac:dyDescent="0.2">
      <c r="A82" s="74" t="s">
        <v>624</v>
      </c>
      <c r="B82" s="74" t="s">
        <v>534</v>
      </c>
      <c r="C82" s="74">
        <v>0.88718600000000003</v>
      </c>
      <c r="D82" s="74">
        <v>0</v>
      </c>
      <c r="E82" s="74">
        <v>0</v>
      </c>
      <c r="F82" s="74">
        <v>0</v>
      </c>
      <c r="G82" s="74">
        <v>0</v>
      </c>
      <c r="H82" s="74">
        <v>0</v>
      </c>
      <c r="I82" s="74">
        <v>0</v>
      </c>
      <c r="J82" s="74">
        <v>0</v>
      </c>
      <c r="K82" s="74">
        <v>0</v>
      </c>
      <c r="L82" s="74">
        <v>0</v>
      </c>
      <c r="M82" s="74">
        <v>0</v>
      </c>
      <c r="N82" s="74">
        <v>0</v>
      </c>
      <c r="O82" s="74">
        <v>0</v>
      </c>
      <c r="P82" s="74">
        <v>103</v>
      </c>
      <c r="Q82" s="74">
        <v>0</v>
      </c>
      <c r="R82" s="74">
        <v>0</v>
      </c>
      <c r="S82" s="74">
        <v>0</v>
      </c>
      <c r="T82" s="74">
        <v>0</v>
      </c>
      <c r="U82" s="74">
        <v>0</v>
      </c>
      <c r="V82" s="74">
        <v>0</v>
      </c>
      <c r="W82" s="74">
        <v>0</v>
      </c>
      <c r="X82" s="74">
        <v>0</v>
      </c>
      <c r="Y82" s="74">
        <v>0</v>
      </c>
      <c r="Z82" s="74">
        <v>0</v>
      </c>
      <c r="AA82" s="74">
        <v>0</v>
      </c>
      <c r="AB82" s="74">
        <v>0</v>
      </c>
      <c r="AC82" s="74">
        <v>0</v>
      </c>
      <c r="AD82" s="74">
        <v>34</v>
      </c>
      <c r="AE82" s="74">
        <v>0</v>
      </c>
      <c r="AF82" s="74">
        <v>0</v>
      </c>
      <c r="AG82" s="74">
        <v>0</v>
      </c>
      <c r="AH82" s="74">
        <v>137</v>
      </c>
      <c r="AI82" s="78">
        <v>4.0000000000000002E-4</v>
      </c>
    </row>
    <row r="83" spans="1:35" x14ac:dyDescent="0.2">
      <c r="A83" s="74" t="s">
        <v>625</v>
      </c>
      <c r="B83" s="74" t="s">
        <v>626</v>
      </c>
      <c r="C83" s="74">
        <v>0.88061800000000001</v>
      </c>
      <c r="D83" s="74">
        <v>0</v>
      </c>
      <c r="E83" s="74">
        <v>0</v>
      </c>
      <c r="F83" s="74">
        <v>15</v>
      </c>
      <c r="G83" s="74">
        <v>0</v>
      </c>
      <c r="H83" s="74">
        <v>0</v>
      </c>
      <c r="I83" s="74">
        <v>0</v>
      </c>
      <c r="J83" s="74">
        <v>0</v>
      </c>
      <c r="K83" s="74">
        <v>0</v>
      </c>
      <c r="L83" s="74">
        <v>0</v>
      </c>
      <c r="M83" s="74">
        <v>0</v>
      </c>
      <c r="N83" s="74">
        <v>10</v>
      </c>
      <c r="O83" s="74">
        <v>0</v>
      </c>
      <c r="P83" s="74">
        <v>0</v>
      </c>
      <c r="Q83" s="74">
        <v>0</v>
      </c>
      <c r="R83" s="74">
        <v>0</v>
      </c>
      <c r="S83" s="74">
        <v>14</v>
      </c>
      <c r="T83" s="74">
        <v>0</v>
      </c>
      <c r="U83" s="74">
        <v>0</v>
      </c>
      <c r="V83" s="74">
        <v>0</v>
      </c>
      <c r="W83" s="74">
        <v>0</v>
      </c>
      <c r="X83" s="74">
        <v>9</v>
      </c>
      <c r="Y83" s="74">
        <v>10</v>
      </c>
      <c r="Z83" s="74">
        <v>0</v>
      </c>
      <c r="AA83" s="74">
        <v>12</v>
      </c>
      <c r="AB83" s="74">
        <v>12</v>
      </c>
      <c r="AC83" s="74">
        <v>0</v>
      </c>
      <c r="AD83" s="74">
        <v>0</v>
      </c>
      <c r="AE83" s="74">
        <v>20</v>
      </c>
      <c r="AF83" s="74">
        <v>19</v>
      </c>
      <c r="AG83" s="74">
        <v>0</v>
      </c>
      <c r="AH83" s="74">
        <v>121</v>
      </c>
      <c r="AI83" s="78">
        <v>4.0000000000000002E-4</v>
      </c>
    </row>
    <row r="84" spans="1:35" x14ac:dyDescent="0.2">
      <c r="A84" s="74" t="s">
        <v>627</v>
      </c>
      <c r="B84" s="74" t="s">
        <v>528</v>
      </c>
      <c r="C84" s="74">
        <v>0.920902</v>
      </c>
      <c r="D84" s="74">
        <v>0</v>
      </c>
      <c r="E84" s="74">
        <v>0</v>
      </c>
      <c r="F84" s="74">
        <v>29</v>
      </c>
      <c r="G84" s="74">
        <v>0</v>
      </c>
      <c r="H84" s="74">
        <v>0</v>
      </c>
      <c r="I84" s="74">
        <v>0</v>
      </c>
      <c r="J84" s="74">
        <v>0</v>
      </c>
      <c r="K84" s="74">
        <v>0</v>
      </c>
      <c r="L84" s="74">
        <v>0</v>
      </c>
      <c r="M84" s="74">
        <v>0</v>
      </c>
      <c r="N84" s="74">
        <v>11</v>
      </c>
      <c r="O84" s="74">
        <v>0</v>
      </c>
      <c r="P84" s="74">
        <v>0</v>
      </c>
      <c r="Q84" s="74">
        <v>0</v>
      </c>
      <c r="R84" s="74">
        <v>0</v>
      </c>
      <c r="S84" s="74">
        <v>14</v>
      </c>
      <c r="T84" s="74">
        <v>0</v>
      </c>
      <c r="U84" s="74">
        <v>0</v>
      </c>
      <c r="V84" s="74">
        <v>0</v>
      </c>
      <c r="W84" s="74">
        <v>0</v>
      </c>
      <c r="X84" s="74">
        <v>11</v>
      </c>
      <c r="Y84" s="74">
        <v>0</v>
      </c>
      <c r="Z84" s="74">
        <v>0</v>
      </c>
      <c r="AA84" s="74">
        <v>12</v>
      </c>
      <c r="AB84" s="74">
        <v>0</v>
      </c>
      <c r="AC84" s="74">
        <v>0</v>
      </c>
      <c r="AD84" s="74">
        <v>0</v>
      </c>
      <c r="AE84" s="74">
        <v>24</v>
      </c>
      <c r="AF84" s="74">
        <v>10</v>
      </c>
      <c r="AG84" s="74">
        <v>10</v>
      </c>
      <c r="AH84" s="74">
        <v>121</v>
      </c>
      <c r="AI84" s="78">
        <v>4.0000000000000002E-4</v>
      </c>
    </row>
    <row r="85" spans="1:35" x14ac:dyDescent="0.2">
      <c r="A85" s="74" t="s">
        <v>628</v>
      </c>
      <c r="B85" s="74" t="s">
        <v>534</v>
      </c>
      <c r="C85" s="74">
        <v>0.90698100000000004</v>
      </c>
      <c r="D85" s="74">
        <v>0</v>
      </c>
      <c r="E85" s="74">
        <v>29</v>
      </c>
      <c r="F85" s="74">
        <v>0</v>
      </c>
      <c r="G85" s="74">
        <v>0</v>
      </c>
      <c r="H85" s="74">
        <v>0</v>
      </c>
      <c r="I85" s="74">
        <v>0</v>
      </c>
      <c r="J85" s="74">
        <v>0</v>
      </c>
      <c r="K85" s="74">
        <v>0</v>
      </c>
      <c r="L85" s="74">
        <v>20</v>
      </c>
      <c r="M85" s="74">
        <v>0</v>
      </c>
      <c r="N85" s="74">
        <v>21</v>
      </c>
      <c r="O85" s="74">
        <v>44</v>
      </c>
      <c r="P85" s="74">
        <v>0</v>
      </c>
      <c r="Q85" s="74">
        <v>0</v>
      </c>
      <c r="R85" s="74">
        <v>0</v>
      </c>
      <c r="S85" s="74">
        <v>0</v>
      </c>
      <c r="T85" s="74">
        <v>0</v>
      </c>
      <c r="U85" s="74">
        <v>0</v>
      </c>
      <c r="V85" s="74">
        <v>0</v>
      </c>
      <c r="W85" s="74">
        <v>0</v>
      </c>
      <c r="X85" s="74">
        <v>0</v>
      </c>
      <c r="Y85" s="74">
        <v>0</v>
      </c>
      <c r="Z85" s="74">
        <v>0</v>
      </c>
      <c r="AA85" s="74">
        <v>0</v>
      </c>
      <c r="AB85" s="74">
        <v>0</v>
      </c>
      <c r="AC85" s="74">
        <v>0</v>
      </c>
      <c r="AD85" s="74">
        <v>0</v>
      </c>
      <c r="AE85" s="74">
        <v>0</v>
      </c>
      <c r="AF85" s="74">
        <v>0</v>
      </c>
      <c r="AG85" s="74">
        <v>0</v>
      </c>
      <c r="AH85" s="74">
        <v>114</v>
      </c>
      <c r="AI85" s="78">
        <v>2.9999999999999997E-4</v>
      </c>
    </row>
    <row r="86" spans="1:35" x14ac:dyDescent="0.2">
      <c r="A86" s="74" t="s">
        <v>629</v>
      </c>
      <c r="B86" s="74" t="s">
        <v>538</v>
      </c>
      <c r="C86" s="74">
        <v>0.84992299999999998</v>
      </c>
      <c r="D86" s="74">
        <v>0</v>
      </c>
      <c r="E86" s="74">
        <v>0</v>
      </c>
      <c r="F86" s="74">
        <v>0</v>
      </c>
      <c r="G86" s="74">
        <v>0</v>
      </c>
      <c r="H86" s="74">
        <v>0</v>
      </c>
      <c r="I86" s="74">
        <v>0</v>
      </c>
      <c r="J86" s="74">
        <v>0</v>
      </c>
      <c r="K86" s="74">
        <v>0</v>
      </c>
      <c r="L86" s="74">
        <v>0</v>
      </c>
      <c r="M86" s="74">
        <v>0</v>
      </c>
      <c r="N86" s="74">
        <v>0</v>
      </c>
      <c r="O86" s="74">
        <v>0</v>
      </c>
      <c r="P86" s="74">
        <v>0</v>
      </c>
      <c r="Q86" s="74">
        <v>0</v>
      </c>
      <c r="R86" s="74">
        <v>0</v>
      </c>
      <c r="S86" s="74">
        <v>0</v>
      </c>
      <c r="T86" s="74">
        <v>78</v>
      </c>
      <c r="U86" s="74">
        <v>0</v>
      </c>
      <c r="V86" s="74">
        <v>34</v>
      </c>
      <c r="W86" s="74">
        <v>0</v>
      </c>
      <c r="X86" s="74">
        <v>0</v>
      </c>
      <c r="Y86" s="74">
        <v>0</v>
      </c>
      <c r="Z86" s="74">
        <v>0</v>
      </c>
      <c r="AA86" s="74">
        <v>0</v>
      </c>
      <c r="AB86" s="74">
        <v>0</v>
      </c>
      <c r="AC86" s="74">
        <v>0</v>
      </c>
      <c r="AD86" s="74">
        <v>0</v>
      </c>
      <c r="AE86" s="74">
        <v>0</v>
      </c>
      <c r="AF86" s="74">
        <v>0</v>
      </c>
      <c r="AG86" s="74">
        <v>0</v>
      </c>
      <c r="AH86" s="74">
        <v>112</v>
      </c>
      <c r="AI86" s="78">
        <v>2.9999999999999997E-4</v>
      </c>
    </row>
    <row r="87" spans="1:35" x14ac:dyDescent="0.2">
      <c r="A87" s="74" t="s">
        <v>630</v>
      </c>
      <c r="B87" s="74" t="s">
        <v>538</v>
      </c>
      <c r="C87" s="74">
        <v>0.84165800000000002</v>
      </c>
      <c r="D87" s="74">
        <v>12</v>
      </c>
      <c r="E87" s="74">
        <v>0</v>
      </c>
      <c r="F87" s="74">
        <v>0</v>
      </c>
      <c r="G87" s="74">
        <v>0</v>
      </c>
      <c r="H87" s="74">
        <v>0</v>
      </c>
      <c r="I87" s="74">
        <v>0</v>
      </c>
      <c r="J87" s="74">
        <v>0</v>
      </c>
      <c r="K87" s="74">
        <v>0</v>
      </c>
      <c r="L87" s="74">
        <v>0</v>
      </c>
      <c r="M87" s="74">
        <v>0</v>
      </c>
      <c r="N87" s="74">
        <v>0</v>
      </c>
      <c r="O87" s="74">
        <v>0</v>
      </c>
      <c r="P87" s="74">
        <v>0</v>
      </c>
      <c r="Q87" s="74">
        <v>5</v>
      </c>
      <c r="R87" s="74">
        <v>0</v>
      </c>
      <c r="S87" s="74">
        <v>0</v>
      </c>
      <c r="T87" s="74">
        <v>93</v>
      </c>
      <c r="U87" s="74">
        <v>0</v>
      </c>
      <c r="V87" s="74">
        <v>0</v>
      </c>
      <c r="W87" s="74">
        <v>0</v>
      </c>
      <c r="X87" s="74">
        <v>0</v>
      </c>
      <c r="Y87" s="74">
        <v>0</v>
      </c>
      <c r="Z87" s="74">
        <v>0</v>
      </c>
      <c r="AA87" s="74">
        <v>0</v>
      </c>
      <c r="AB87" s="74">
        <v>0</v>
      </c>
      <c r="AC87" s="74">
        <v>0</v>
      </c>
      <c r="AD87" s="74">
        <v>0</v>
      </c>
      <c r="AE87" s="74">
        <v>0</v>
      </c>
      <c r="AF87" s="74">
        <v>0</v>
      </c>
      <c r="AG87" s="74">
        <v>0</v>
      </c>
      <c r="AH87" s="74">
        <v>110</v>
      </c>
      <c r="AI87" s="78">
        <v>2.9999999999999997E-4</v>
      </c>
    </row>
    <row r="88" spans="1:35" x14ac:dyDescent="0.2">
      <c r="A88" s="74" t="s">
        <v>631</v>
      </c>
      <c r="B88" s="74" t="s">
        <v>534</v>
      </c>
      <c r="C88" s="74">
        <v>0.91245299999999996</v>
      </c>
      <c r="D88" s="74">
        <v>0</v>
      </c>
      <c r="E88" s="74">
        <v>0</v>
      </c>
      <c r="F88" s="74">
        <v>0</v>
      </c>
      <c r="G88" s="74">
        <v>0</v>
      </c>
      <c r="H88" s="74">
        <v>0</v>
      </c>
      <c r="I88" s="74">
        <v>0</v>
      </c>
      <c r="J88" s="74">
        <v>0</v>
      </c>
      <c r="K88" s="74">
        <v>0</v>
      </c>
      <c r="L88" s="74">
        <v>0</v>
      </c>
      <c r="M88" s="74">
        <v>0</v>
      </c>
      <c r="N88" s="74">
        <v>0</v>
      </c>
      <c r="O88" s="74">
        <v>0</v>
      </c>
      <c r="P88" s="74">
        <v>78</v>
      </c>
      <c r="Q88" s="74">
        <v>0</v>
      </c>
      <c r="R88" s="74">
        <v>0</v>
      </c>
      <c r="S88" s="74">
        <v>0</v>
      </c>
      <c r="T88" s="74">
        <v>0</v>
      </c>
      <c r="U88" s="74">
        <v>0</v>
      </c>
      <c r="V88" s="74">
        <v>0</v>
      </c>
      <c r="W88" s="74">
        <v>0</v>
      </c>
      <c r="X88" s="74">
        <v>0</v>
      </c>
      <c r="Y88" s="74">
        <v>0</v>
      </c>
      <c r="Z88" s="74">
        <v>0</v>
      </c>
      <c r="AA88" s="74">
        <v>0</v>
      </c>
      <c r="AB88" s="74">
        <v>0</v>
      </c>
      <c r="AC88" s="74">
        <v>0</v>
      </c>
      <c r="AD88" s="74">
        <v>30</v>
      </c>
      <c r="AE88" s="74">
        <v>0</v>
      </c>
      <c r="AF88" s="74">
        <v>0</v>
      </c>
      <c r="AG88" s="74">
        <v>0</v>
      </c>
      <c r="AH88" s="74">
        <v>108</v>
      </c>
      <c r="AI88" s="78">
        <v>2.9999999999999997E-4</v>
      </c>
    </row>
    <row r="89" spans="1:35" x14ac:dyDescent="0.2">
      <c r="A89" s="74" t="s">
        <v>632</v>
      </c>
      <c r="B89" s="74" t="s">
        <v>532</v>
      </c>
      <c r="C89" s="74">
        <v>0.99588699999999997</v>
      </c>
      <c r="D89" s="74">
        <v>0</v>
      </c>
      <c r="E89" s="74">
        <v>0</v>
      </c>
      <c r="F89" s="74">
        <v>10</v>
      </c>
      <c r="G89" s="74">
        <v>0</v>
      </c>
      <c r="H89" s="74">
        <v>0</v>
      </c>
      <c r="I89" s="74">
        <v>0</v>
      </c>
      <c r="J89" s="74">
        <v>0</v>
      </c>
      <c r="K89" s="74">
        <v>0</v>
      </c>
      <c r="L89" s="74">
        <v>0</v>
      </c>
      <c r="M89" s="74">
        <v>0</v>
      </c>
      <c r="N89" s="74">
        <v>0</v>
      </c>
      <c r="O89" s="74">
        <v>0</v>
      </c>
      <c r="P89" s="74">
        <v>0</v>
      </c>
      <c r="Q89" s="74">
        <v>29</v>
      </c>
      <c r="R89" s="74">
        <v>13</v>
      </c>
      <c r="S89" s="74">
        <v>0</v>
      </c>
      <c r="T89" s="74">
        <v>0</v>
      </c>
      <c r="U89" s="74">
        <v>0</v>
      </c>
      <c r="V89" s="74">
        <v>0</v>
      </c>
      <c r="W89" s="74">
        <v>0</v>
      </c>
      <c r="X89" s="74">
        <v>0</v>
      </c>
      <c r="Y89" s="74">
        <v>15</v>
      </c>
      <c r="Z89" s="74">
        <v>0</v>
      </c>
      <c r="AA89" s="74">
        <v>9</v>
      </c>
      <c r="AB89" s="74">
        <v>0</v>
      </c>
      <c r="AC89" s="74">
        <v>11</v>
      </c>
      <c r="AD89" s="74">
        <v>0</v>
      </c>
      <c r="AE89" s="74">
        <v>10</v>
      </c>
      <c r="AF89" s="74">
        <v>9</v>
      </c>
      <c r="AG89" s="74">
        <v>0</v>
      </c>
      <c r="AH89" s="74">
        <v>106</v>
      </c>
      <c r="AI89" s="78">
        <v>2.9999999999999997E-4</v>
      </c>
    </row>
    <row r="90" spans="1:35" x14ac:dyDescent="0.2">
      <c r="A90" s="74" t="s">
        <v>633</v>
      </c>
      <c r="B90" s="74" t="s">
        <v>530</v>
      </c>
      <c r="C90" s="74">
        <v>0.78212899999999996</v>
      </c>
      <c r="D90" s="74">
        <v>32</v>
      </c>
      <c r="E90" s="74">
        <v>0</v>
      </c>
      <c r="F90" s="74">
        <v>0</v>
      </c>
      <c r="G90" s="74">
        <v>0</v>
      </c>
      <c r="H90" s="74">
        <v>0</v>
      </c>
      <c r="I90" s="74">
        <v>0</v>
      </c>
      <c r="J90" s="74">
        <v>0</v>
      </c>
      <c r="K90" s="74">
        <v>0</v>
      </c>
      <c r="L90" s="74">
        <v>0</v>
      </c>
      <c r="M90" s="74">
        <v>0</v>
      </c>
      <c r="N90" s="74">
        <v>0</v>
      </c>
      <c r="O90" s="74">
        <v>21</v>
      </c>
      <c r="P90" s="74">
        <v>0</v>
      </c>
      <c r="Q90" s="74">
        <v>0</v>
      </c>
      <c r="R90" s="74">
        <v>0</v>
      </c>
      <c r="S90" s="74">
        <v>0</v>
      </c>
      <c r="T90" s="74">
        <v>0</v>
      </c>
      <c r="U90" s="74">
        <v>23</v>
      </c>
      <c r="V90" s="74">
        <v>16</v>
      </c>
      <c r="W90" s="74">
        <v>12</v>
      </c>
      <c r="X90" s="74">
        <v>0</v>
      </c>
      <c r="Y90" s="74">
        <v>0</v>
      </c>
      <c r="Z90" s="74">
        <v>0</v>
      </c>
      <c r="AA90" s="74">
        <v>0</v>
      </c>
      <c r="AB90" s="74">
        <v>0</v>
      </c>
      <c r="AC90" s="74">
        <v>0</v>
      </c>
      <c r="AD90" s="74">
        <v>0</v>
      </c>
      <c r="AE90" s="74">
        <v>0</v>
      </c>
      <c r="AF90" s="74">
        <v>0</v>
      </c>
      <c r="AG90" s="74">
        <v>0</v>
      </c>
      <c r="AH90" s="74">
        <v>104</v>
      </c>
      <c r="AI90" s="78">
        <v>2.9999999999999997E-4</v>
      </c>
    </row>
    <row r="91" spans="1:35" x14ac:dyDescent="0.2">
      <c r="A91" s="74" t="s">
        <v>634</v>
      </c>
      <c r="B91" s="74" t="s">
        <v>543</v>
      </c>
      <c r="C91" s="74">
        <v>0.99192199999999997</v>
      </c>
      <c r="D91" s="74">
        <v>0</v>
      </c>
      <c r="E91" s="74">
        <v>0</v>
      </c>
      <c r="F91" s="74">
        <v>0</v>
      </c>
      <c r="G91" s="74">
        <v>0</v>
      </c>
      <c r="H91" s="74">
        <v>0</v>
      </c>
      <c r="I91" s="74">
        <v>0</v>
      </c>
      <c r="J91" s="74">
        <v>0</v>
      </c>
      <c r="K91" s="74">
        <v>0</v>
      </c>
      <c r="L91" s="74">
        <v>0</v>
      </c>
      <c r="M91" s="74">
        <v>0</v>
      </c>
      <c r="N91" s="74">
        <v>0</v>
      </c>
      <c r="O91" s="74">
        <v>0</v>
      </c>
      <c r="P91" s="74">
        <v>10</v>
      </c>
      <c r="Q91" s="74">
        <v>0</v>
      </c>
      <c r="R91" s="74">
        <v>0</v>
      </c>
      <c r="S91" s="74">
        <v>0</v>
      </c>
      <c r="T91" s="74">
        <v>0</v>
      </c>
      <c r="U91" s="74">
        <v>22</v>
      </c>
      <c r="V91" s="74">
        <v>21</v>
      </c>
      <c r="W91" s="74">
        <v>0</v>
      </c>
      <c r="X91" s="74">
        <v>0</v>
      </c>
      <c r="Y91" s="74">
        <v>0</v>
      </c>
      <c r="Z91" s="74">
        <v>0</v>
      </c>
      <c r="AA91" s="74">
        <v>0</v>
      </c>
      <c r="AB91" s="74">
        <v>0</v>
      </c>
      <c r="AC91" s="74">
        <v>0</v>
      </c>
      <c r="AD91" s="74">
        <v>47</v>
      </c>
      <c r="AE91" s="74">
        <v>0</v>
      </c>
      <c r="AF91" s="74">
        <v>0</v>
      </c>
      <c r="AG91" s="74">
        <v>0</v>
      </c>
      <c r="AH91" s="74">
        <v>100</v>
      </c>
      <c r="AI91" s="78">
        <v>2.9999999999999997E-4</v>
      </c>
    </row>
    <row r="92" spans="1:35" x14ac:dyDescent="0.2">
      <c r="A92" s="74" t="s">
        <v>635</v>
      </c>
      <c r="B92" s="74" t="s">
        <v>548</v>
      </c>
      <c r="C92" s="74">
        <v>0.99237200000000003</v>
      </c>
      <c r="D92" s="74">
        <v>0</v>
      </c>
      <c r="E92" s="74">
        <v>0</v>
      </c>
      <c r="F92" s="74">
        <v>0</v>
      </c>
      <c r="G92" s="74">
        <v>9</v>
      </c>
      <c r="H92" s="74">
        <v>0</v>
      </c>
      <c r="I92" s="74">
        <v>20</v>
      </c>
      <c r="J92" s="74">
        <v>70</v>
      </c>
      <c r="K92" s="74">
        <v>0</v>
      </c>
      <c r="L92" s="74">
        <v>0</v>
      </c>
      <c r="M92" s="74">
        <v>0</v>
      </c>
      <c r="N92" s="74">
        <v>0</v>
      </c>
      <c r="O92" s="74">
        <v>0</v>
      </c>
      <c r="P92" s="74">
        <v>0</v>
      </c>
      <c r="Q92" s="74">
        <v>0</v>
      </c>
      <c r="R92" s="74">
        <v>0</v>
      </c>
      <c r="S92" s="74">
        <v>0</v>
      </c>
      <c r="T92" s="74">
        <v>0</v>
      </c>
      <c r="U92" s="74">
        <v>0</v>
      </c>
      <c r="V92" s="74">
        <v>0</v>
      </c>
      <c r="W92" s="74">
        <v>0</v>
      </c>
      <c r="X92" s="74">
        <v>0</v>
      </c>
      <c r="Y92" s="74">
        <v>0</v>
      </c>
      <c r="Z92" s="74">
        <v>0</v>
      </c>
      <c r="AA92" s="74">
        <v>0</v>
      </c>
      <c r="AB92" s="74">
        <v>0</v>
      </c>
      <c r="AC92" s="74">
        <v>0</v>
      </c>
      <c r="AD92" s="74">
        <v>0</v>
      </c>
      <c r="AE92" s="74">
        <v>0</v>
      </c>
      <c r="AF92" s="74">
        <v>0</v>
      </c>
      <c r="AG92" s="74">
        <v>0</v>
      </c>
      <c r="AH92" s="74">
        <v>99</v>
      </c>
      <c r="AI92" s="78">
        <v>2.9999999999999997E-4</v>
      </c>
    </row>
    <row r="93" spans="1:35" x14ac:dyDescent="0.2">
      <c r="A93" s="74" t="s">
        <v>636</v>
      </c>
      <c r="B93" s="74" t="s">
        <v>530</v>
      </c>
      <c r="C93" s="74">
        <v>0.773922</v>
      </c>
      <c r="D93" s="74">
        <v>42</v>
      </c>
      <c r="E93" s="74">
        <v>0</v>
      </c>
      <c r="F93" s="74">
        <v>0</v>
      </c>
      <c r="G93" s="74">
        <v>0</v>
      </c>
      <c r="H93" s="74">
        <v>0</v>
      </c>
      <c r="I93" s="74">
        <v>0</v>
      </c>
      <c r="J93" s="74">
        <v>0</v>
      </c>
      <c r="K93" s="74">
        <v>0</v>
      </c>
      <c r="L93" s="74">
        <v>0</v>
      </c>
      <c r="M93" s="74">
        <v>0</v>
      </c>
      <c r="N93" s="74">
        <v>0</v>
      </c>
      <c r="O93" s="74">
        <v>18</v>
      </c>
      <c r="P93" s="74">
        <v>0</v>
      </c>
      <c r="Q93" s="74">
        <v>0</v>
      </c>
      <c r="R93" s="74">
        <v>0</v>
      </c>
      <c r="S93" s="74">
        <v>0</v>
      </c>
      <c r="T93" s="74">
        <v>0</v>
      </c>
      <c r="U93" s="74">
        <v>22</v>
      </c>
      <c r="V93" s="74">
        <v>0</v>
      </c>
      <c r="W93" s="74">
        <v>17</v>
      </c>
      <c r="X93" s="74">
        <v>0</v>
      </c>
      <c r="Y93" s="74">
        <v>0</v>
      </c>
      <c r="Z93" s="74">
        <v>0</v>
      </c>
      <c r="AA93" s="74">
        <v>0</v>
      </c>
      <c r="AB93" s="74">
        <v>0</v>
      </c>
      <c r="AC93" s="74">
        <v>0</v>
      </c>
      <c r="AD93" s="74">
        <v>0</v>
      </c>
      <c r="AE93" s="74">
        <v>0</v>
      </c>
      <c r="AF93" s="74">
        <v>0</v>
      </c>
      <c r="AG93" s="74">
        <v>0</v>
      </c>
      <c r="AH93" s="74">
        <v>99</v>
      </c>
      <c r="AI93" s="78">
        <v>2.9999999999999997E-4</v>
      </c>
    </row>
    <row r="94" spans="1:35" x14ac:dyDescent="0.2">
      <c r="A94" s="74" t="s">
        <v>637</v>
      </c>
      <c r="B94" s="74" t="s">
        <v>532</v>
      </c>
      <c r="C94" s="74">
        <v>0.99511300000000003</v>
      </c>
      <c r="D94" s="74">
        <v>0</v>
      </c>
      <c r="E94" s="74">
        <v>0</v>
      </c>
      <c r="F94" s="74">
        <v>19</v>
      </c>
      <c r="G94" s="74">
        <v>0</v>
      </c>
      <c r="H94" s="74">
        <v>0</v>
      </c>
      <c r="I94" s="74">
        <v>0</v>
      </c>
      <c r="J94" s="74">
        <v>0</v>
      </c>
      <c r="K94" s="74">
        <v>0</v>
      </c>
      <c r="L94" s="74">
        <v>0</v>
      </c>
      <c r="M94" s="74">
        <v>0</v>
      </c>
      <c r="N94" s="74">
        <v>0</v>
      </c>
      <c r="O94" s="74">
        <v>0</v>
      </c>
      <c r="P94" s="74">
        <v>0</v>
      </c>
      <c r="Q94" s="74">
        <v>15</v>
      </c>
      <c r="R94" s="74">
        <v>0</v>
      </c>
      <c r="S94" s="74">
        <v>0</v>
      </c>
      <c r="T94" s="74">
        <v>0</v>
      </c>
      <c r="U94" s="74">
        <v>0</v>
      </c>
      <c r="V94" s="74">
        <v>0</v>
      </c>
      <c r="W94" s="74">
        <v>0</v>
      </c>
      <c r="X94" s="74">
        <v>0</v>
      </c>
      <c r="Y94" s="74">
        <v>0</v>
      </c>
      <c r="Z94" s="74">
        <v>0</v>
      </c>
      <c r="AA94" s="74">
        <v>22</v>
      </c>
      <c r="AB94" s="74">
        <v>0</v>
      </c>
      <c r="AC94" s="74">
        <v>10</v>
      </c>
      <c r="AD94" s="74">
        <v>0</v>
      </c>
      <c r="AE94" s="74">
        <v>10</v>
      </c>
      <c r="AF94" s="74">
        <v>12</v>
      </c>
      <c r="AG94" s="74">
        <v>0</v>
      </c>
      <c r="AH94" s="74">
        <v>88</v>
      </c>
      <c r="AI94" s="78">
        <v>2.9999999999999997E-4</v>
      </c>
    </row>
    <row r="95" spans="1:35" x14ac:dyDescent="0.2">
      <c r="A95" s="74" t="s">
        <v>638</v>
      </c>
      <c r="B95" s="74" t="s">
        <v>527</v>
      </c>
      <c r="C95" s="74">
        <v>0.99930399999999997</v>
      </c>
      <c r="D95" s="74">
        <v>0</v>
      </c>
      <c r="E95" s="74">
        <v>0</v>
      </c>
      <c r="F95" s="74">
        <v>0</v>
      </c>
      <c r="G95" s="74">
        <v>0</v>
      </c>
      <c r="H95" s="74">
        <v>0</v>
      </c>
      <c r="I95" s="74">
        <v>0</v>
      </c>
      <c r="J95" s="74">
        <v>0</v>
      </c>
      <c r="K95" s="74">
        <v>18</v>
      </c>
      <c r="L95" s="74">
        <v>0</v>
      </c>
      <c r="M95" s="74">
        <v>15</v>
      </c>
      <c r="N95" s="74">
        <v>10</v>
      </c>
      <c r="O95" s="74">
        <v>0</v>
      </c>
      <c r="P95" s="74">
        <v>0</v>
      </c>
      <c r="Q95" s="74">
        <v>11</v>
      </c>
      <c r="R95" s="74">
        <v>0</v>
      </c>
      <c r="S95" s="74">
        <v>0</v>
      </c>
      <c r="T95" s="74">
        <v>0</v>
      </c>
      <c r="U95" s="74">
        <v>0</v>
      </c>
      <c r="V95" s="74">
        <v>0</v>
      </c>
      <c r="W95" s="74">
        <v>0</v>
      </c>
      <c r="X95" s="74">
        <v>0</v>
      </c>
      <c r="Y95" s="74">
        <v>0</v>
      </c>
      <c r="Z95" s="74">
        <v>0</v>
      </c>
      <c r="AA95" s="74">
        <v>0</v>
      </c>
      <c r="AB95" s="74">
        <v>0</v>
      </c>
      <c r="AC95" s="74">
        <v>0</v>
      </c>
      <c r="AD95" s="74">
        <v>0</v>
      </c>
      <c r="AE95" s="74">
        <v>11</v>
      </c>
      <c r="AF95" s="74">
        <v>12</v>
      </c>
      <c r="AG95" s="74">
        <v>10</v>
      </c>
      <c r="AH95" s="74">
        <v>87</v>
      </c>
      <c r="AI95" s="78">
        <v>2.9999999999999997E-4</v>
      </c>
    </row>
    <row r="96" spans="1:35" x14ac:dyDescent="0.2">
      <c r="A96" s="74" t="s">
        <v>639</v>
      </c>
      <c r="B96" s="74" t="s">
        <v>538</v>
      </c>
      <c r="C96" s="74">
        <v>0.75753199999999998</v>
      </c>
      <c r="D96" s="74">
        <v>31</v>
      </c>
      <c r="E96" s="74">
        <v>0</v>
      </c>
      <c r="F96" s="74">
        <v>0</v>
      </c>
      <c r="G96" s="74">
        <v>0</v>
      </c>
      <c r="H96" s="74">
        <v>0</v>
      </c>
      <c r="I96" s="74">
        <v>0</v>
      </c>
      <c r="J96" s="74">
        <v>0</v>
      </c>
      <c r="K96" s="74">
        <v>0</v>
      </c>
      <c r="L96" s="74">
        <v>0</v>
      </c>
      <c r="M96" s="74">
        <v>0</v>
      </c>
      <c r="N96" s="74">
        <v>0</v>
      </c>
      <c r="O96" s="74">
        <v>0</v>
      </c>
      <c r="P96" s="74">
        <v>36</v>
      </c>
      <c r="Q96" s="74">
        <v>0</v>
      </c>
      <c r="R96" s="74">
        <v>0</v>
      </c>
      <c r="S96" s="74">
        <v>0</v>
      </c>
      <c r="T96" s="74">
        <v>0</v>
      </c>
      <c r="U96" s="74">
        <v>0</v>
      </c>
      <c r="V96" s="74">
        <v>0</v>
      </c>
      <c r="W96" s="74">
        <v>16</v>
      </c>
      <c r="X96" s="74">
        <v>0</v>
      </c>
      <c r="Y96" s="74">
        <v>0</v>
      </c>
      <c r="Z96" s="74">
        <v>0</v>
      </c>
      <c r="AA96" s="74">
        <v>0</v>
      </c>
      <c r="AB96" s="74">
        <v>0</v>
      </c>
      <c r="AC96" s="74">
        <v>0</v>
      </c>
      <c r="AD96" s="74">
        <v>0</v>
      </c>
      <c r="AE96" s="74">
        <v>0</v>
      </c>
      <c r="AF96" s="74">
        <v>0</v>
      </c>
      <c r="AG96" s="74">
        <v>0</v>
      </c>
      <c r="AH96" s="74">
        <v>83</v>
      </c>
      <c r="AI96" s="78">
        <v>2.0000000000000001E-4</v>
      </c>
    </row>
    <row r="97" spans="1:35" x14ac:dyDescent="0.2">
      <c r="A97" s="74" t="s">
        <v>640</v>
      </c>
      <c r="B97" s="74" t="s">
        <v>538</v>
      </c>
      <c r="C97" s="74">
        <v>0.91475799999999996</v>
      </c>
      <c r="D97" s="74">
        <v>0</v>
      </c>
      <c r="E97" s="74">
        <v>22</v>
      </c>
      <c r="F97" s="74">
        <v>0</v>
      </c>
      <c r="G97" s="74">
        <v>0</v>
      </c>
      <c r="H97" s="74">
        <v>0</v>
      </c>
      <c r="I97" s="74">
        <v>0</v>
      </c>
      <c r="J97" s="74">
        <v>0</v>
      </c>
      <c r="K97" s="74">
        <v>0</v>
      </c>
      <c r="L97" s="74">
        <v>0</v>
      </c>
      <c r="M97" s="74">
        <v>0</v>
      </c>
      <c r="N97" s="74">
        <v>0</v>
      </c>
      <c r="O97" s="74">
        <v>0</v>
      </c>
      <c r="P97" s="74">
        <v>0</v>
      </c>
      <c r="Q97" s="74">
        <v>0</v>
      </c>
      <c r="R97" s="74">
        <v>0</v>
      </c>
      <c r="S97" s="74">
        <v>0</v>
      </c>
      <c r="T97" s="74">
        <v>0</v>
      </c>
      <c r="U97" s="74">
        <v>37</v>
      </c>
      <c r="V97" s="74">
        <v>9</v>
      </c>
      <c r="W97" s="74">
        <v>9</v>
      </c>
      <c r="X97" s="74">
        <v>0</v>
      </c>
      <c r="Y97" s="74">
        <v>0</v>
      </c>
      <c r="Z97" s="74">
        <v>0</v>
      </c>
      <c r="AA97" s="74">
        <v>0</v>
      </c>
      <c r="AB97" s="74">
        <v>0</v>
      </c>
      <c r="AC97" s="74">
        <v>0</v>
      </c>
      <c r="AD97" s="74">
        <v>0</v>
      </c>
      <c r="AE97" s="74">
        <v>0</v>
      </c>
      <c r="AF97" s="74">
        <v>0</v>
      </c>
      <c r="AG97" s="74">
        <v>0</v>
      </c>
      <c r="AH97" s="74">
        <v>77</v>
      </c>
      <c r="AI97" s="78">
        <v>2.0000000000000001E-4</v>
      </c>
    </row>
    <row r="98" spans="1:35" x14ac:dyDescent="0.2">
      <c r="A98" s="74" t="s">
        <v>641</v>
      </c>
      <c r="B98" s="74" t="s">
        <v>536</v>
      </c>
      <c r="C98" s="74">
        <v>0.83184599999999997</v>
      </c>
      <c r="D98" s="74">
        <v>0</v>
      </c>
      <c r="E98" s="74">
        <v>0</v>
      </c>
      <c r="F98" s="74">
        <v>9</v>
      </c>
      <c r="G98" s="74">
        <v>0</v>
      </c>
      <c r="H98" s="74">
        <v>14</v>
      </c>
      <c r="I98" s="74">
        <v>9</v>
      </c>
      <c r="J98" s="74">
        <v>0</v>
      </c>
      <c r="K98" s="74">
        <v>0</v>
      </c>
      <c r="L98" s="74">
        <v>0</v>
      </c>
      <c r="M98" s="74">
        <v>0</v>
      </c>
      <c r="N98" s="74">
        <v>0</v>
      </c>
      <c r="O98" s="74">
        <v>0</v>
      </c>
      <c r="P98" s="74">
        <v>0</v>
      </c>
      <c r="Q98" s="74">
        <v>0</v>
      </c>
      <c r="R98" s="74">
        <v>0</v>
      </c>
      <c r="S98" s="74">
        <v>0</v>
      </c>
      <c r="T98" s="74">
        <v>0</v>
      </c>
      <c r="U98" s="74">
        <v>0</v>
      </c>
      <c r="V98" s="74">
        <v>0</v>
      </c>
      <c r="W98" s="74">
        <v>17</v>
      </c>
      <c r="X98" s="74">
        <v>0</v>
      </c>
      <c r="Y98" s="74">
        <v>0</v>
      </c>
      <c r="Z98" s="74">
        <v>0</v>
      </c>
      <c r="AA98" s="74">
        <v>0</v>
      </c>
      <c r="AB98" s="74">
        <v>25</v>
      </c>
      <c r="AC98" s="74">
        <v>0</v>
      </c>
      <c r="AD98" s="74">
        <v>0</v>
      </c>
      <c r="AE98" s="74">
        <v>0</v>
      </c>
      <c r="AF98" s="74">
        <v>0</v>
      </c>
      <c r="AG98" s="74">
        <v>0</v>
      </c>
      <c r="AH98" s="74">
        <v>74</v>
      </c>
      <c r="AI98" s="78">
        <v>2.0000000000000001E-4</v>
      </c>
    </row>
    <row r="99" spans="1:35" x14ac:dyDescent="0.2">
      <c r="A99" s="74" t="s">
        <v>642</v>
      </c>
      <c r="B99" s="74" t="s">
        <v>643</v>
      </c>
      <c r="C99" s="74">
        <v>0.96142399999999995</v>
      </c>
      <c r="D99" s="74">
        <v>0</v>
      </c>
      <c r="E99" s="74">
        <v>0</v>
      </c>
      <c r="F99" s="74">
        <v>0</v>
      </c>
      <c r="G99" s="74">
        <v>0</v>
      </c>
      <c r="H99" s="74">
        <v>0</v>
      </c>
      <c r="I99" s="74">
        <v>0</v>
      </c>
      <c r="J99" s="74">
        <v>0</v>
      </c>
      <c r="K99" s="74">
        <v>0</v>
      </c>
      <c r="L99" s="74">
        <v>0</v>
      </c>
      <c r="M99" s="74">
        <v>0</v>
      </c>
      <c r="N99" s="74">
        <v>0</v>
      </c>
      <c r="O99" s="74">
        <v>0</v>
      </c>
      <c r="P99" s="74">
        <v>0</v>
      </c>
      <c r="Q99" s="74">
        <v>0</v>
      </c>
      <c r="R99" s="74">
        <v>0</v>
      </c>
      <c r="S99" s="74">
        <v>0</v>
      </c>
      <c r="T99" s="74">
        <v>0</v>
      </c>
      <c r="U99" s="74">
        <v>30</v>
      </c>
      <c r="V99" s="74">
        <v>40</v>
      </c>
      <c r="W99" s="74">
        <v>0</v>
      </c>
      <c r="X99" s="74">
        <v>0</v>
      </c>
      <c r="Y99" s="74">
        <v>0</v>
      </c>
      <c r="Z99" s="74">
        <v>0</v>
      </c>
      <c r="AA99" s="74">
        <v>0</v>
      </c>
      <c r="AB99" s="74">
        <v>0</v>
      </c>
      <c r="AC99" s="74">
        <v>0</v>
      </c>
      <c r="AD99" s="74">
        <v>0</v>
      </c>
      <c r="AE99" s="74">
        <v>0</v>
      </c>
      <c r="AF99" s="74">
        <v>0</v>
      </c>
      <c r="AG99" s="74">
        <v>0</v>
      </c>
      <c r="AH99" s="74">
        <v>70</v>
      </c>
      <c r="AI99" s="78">
        <v>2.0000000000000001E-4</v>
      </c>
    </row>
    <row r="100" spans="1:35" x14ac:dyDescent="0.2">
      <c r="A100" s="74" t="s">
        <v>644</v>
      </c>
      <c r="B100" s="74" t="s">
        <v>531</v>
      </c>
      <c r="C100" s="74">
        <v>0.978572</v>
      </c>
      <c r="D100" s="74">
        <v>0</v>
      </c>
      <c r="E100" s="74">
        <v>0</v>
      </c>
      <c r="F100" s="74">
        <v>0</v>
      </c>
      <c r="G100" s="74">
        <v>11</v>
      </c>
      <c r="H100" s="74">
        <v>0</v>
      </c>
      <c r="I100" s="74">
        <v>34</v>
      </c>
      <c r="J100" s="74">
        <v>0</v>
      </c>
      <c r="K100" s="74">
        <v>11</v>
      </c>
      <c r="L100" s="74">
        <v>0</v>
      </c>
      <c r="M100" s="74">
        <v>13</v>
      </c>
      <c r="N100" s="74">
        <v>0</v>
      </c>
      <c r="O100" s="74">
        <v>0</v>
      </c>
      <c r="P100" s="74">
        <v>0</v>
      </c>
      <c r="Q100" s="74">
        <v>0</v>
      </c>
      <c r="R100" s="74">
        <v>0</v>
      </c>
      <c r="S100" s="74">
        <v>0</v>
      </c>
      <c r="T100" s="74">
        <v>0</v>
      </c>
      <c r="U100" s="74">
        <v>0</v>
      </c>
      <c r="V100" s="74">
        <v>0</v>
      </c>
      <c r="W100" s="74">
        <v>0</v>
      </c>
      <c r="X100" s="74">
        <v>0</v>
      </c>
      <c r="Y100" s="74">
        <v>0</v>
      </c>
      <c r="Z100" s="74">
        <v>0</v>
      </c>
      <c r="AA100" s="74">
        <v>0</v>
      </c>
      <c r="AB100" s="74">
        <v>0</v>
      </c>
      <c r="AC100" s="74">
        <v>0</v>
      </c>
      <c r="AD100" s="74">
        <v>0</v>
      </c>
      <c r="AE100" s="74">
        <v>0</v>
      </c>
      <c r="AF100" s="74">
        <v>0</v>
      </c>
      <c r="AG100" s="74">
        <v>0</v>
      </c>
      <c r="AH100" s="74">
        <v>69</v>
      </c>
      <c r="AI100" s="78">
        <v>2.0000000000000001E-4</v>
      </c>
    </row>
    <row r="101" spans="1:35" x14ac:dyDescent="0.2">
      <c r="A101" s="74" t="s">
        <v>645</v>
      </c>
      <c r="B101" s="74" t="s">
        <v>548</v>
      </c>
      <c r="C101" s="74">
        <v>0.99567300000000003</v>
      </c>
      <c r="D101" s="74">
        <v>0</v>
      </c>
      <c r="E101" s="74">
        <v>0</v>
      </c>
      <c r="F101" s="74">
        <v>0</v>
      </c>
      <c r="G101" s="74">
        <v>16</v>
      </c>
      <c r="H101" s="74">
        <v>0</v>
      </c>
      <c r="I101" s="74">
        <v>10</v>
      </c>
      <c r="J101" s="74">
        <v>41</v>
      </c>
      <c r="K101" s="74">
        <v>0</v>
      </c>
      <c r="L101" s="74">
        <v>0</v>
      </c>
      <c r="M101" s="74">
        <v>0</v>
      </c>
      <c r="N101" s="74">
        <v>0</v>
      </c>
      <c r="O101" s="74">
        <v>0</v>
      </c>
      <c r="P101" s="74">
        <v>0</v>
      </c>
      <c r="Q101" s="74">
        <v>0</v>
      </c>
      <c r="R101" s="74">
        <v>0</v>
      </c>
      <c r="S101" s="74">
        <v>0</v>
      </c>
      <c r="T101" s="74">
        <v>0</v>
      </c>
      <c r="U101" s="74">
        <v>0</v>
      </c>
      <c r="V101" s="74">
        <v>0</v>
      </c>
      <c r="W101" s="74">
        <v>0</v>
      </c>
      <c r="X101" s="74">
        <v>0</v>
      </c>
      <c r="Y101" s="74">
        <v>0</v>
      </c>
      <c r="Z101" s="74">
        <v>0</v>
      </c>
      <c r="AA101" s="74">
        <v>0</v>
      </c>
      <c r="AB101" s="74">
        <v>0</v>
      </c>
      <c r="AC101" s="74">
        <v>0</v>
      </c>
      <c r="AD101" s="74">
        <v>0</v>
      </c>
      <c r="AE101" s="74">
        <v>0</v>
      </c>
      <c r="AF101" s="74">
        <v>0</v>
      </c>
      <c r="AG101" s="74">
        <v>0</v>
      </c>
      <c r="AH101" s="74">
        <v>67</v>
      </c>
      <c r="AI101" s="78">
        <v>2.0000000000000001E-4</v>
      </c>
    </row>
    <row r="102" spans="1:35" x14ac:dyDescent="0.2">
      <c r="A102" s="74" t="s">
        <v>646</v>
      </c>
      <c r="B102" s="74" t="s">
        <v>531</v>
      </c>
      <c r="C102" s="74">
        <v>0.96449200000000002</v>
      </c>
      <c r="D102" s="74">
        <v>0</v>
      </c>
      <c r="E102" s="74">
        <v>0</v>
      </c>
      <c r="F102" s="74">
        <v>0</v>
      </c>
      <c r="G102" s="74">
        <v>10</v>
      </c>
      <c r="H102" s="74">
        <v>0</v>
      </c>
      <c r="I102" s="74">
        <v>44</v>
      </c>
      <c r="J102" s="74">
        <v>13</v>
      </c>
      <c r="K102" s="74">
        <v>0</v>
      </c>
      <c r="L102" s="74">
        <v>0</v>
      </c>
      <c r="M102" s="74">
        <v>0</v>
      </c>
      <c r="N102" s="74">
        <v>0</v>
      </c>
      <c r="O102" s="74">
        <v>0</v>
      </c>
      <c r="P102" s="74">
        <v>0</v>
      </c>
      <c r="Q102" s="74">
        <v>0</v>
      </c>
      <c r="R102" s="74">
        <v>0</v>
      </c>
      <c r="S102" s="74">
        <v>0</v>
      </c>
      <c r="T102" s="74">
        <v>0</v>
      </c>
      <c r="U102" s="74">
        <v>0</v>
      </c>
      <c r="V102" s="74">
        <v>0</v>
      </c>
      <c r="W102" s="74">
        <v>0</v>
      </c>
      <c r="X102" s="74">
        <v>0</v>
      </c>
      <c r="Y102" s="74">
        <v>0</v>
      </c>
      <c r="Z102" s="74">
        <v>0</v>
      </c>
      <c r="AA102" s="74">
        <v>0</v>
      </c>
      <c r="AB102" s="74">
        <v>0</v>
      </c>
      <c r="AC102" s="74">
        <v>0</v>
      </c>
      <c r="AD102" s="74">
        <v>0</v>
      </c>
      <c r="AE102" s="74">
        <v>0</v>
      </c>
      <c r="AF102" s="74">
        <v>0</v>
      </c>
      <c r="AG102" s="74">
        <v>0</v>
      </c>
      <c r="AH102" s="74">
        <v>67</v>
      </c>
      <c r="AI102" s="78">
        <v>2.0000000000000001E-4</v>
      </c>
    </row>
    <row r="103" spans="1:35" x14ac:dyDescent="0.2">
      <c r="A103" s="74" t="s">
        <v>647</v>
      </c>
      <c r="B103" s="74" t="s">
        <v>536</v>
      </c>
      <c r="C103" s="74">
        <v>0.88172700000000004</v>
      </c>
      <c r="D103" s="74">
        <v>0</v>
      </c>
      <c r="E103" s="74">
        <v>0</v>
      </c>
      <c r="F103" s="74">
        <v>11</v>
      </c>
      <c r="G103" s="74">
        <v>0</v>
      </c>
      <c r="H103" s="74">
        <v>11</v>
      </c>
      <c r="I103" s="74">
        <v>0</v>
      </c>
      <c r="J103" s="74">
        <v>0</v>
      </c>
      <c r="K103" s="74">
        <v>0</v>
      </c>
      <c r="L103" s="74">
        <v>0</v>
      </c>
      <c r="M103" s="74">
        <v>0</v>
      </c>
      <c r="N103" s="74">
        <v>0</v>
      </c>
      <c r="O103" s="74">
        <v>0</v>
      </c>
      <c r="P103" s="74">
        <v>0</v>
      </c>
      <c r="Q103" s="74">
        <v>0</v>
      </c>
      <c r="R103" s="74">
        <v>0</v>
      </c>
      <c r="S103" s="74">
        <v>0</v>
      </c>
      <c r="T103" s="74">
        <v>0</v>
      </c>
      <c r="U103" s="74">
        <v>0</v>
      </c>
      <c r="V103" s="74">
        <v>0</v>
      </c>
      <c r="W103" s="74">
        <v>10</v>
      </c>
      <c r="X103" s="74">
        <v>0</v>
      </c>
      <c r="Y103" s="74">
        <v>0</v>
      </c>
      <c r="Z103" s="74">
        <v>0</v>
      </c>
      <c r="AA103" s="74">
        <v>0</v>
      </c>
      <c r="AB103" s="74">
        <v>34</v>
      </c>
      <c r="AC103" s="74">
        <v>0</v>
      </c>
      <c r="AD103" s="74">
        <v>0</v>
      </c>
      <c r="AE103" s="74">
        <v>0</v>
      </c>
      <c r="AF103" s="74">
        <v>0</v>
      </c>
      <c r="AG103" s="74">
        <v>0</v>
      </c>
      <c r="AH103" s="74">
        <v>66</v>
      </c>
      <c r="AI103" s="78">
        <v>2.0000000000000001E-4</v>
      </c>
    </row>
    <row r="104" spans="1:35" x14ac:dyDescent="0.2">
      <c r="A104" s="74" t="s">
        <v>648</v>
      </c>
      <c r="B104" s="74" t="s">
        <v>534</v>
      </c>
      <c r="C104" s="74">
        <v>0.88658400000000004</v>
      </c>
      <c r="D104" s="74">
        <v>0</v>
      </c>
      <c r="E104" s="74">
        <v>13</v>
      </c>
      <c r="F104" s="74">
        <v>0</v>
      </c>
      <c r="G104" s="74">
        <v>0</v>
      </c>
      <c r="H104" s="74">
        <v>0</v>
      </c>
      <c r="I104" s="74">
        <v>0</v>
      </c>
      <c r="J104" s="74">
        <v>0</v>
      </c>
      <c r="K104" s="74">
        <v>0</v>
      </c>
      <c r="L104" s="74">
        <v>13</v>
      </c>
      <c r="M104" s="74">
        <v>0</v>
      </c>
      <c r="N104" s="74">
        <v>15</v>
      </c>
      <c r="O104" s="74">
        <v>22</v>
      </c>
      <c r="P104" s="74">
        <v>0</v>
      </c>
      <c r="Q104" s="74">
        <v>0</v>
      </c>
      <c r="R104" s="74">
        <v>0</v>
      </c>
      <c r="S104" s="74">
        <v>0</v>
      </c>
      <c r="T104" s="74">
        <v>0</v>
      </c>
      <c r="U104" s="74">
        <v>0</v>
      </c>
      <c r="V104" s="74">
        <v>0</v>
      </c>
      <c r="W104" s="74">
        <v>0</v>
      </c>
      <c r="X104" s="74">
        <v>0</v>
      </c>
      <c r="Y104" s="74">
        <v>0</v>
      </c>
      <c r="Z104" s="74">
        <v>0</v>
      </c>
      <c r="AA104" s="74">
        <v>0</v>
      </c>
      <c r="AB104" s="74">
        <v>0</v>
      </c>
      <c r="AC104" s="74">
        <v>0</v>
      </c>
      <c r="AD104" s="74">
        <v>0</v>
      </c>
      <c r="AE104" s="74">
        <v>0</v>
      </c>
      <c r="AF104" s="74">
        <v>0</v>
      </c>
      <c r="AG104" s="74">
        <v>0</v>
      </c>
      <c r="AH104" s="74">
        <v>63</v>
      </c>
      <c r="AI104" s="78">
        <v>2.0000000000000001E-4</v>
      </c>
    </row>
    <row r="105" spans="1:35" x14ac:dyDescent="0.2">
      <c r="A105" s="74" t="s">
        <v>649</v>
      </c>
      <c r="B105" s="74" t="s">
        <v>534</v>
      </c>
      <c r="C105" s="74">
        <v>0.90717300000000001</v>
      </c>
      <c r="D105" s="74">
        <v>0</v>
      </c>
      <c r="E105" s="74">
        <v>14</v>
      </c>
      <c r="F105" s="74">
        <v>0</v>
      </c>
      <c r="G105" s="74">
        <v>0</v>
      </c>
      <c r="H105" s="74">
        <v>0</v>
      </c>
      <c r="I105" s="74">
        <v>0</v>
      </c>
      <c r="J105" s="74">
        <v>0</v>
      </c>
      <c r="K105" s="74">
        <v>0</v>
      </c>
      <c r="L105" s="74">
        <v>11</v>
      </c>
      <c r="M105" s="74">
        <v>0</v>
      </c>
      <c r="N105" s="74">
        <v>20</v>
      </c>
      <c r="O105" s="74">
        <v>17</v>
      </c>
      <c r="P105" s="74">
        <v>0</v>
      </c>
      <c r="Q105" s="74">
        <v>0</v>
      </c>
      <c r="R105" s="74">
        <v>0</v>
      </c>
      <c r="S105" s="74">
        <v>0</v>
      </c>
      <c r="T105" s="74">
        <v>0</v>
      </c>
      <c r="U105" s="74">
        <v>0</v>
      </c>
      <c r="V105" s="74">
        <v>0</v>
      </c>
      <c r="W105" s="74">
        <v>0</v>
      </c>
      <c r="X105" s="74">
        <v>0</v>
      </c>
      <c r="Y105" s="74">
        <v>0</v>
      </c>
      <c r="Z105" s="74">
        <v>0</v>
      </c>
      <c r="AA105" s="74">
        <v>0</v>
      </c>
      <c r="AB105" s="74">
        <v>0</v>
      </c>
      <c r="AC105" s="74">
        <v>0</v>
      </c>
      <c r="AD105" s="74">
        <v>0</v>
      </c>
      <c r="AE105" s="74">
        <v>0</v>
      </c>
      <c r="AF105" s="74">
        <v>0</v>
      </c>
      <c r="AG105" s="74">
        <v>0</v>
      </c>
      <c r="AH105" s="74">
        <v>62</v>
      </c>
      <c r="AI105" s="78">
        <v>2.0000000000000001E-4</v>
      </c>
    </row>
    <row r="106" spans="1:35" x14ac:dyDescent="0.2">
      <c r="A106" s="74" t="s">
        <v>650</v>
      </c>
      <c r="B106" s="74" t="s">
        <v>530</v>
      </c>
      <c r="C106" s="74">
        <v>0.77158400000000005</v>
      </c>
      <c r="D106" s="74">
        <v>30</v>
      </c>
      <c r="E106" s="74">
        <v>0</v>
      </c>
      <c r="F106" s="74">
        <v>0</v>
      </c>
      <c r="G106" s="74">
        <v>0</v>
      </c>
      <c r="H106" s="74">
        <v>0</v>
      </c>
      <c r="I106" s="74">
        <v>0</v>
      </c>
      <c r="J106" s="74">
        <v>0</v>
      </c>
      <c r="K106" s="74">
        <v>0</v>
      </c>
      <c r="L106" s="74">
        <v>0</v>
      </c>
      <c r="M106" s="74">
        <v>0</v>
      </c>
      <c r="N106" s="74">
        <v>0</v>
      </c>
      <c r="O106" s="74">
        <v>12</v>
      </c>
      <c r="P106" s="74">
        <v>0</v>
      </c>
      <c r="Q106" s="74">
        <v>0</v>
      </c>
      <c r="R106" s="74">
        <v>0</v>
      </c>
      <c r="S106" s="74">
        <v>0</v>
      </c>
      <c r="T106" s="74">
        <v>0</v>
      </c>
      <c r="U106" s="74">
        <v>10</v>
      </c>
      <c r="V106" s="74">
        <v>0</v>
      </c>
      <c r="W106" s="74">
        <v>10</v>
      </c>
      <c r="X106" s="74">
        <v>0</v>
      </c>
      <c r="Y106" s="74">
        <v>0</v>
      </c>
      <c r="Z106" s="74">
        <v>0</v>
      </c>
      <c r="AA106" s="74">
        <v>0</v>
      </c>
      <c r="AB106" s="74">
        <v>0</v>
      </c>
      <c r="AC106" s="74">
        <v>0</v>
      </c>
      <c r="AD106" s="74">
        <v>0</v>
      </c>
      <c r="AE106" s="74">
        <v>0</v>
      </c>
      <c r="AF106" s="74">
        <v>0</v>
      </c>
      <c r="AG106" s="74">
        <v>0</v>
      </c>
      <c r="AH106" s="74">
        <v>62</v>
      </c>
      <c r="AI106" s="78">
        <v>2.0000000000000001E-4</v>
      </c>
    </row>
    <row r="107" spans="1:35" x14ac:dyDescent="0.2">
      <c r="A107" s="74" t="s">
        <v>651</v>
      </c>
      <c r="B107" s="74" t="s">
        <v>530</v>
      </c>
      <c r="C107" s="74">
        <v>0.77889799999999998</v>
      </c>
      <c r="D107" s="74">
        <v>36</v>
      </c>
      <c r="E107" s="74">
        <v>0</v>
      </c>
      <c r="F107" s="74">
        <v>0</v>
      </c>
      <c r="G107" s="74">
        <v>0</v>
      </c>
      <c r="H107" s="74">
        <v>0</v>
      </c>
      <c r="I107" s="74">
        <v>0</v>
      </c>
      <c r="J107" s="74">
        <v>0</v>
      </c>
      <c r="K107" s="74">
        <v>0</v>
      </c>
      <c r="L107" s="74">
        <v>0</v>
      </c>
      <c r="M107" s="74">
        <v>0</v>
      </c>
      <c r="N107" s="74">
        <v>0</v>
      </c>
      <c r="O107" s="74">
        <v>0</v>
      </c>
      <c r="P107" s="74">
        <v>0</v>
      </c>
      <c r="Q107" s="74">
        <v>0</v>
      </c>
      <c r="R107" s="74">
        <v>0</v>
      </c>
      <c r="S107" s="74">
        <v>0</v>
      </c>
      <c r="T107" s="74">
        <v>10</v>
      </c>
      <c r="U107" s="74">
        <v>0</v>
      </c>
      <c r="V107" s="74">
        <v>0</v>
      </c>
      <c r="W107" s="74">
        <v>10</v>
      </c>
      <c r="X107" s="74">
        <v>0</v>
      </c>
      <c r="Y107" s="74">
        <v>0</v>
      </c>
      <c r="Z107" s="74">
        <v>0</v>
      </c>
      <c r="AA107" s="74">
        <v>0</v>
      </c>
      <c r="AB107" s="74">
        <v>0</v>
      </c>
      <c r="AC107" s="74">
        <v>0</v>
      </c>
      <c r="AD107" s="74">
        <v>0</v>
      </c>
      <c r="AE107" s="74">
        <v>0</v>
      </c>
      <c r="AF107" s="74">
        <v>0</v>
      </c>
      <c r="AG107" s="74">
        <v>0</v>
      </c>
      <c r="AH107" s="74">
        <v>56</v>
      </c>
      <c r="AI107" s="78">
        <v>2.0000000000000001E-4</v>
      </c>
    </row>
    <row r="108" spans="1:35" x14ac:dyDescent="0.2">
      <c r="A108" s="74" t="s">
        <v>652</v>
      </c>
      <c r="B108" s="74" t="s">
        <v>561</v>
      </c>
      <c r="C108" s="74">
        <v>0.99999899999999997</v>
      </c>
      <c r="D108" s="74">
        <v>27</v>
      </c>
      <c r="E108" s="74">
        <v>0</v>
      </c>
      <c r="F108" s="74">
        <v>0</v>
      </c>
      <c r="G108" s="74">
        <v>0</v>
      </c>
      <c r="H108" s="74">
        <v>0</v>
      </c>
      <c r="I108" s="74">
        <v>0</v>
      </c>
      <c r="J108" s="74">
        <v>0</v>
      </c>
      <c r="K108" s="74">
        <v>0</v>
      </c>
      <c r="L108" s="74">
        <v>0</v>
      </c>
      <c r="M108" s="74">
        <v>0</v>
      </c>
      <c r="N108" s="74">
        <v>0</v>
      </c>
      <c r="O108" s="74">
        <v>0</v>
      </c>
      <c r="P108" s="74">
        <v>0</v>
      </c>
      <c r="Q108" s="74">
        <v>0</v>
      </c>
      <c r="R108" s="74">
        <v>0</v>
      </c>
      <c r="S108" s="74">
        <v>0</v>
      </c>
      <c r="T108" s="74">
        <v>0</v>
      </c>
      <c r="U108" s="74">
        <v>29</v>
      </c>
      <c r="V108" s="74">
        <v>0</v>
      </c>
      <c r="W108" s="74">
        <v>0</v>
      </c>
      <c r="X108" s="74">
        <v>0</v>
      </c>
      <c r="Y108" s="74">
        <v>0</v>
      </c>
      <c r="Z108" s="74">
        <v>0</v>
      </c>
      <c r="AA108" s="74">
        <v>0</v>
      </c>
      <c r="AB108" s="74">
        <v>0</v>
      </c>
      <c r="AC108" s="74">
        <v>0</v>
      </c>
      <c r="AD108" s="74">
        <v>0</v>
      </c>
      <c r="AE108" s="74">
        <v>0</v>
      </c>
      <c r="AF108" s="74">
        <v>0</v>
      </c>
      <c r="AG108" s="74">
        <v>0</v>
      </c>
      <c r="AH108" s="74">
        <v>56</v>
      </c>
      <c r="AI108" s="78">
        <v>2.0000000000000001E-4</v>
      </c>
    </row>
    <row r="109" spans="1:35" x14ac:dyDescent="0.2">
      <c r="A109" s="74" t="s">
        <v>653</v>
      </c>
      <c r="B109" s="74" t="s">
        <v>538</v>
      </c>
      <c r="C109" s="74">
        <v>0.86578500000000003</v>
      </c>
      <c r="D109" s="74">
        <v>14</v>
      </c>
      <c r="E109" s="74">
        <v>0</v>
      </c>
      <c r="F109" s="74">
        <v>0</v>
      </c>
      <c r="G109" s="74">
        <v>0</v>
      </c>
      <c r="H109" s="74">
        <v>0</v>
      </c>
      <c r="I109" s="74">
        <v>0</v>
      </c>
      <c r="J109" s="74">
        <v>0</v>
      </c>
      <c r="K109" s="74">
        <v>0</v>
      </c>
      <c r="L109" s="74">
        <v>0</v>
      </c>
      <c r="M109" s="74">
        <v>0</v>
      </c>
      <c r="N109" s="74">
        <v>0</v>
      </c>
      <c r="O109" s="74">
        <v>0</v>
      </c>
      <c r="P109" s="74">
        <v>28</v>
      </c>
      <c r="Q109" s="74">
        <v>0</v>
      </c>
      <c r="R109" s="74">
        <v>0</v>
      </c>
      <c r="S109" s="74">
        <v>0</v>
      </c>
      <c r="T109" s="74">
        <v>0</v>
      </c>
      <c r="U109" s="74">
        <v>0</v>
      </c>
      <c r="V109" s="74">
        <v>0</v>
      </c>
      <c r="W109" s="74">
        <v>13</v>
      </c>
      <c r="X109" s="74">
        <v>0</v>
      </c>
      <c r="Y109" s="74">
        <v>0</v>
      </c>
      <c r="Z109" s="74">
        <v>0</v>
      </c>
      <c r="AA109" s="74">
        <v>0</v>
      </c>
      <c r="AB109" s="74">
        <v>0</v>
      </c>
      <c r="AC109" s="74">
        <v>0</v>
      </c>
      <c r="AD109" s="74">
        <v>0</v>
      </c>
      <c r="AE109" s="74">
        <v>0</v>
      </c>
      <c r="AF109" s="74">
        <v>0</v>
      </c>
      <c r="AG109" s="74">
        <v>0</v>
      </c>
      <c r="AH109" s="74">
        <v>55</v>
      </c>
      <c r="AI109" s="78">
        <v>2.0000000000000001E-4</v>
      </c>
    </row>
    <row r="110" spans="1:35" x14ac:dyDescent="0.2">
      <c r="A110" s="74" t="s">
        <v>654</v>
      </c>
      <c r="B110" s="74" t="s">
        <v>532</v>
      </c>
      <c r="C110" s="74">
        <v>0.99565300000000001</v>
      </c>
      <c r="D110" s="74">
        <v>0</v>
      </c>
      <c r="E110" s="74">
        <v>0</v>
      </c>
      <c r="F110" s="74">
        <v>0</v>
      </c>
      <c r="G110" s="74">
        <v>0</v>
      </c>
      <c r="H110" s="74">
        <v>0</v>
      </c>
      <c r="I110" s="74">
        <v>0</v>
      </c>
      <c r="J110" s="74">
        <v>0</v>
      </c>
      <c r="K110" s="74">
        <v>0</v>
      </c>
      <c r="L110" s="74">
        <v>0</v>
      </c>
      <c r="M110" s="74">
        <v>0</v>
      </c>
      <c r="N110" s="74">
        <v>0</v>
      </c>
      <c r="O110" s="74">
        <v>0</v>
      </c>
      <c r="P110" s="74">
        <v>0</v>
      </c>
      <c r="Q110" s="74">
        <v>0</v>
      </c>
      <c r="R110" s="74">
        <v>10</v>
      </c>
      <c r="S110" s="74">
        <v>0</v>
      </c>
      <c r="T110" s="74">
        <v>0</v>
      </c>
      <c r="U110" s="74">
        <v>0</v>
      </c>
      <c r="V110" s="74">
        <v>0</v>
      </c>
      <c r="W110" s="74">
        <v>0</v>
      </c>
      <c r="X110" s="74">
        <v>11</v>
      </c>
      <c r="Y110" s="74">
        <v>0</v>
      </c>
      <c r="Z110" s="74">
        <v>0</v>
      </c>
      <c r="AA110" s="74">
        <v>12</v>
      </c>
      <c r="AB110" s="74">
        <v>0</v>
      </c>
      <c r="AC110" s="74">
        <v>11</v>
      </c>
      <c r="AD110" s="74">
        <v>0</v>
      </c>
      <c r="AE110" s="74">
        <v>0</v>
      </c>
      <c r="AF110" s="74">
        <v>9</v>
      </c>
      <c r="AG110" s="74">
        <v>0</v>
      </c>
      <c r="AH110" s="74">
        <v>53</v>
      </c>
      <c r="AI110" s="78">
        <v>2.0000000000000001E-4</v>
      </c>
    </row>
    <row r="111" spans="1:35" x14ac:dyDescent="0.2">
      <c r="A111" s="74" t="s">
        <v>655</v>
      </c>
      <c r="B111" s="74" t="s">
        <v>528</v>
      </c>
      <c r="C111" s="74">
        <v>0.91861000000000004</v>
      </c>
      <c r="D111" s="74">
        <v>0</v>
      </c>
      <c r="E111" s="74">
        <v>0</v>
      </c>
      <c r="F111" s="74">
        <v>11</v>
      </c>
      <c r="G111" s="74">
        <v>0</v>
      </c>
      <c r="H111" s="74">
        <v>0</v>
      </c>
      <c r="I111" s="74">
        <v>0</v>
      </c>
      <c r="J111" s="74">
        <v>0</v>
      </c>
      <c r="K111" s="74">
        <v>0</v>
      </c>
      <c r="L111" s="74">
        <v>0</v>
      </c>
      <c r="M111" s="74">
        <v>0</v>
      </c>
      <c r="N111" s="74">
        <v>0</v>
      </c>
      <c r="O111" s="74">
        <v>0</v>
      </c>
      <c r="P111" s="74">
        <v>0</v>
      </c>
      <c r="Q111" s="74">
        <v>0</v>
      </c>
      <c r="R111" s="74">
        <v>0</v>
      </c>
      <c r="S111" s="74">
        <v>10</v>
      </c>
      <c r="T111" s="74">
        <v>0</v>
      </c>
      <c r="U111" s="74">
        <v>0</v>
      </c>
      <c r="V111" s="74">
        <v>0</v>
      </c>
      <c r="W111" s="74">
        <v>0</v>
      </c>
      <c r="X111" s="74">
        <v>16</v>
      </c>
      <c r="Y111" s="74">
        <v>0</v>
      </c>
      <c r="Z111" s="74">
        <v>0</v>
      </c>
      <c r="AA111" s="74">
        <v>0</v>
      </c>
      <c r="AB111" s="74">
        <v>0</v>
      </c>
      <c r="AC111" s="74">
        <v>0</v>
      </c>
      <c r="AD111" s="74">
        <v>0</v>
      </c>
      <c r="AE111" s="74">
        <v>13</v>
      </c>
      <c r="AF111" s="74">
        <v>0</v>
      </c>
      <c r="AG111" s="74">
        <v>0</v>
      </c>
      <c r="AH111" s="74">
        <v>50</v>
      </c>
      <c r="AI111" s="78">
        <v>1E-4</v>
      </c>
    </row>
    <row r="112" spans="1:35" x14ac:dyDescent="0.2">
      <c r="A112" s="74" t="s">
        <v>656</v>
      </c>
      <c r="B112" s="74" t="s">
        <v>530</v>
      </c>
      <c r="C112" s="74">
        <v>0.77190700000000001</v>
      </c>
      <c r="D112" s="74">
        <v>35</v>
      </c>
      <c r="E112" s="74">
        <v>0</v>
      </c>
      <c r="F112" s="74">
        <v>0</v>
      </c>
      <c r="G112" s="74">
        <v>0</v>
      </c>
      <c r="H112" s="74">
        <v>0</v>
      </c>
      <c r="I112" s="74">
        <v>0</v>
      </c>
      <c r="J112" s="74">
        <v>0</v>
      </c>
      <c r="K112" s="74">
        <v>0</v>
      </c>
      <c r="L112" s="74">
        <v>0</v>
      </c>
      <c r="M112" s="74">
        <v>0</v>
      </c>
      <c r="N112" s="74">
        <v>0</v>
      </c>
      <c r="O112" s="74">
        <v>0</v>
      </c>
      <c r="P112" s="74">
        <v>0</v>
      </c>
      <c r="Q112" s="74">
        <v>0</v>
      </c>
      <c r="R112" s="74">
        <v>0</v>
      </c>
      <c r="S112" s="74">
        <v>0</v>
      </c>
      <c r="T112" s="74">
        <v>0</v>
      </c>
      <c r="U112" s="74">
        <v>12</v>
      </c>
      <c r="V112" s="74">
        <v>0</v>
      </c>
      <c r="W112" s="74">
        <v>0</v>
      </c>
      <c r="X112" s="74">
        <v>0</v>
      </c>
      <c r="Y112" s="74">
        <v>0</v>
      </c>
      <c r="Z112" s="74">
        <v>0</v>
      </c>
      <c r="AA112" s="74">
        <v>0</v>
      </c>
      <c r="AB112" s="74">
        <v>0</v>
      </c>
      <c r="AC112" s="74">
        <v>0</v>
      </c>
      <c r="AD112" s="74">
        <v>0</v>
      </c>
      <c r="AE112" s="74">
        <v>0</v>
      </c>
      <c r="AF112" s="74">
        <v>0</v>
      </c>
      <c r="AG112" s="74">
        <v>0</v>
      </c>
      <c r="AH112" s="74">
        <v>47</v>
      </c>
      <c r="AI112" s="78">
        <v>1E-4</v>
      </c>
    </row>
    <row r="113" spans="1:35" x14ac:dyDescent="0.2">
      <c r="A113" s="74" t="s">
        <v>657</v>
      </c>
      <c r="B113" s="74" t="s">
        <v>534</v>
      </c>
      <c r="C113" s="74">
        <v>0.89230200000000004</v>
      </c>
      <c r="D113" s="74">
        <v>0</v>
      </c>
      <c r="E113" s="74">
        <v>0</v>
      </c>
      <c r="F113" s="74">
        <v>0</v>
      </c>
      <c r="G113" s="74">
        <v>0</v>
      </c>
      <c r="H113" s="74">
        <v>0</v>
      </c>
      <c r="I113" s="74">
        <v>0</v>
      </c>
      <c r="J113" s="74">
        <v>0</v>
      </c>
      <c r="K113" s="74">
        <v>0</v>
      </c>
      <c r="L113" s="74">
        <v>0</v>
      </c>
      <c r="M113" s="74">
        <v>0</v>
      </c>
      <c r="N113" s="74">
        <v>0</v>
      </c>
      <c r="O113" s="74">
        <v>0</v>
      </c>
      <c r="P113" s="74">
        <v>33</v>
      </c>
      <c r="Q113" s="74">
        <v>0</v>
      </c>
      <c r="R113" s="74">
        <v>0</v>
      </c>
      <c r="S113" s="74">
        <v>0</v>
      </c>
      <c r="T113" s="74">
        <v>0</v>
      </c>
      <c r="U113" s="74">
        <v>0</v>
      </c>
      <c r="V113" s="74">
        <v>0</v>
      </c>
      <c r="W113" s="74">
        <v>0</v>
      </c>
      <c r="X113" s="74">
        <v>0</v>
      </c>
      <c r="Y113" s="74">
        <v>0</v>
      </c>
      <c r="Z113" s="74">
        <v>0</v>
      </c>
      <c r="AA113" s="74">
        <v>0</v>
      </c>
      <c r="AB113" s="74">
        <v>0</v>
      </c>
      <c r="AC113" s="74">
        <v>0</v>
      </c>
      <c r="AD113" s="74">
        <v>13</v>
      </c>
      <c r="AE113" s="74">
        <v>0</v>
      </c>
      <c r="AF113" s="74">
        <v>0</v>
      </c>
      <c r="AG113" s="74">
        <v>0</v>
      </c>
      <c r="AH113" s="74">
        <v>46</v>
      </c>
      <c r="AI113" s="78">
        <v>1E-4</v>
      </c>
    </row>
    <row r="114" spans="1:35" x14ac:dyDescent="0.2">
      <c r="A114" s="74" t="s">
        <v>658</v>
      </c>
      <c r="B114" s="74" t="s">
        <v>548</v>
      </c>
      <c r="C114" s="74">
        <v>0.996193</v>
      </c>
      <c r="D114" s="74">
        <v>0</v>
      </c>
      <c r="E114" s="74">
        <v>0</v>
      </c>
      <c r="F114" s="74">
        <v>0</v>
      </c>
      <c r="G114" s="74">
        <v>11</v>
      </c>
      <c r="H114" s="74">
        <v>0</v>
      </c>
      <c r="I114" s="74">
        <v>14</v>
      </c>
      <c r="J114" s="74">
        <v>20</v>
      </c>
      <c r="K114" s="74">
        <v>0</v>
      </c>
      <c r="L114" s="74">
        <v>0</v>
      </c>
      <c r="M114" s="74">
        <v>0</v>
      </c>
      <c r="N114" s="74">
        <v>0</v>
      </c>
      <c r="O114" s="74">
        <v>0</v>
      </c>
      <c r="P114" s="74">
        <v>0</v>
      </c>
      <c r="Q114" s="74">
        <v>0</v>
      </c>
      <c r="R114" s="74">
        <v>0</v>
      </c>
      <c r="S114" s="74">
        <v>0</v>
      </c>
      <c r="T114" s="74">
        <v>0</v>
      </c>
      <c r="U114" s="74">
        <v>0</v>
      </c>
      <c r="V114" s="74">
        <v>0</v>
      </c>
      <c r="W114" s="74">
        <v>0</v>
      </c>
      <c r="X114" s="74">
        <v>0</v>
      </c>
      <c r="Y114" s="74">
        <v>0</v>
      </c>
      <c r="Z114" s="74">
        <v>0</v>
      </c>
      <c r="AA114" s="74">
        <v>0</v>
      </c>
      <c r="AB114" s="74">
        <v>0</v>
      </c>
      <c r="AC114" s="74">
        <v>0</v>
      </c>
      <c r="AD114" s="74">
        <v>0</v>
      </c>
      <c r="AE114" s="74">
        <v>0</v>
      </c>
      <c r="AF114" s="74">
        <v>0</v>
      </c>
      <c r="AG114" s="74">
        <v>0</v>
      </c>
      <c r="AH114" s="74">
        <v>45</v>
      </c>
      <c r="AI114" s="78">
        <v>1E-4</v>
      </c>
    </row>
    <row r="115" spans="1:35" x14ac:dyDescent="0.2">
      <c r="A115" s="74" t="s">
        <v>659</v>
      </c>
      <c r="B115" s="74" t="s">
        <v>527</v>
      </c>
      <c r="C115" s="74">
        <v>0.99968199999999996</v>
      </c>
      <c r="D115" s="74">
        <v>0</v>
      </c>
      <c r="E115" s="74">
        <v>0</v>
      </c>
      <c r="F115" s="74">
        <v>0</v>
      </c>
      <c r="G115" s="74">
        <v>0</v>
      </c>
      <c r="H115" s="74">
        <v>0</v>
      </c>
      <c r="I115" s="74">
        <v>10</v>
      </c>
      <c r="J115" s="74">
        <v>0</v>
      </c>
      <c r="K115" s="74">
        <v>0</v>
      </c>
      <c r="L115" s="74">
        <v>0</v>
      </c>
      <c r="M115" s="74">
        <v>0</v>
      </c>
      <c r="N115" s="74">
        <v>13</v>
      </c>
      <c r="O115" s="74">
        <v>0</v>
      </c>
      <c r="P115" s="74">
        <v>0</v>
      </c>
      <c r="Q115" s="74">
        <v>0</v>
      </c>
      <c r="R115" s="74">
        <v>11</v>
      </c>
      <c r="S115" s="74">
        <v>0</v>
      </c>
      <c r="T115" s="74">
        <v>0</v>
      </c>
      <c r="U115" s="74">
        <v>0</v>
      </c>
      <c r="V115" s="74">
        <v>0</v>
      </c>
      <c r="W115" s="74">
        <v>0</v>
      </c>
      <c r="X115" s="74">
        <v>0</v>
      </c>
      <c r="Y115" s="74">
        <v>0</v>
      </c>
      <c r="Z115" s="74">
        <v>0</v>
      </c>
      <c r="AA115" s="74">
        <v>0</v>
      </c>
      <c r="AB115" s="74">
        <v>0</v>
      </c>
      <c r="AC115" s="74">
        <v>0</v>
      </c>
      <c r="AD115" s="74">
        <v>0</v>
      </c>
      <c r="AE115" s="74">
        <v>10</v>
      </c>
      <c r="AF115" s="74">
        <v>0</v>
      </c>
      <c r="AG115" s="74">
        <v>0</v>
      </c>
      <c r="AH115" s="74">
        <v>44</v>
      </c>
      <c r="AI115" s="78">
        <v>1E-4</v>
      </c>
    </row>
    <row r="116" spans="1:35" x14ac:dyDescent="0.2">
      <c r="A116" s="74" t="s">
        <v>660</v>
      </c>
      <c r="B116" s="74" t="s">
        <v>534</v>
      </c>
      <c r="C116" s="74">
        <v>0.91317000000000004</v>
      </c>
      <c r="D116" s="74">
        <v>0</v>
      </c>
      <c r="E116" s="74">
        <v>0</v>
      </c>
      <c r="F116" s="74">
        <v>0</v>
      </c>
      <c r="G116" s="74">
        <v>0</v>
      </c>
      <c r="H116" s="74">
        <v>0</v>
      </c>
      <c r="I116" s="74">
        <v>0</v>
      </c>
      <c r="J116" s="74">
        <v>0</v>
      </c>
      <c r="K116" s="74">
        <v>0</v>
      </c>
      <c r="L116" s="74">
        <v>0</v>
      </c>
      <c r="M116" s="74">
        <v>0</v>
      </c>
      <c r="N116" s="74">
        <v>0</v>
      </c>
      <c r="O116" s="74">
        <v>0</v>
      </c>
      <c r="P116" s="74">
        <v>33</v>
      </c>
      <c r="Q116" s="74">
        <v>0</v>
      </c>
      <c r="R116" s="74">
        <v>0</v>
      </c>
      <c r="S116" s="74">
        <v>0</v>
      </c>
      <c r="T116" s="74">
        <v>0</v>
      </c>
      <c r="U116" s="74">
        <v>0</v>
      </c>
      <c r="V116" s="74">
        <v>0</v>
      </c>
      <c r="W116" s="74">
        <v>0</v>
      </c>
      <c r="X116" s="74">
        <v>0</v>
      </c>
      <c r="Y116" s="74">
        <v>0</v>
      </c>
      <c r="Z116" s="74">
        <v>0</v>
      </c>
      <c r="AA116" s="74">
        <v>0</v>
      </c>
      <c r="AB116" s="74">
        <v>0</v>
      </c>
      <c r="AC116" s="74">
        <v>0</v>
      </c>
      <c r="AD116" s="74">
        <v>11</v>
      </c>
      <c r="AE116" s="74">
        <v>0</v>
      </c>
      <c r="AF116" s="74">
        <v>0</v>
      </c>
      <c r="AG116" s="74">
        <v>0</v>
      </c>
      <c r="AH116" s="74">
        <v>44</v>
      </c>
      <c r="AI116" s="78">
        <v>1E-4</v>
      </c>
    </row>
    <row r="117" spans="1:35" x14ac:dyDescent="0.2">
      <c r="A117" s="74" t="s">
        <v>661</v>
      </c>
      <c r="B117" s="74" t="s">
        <v>543</v>
      </c>
      <c r="C117" s="74">
        <v>0.99983900000000003</v>
      </c>
      <c r="D117" s="74">
        <v>0</v>
      </c>
      <c r="E117" s="74">
        <v>19</v>
      </c>
      <c r="F117" s="74">
        <v>0</v>
      </c>
      <c r="G117" s="74">
        <v>0</v>
      </c>
      <c r="H117" s="74">
        <v>0</v>
      </c>
      <c r="I117" s="74">
        <v>0</v>
      </c>
      <c r="J117" s="74">
        <v>0</v>
      </c>
      <c r="K117" s="74">
        <v>0</v>
      </c>
      <c r="L117" s="74">
        <v>0</v>
      </c>
      <c r="M117" s="74">
        <v>0</v>
      </c>
      <c r="N117" s="74">
        <v>0</v>
      </c>
      <c r="O117" s="74">
        <v>0</v>
      </c>
      <c r="P117" s="74">
        <v>0</v>
      </c>
      <c r="Q117" s="74">
        <v>0</v>
      </c>
      <c r="R117" s="74">
        <v>0</v>
      </c>
      <c r="S117" s="74">
        <v>0</v>
      </c>
      <c r="T117" s="74">
        <v>0</v>
      </c>
      <c r="U117" s="74">
        <v>25</v>
      </c>
      <c r="V117" s="74">
        <v>0</v>
      </c>
      <c r="W117" s="74">
        <v>0</v>
      </c>
      <c r="X117" s="74">
        <v>0</v>
      </c>
      <c r="Y117" s="74">
        <v>0</v>
      </c>
      <c r="Z117" s="74">
        <v>0</v>
      </c>
      <c r="AA117" s="74">
        <v>0</v>
      </c>
      <c r="AB117" s="74">
        <v>0</v>
      </c>
      <c r="AC117" s="74">
        <v>0</v>
      </c>
      <c r="AD117" s="74">
        <v>0</v>
      </c>
      <c r="AE117" s="74">
        <v>0</v>
      </c>
      <c r="AF117" s="74">
        <v>0</v>
      </c>
      <c r="AG117" s="74">
        <v>0</v>
      </c>
      <c r="AH117" s="74">
        <v>44</v>
      </c>
      <c r="AI117" s="78">
        <v>1E-4</v>
      </c>
    </row>
    <row r="118" spans="1:35" x14ac:dyDescent="0.2">
      <c r="A118" s="74" t="s">
        <v>662</v>
      </c>
      <c r="B118" s="74" t="s">
        <v>531</v>
      </c>
      <c r="C118" s="74">
        <v>0.95667800000000003</v>
      </c>
      <c r="D118" s="74">
        <v>0</v>
      </c>
      <c r="E118" s="74">
        <v>0</v>
      </c>
      <c r="F118" s="74">
        <v>0</v>
      </c>
      <c r="G118" s="74">
        <v>12</v>
      </c>
      <c r="H118" s="74">
        <v>0</v>
      </c>
      <c r="I118" s="74">
        <v>31</v>
      </c>
      <c r="J118" s="74">
        <v>0</v>
      </c>
      <c r="K118" s="74">
        <v>0</v>
      </c>
      <c r="L118" s="74">
        <v>0</v>
      </c>
      <c r="M118" s="74">
        <v>0</v>
      </c>
      <c r="N118" s="74">
        <v>0</v>
      </c>
      <c r="O118" s="74">
        <v>0</v>
      </c>
      <c r="P118" s="74">
        <v>0</v>
      </c>
      <c r="Q118" s="74">
        <v>0</v>
      </c>
      <c r="R118" s="74">
        <v>0</v>
      </c>
      <c r="S118" s="74">
        <v>0</v>
      </c>
      <c r="T118" s="74">
        <v>0</v>
      </c>
      <c r="U118" s="74">
        <v>0</v>
      </c>
      <c r="V118" s="74">
        <v>0</v>
      </c>
      <c r="W118" s="74">
        <v>0</v>
      </c>
      <c r="X118" s="74">
        <v>0</v>
      </c>
      <c r="Y118" s="74">
        <v>0</v>
      </c>
      <c r="Z118" s="74">
        <v>0</v>
      </c>
      <c r="AA118" s="74">
        <v>0</v>
      </c>
      <c r="AB118" s="74">
        <v>0</v>
      </c>
      <c r="AC118" s="74">
        <v>0</v>
      </c>
      <c r="AD118" s="74">
        <v>0</v>
      </c>
      <c r="AE118" s="74">
        <v>0</v>
      </c>
      <c r="AF118" s="74">
        <v>0</v>
      </c>
      <c r="AG118" s="74">
        <v>0</v>
      </c>
      <c r="AH118" s="74">
        <v>43</v>
      </c>
      <c r="AI118" s="78">
        <v>1E-4</v>
      </c>
    </row>
    <row r="119" spans="1:35" x14ac:dyDescent="0.2">
      <c r="A119" s="74" t="s">
        <v>663</v>
      </c>
      <c r="B119" s="74" t="s">
        <v>664</v>
      </c>
      <c r="C119" s="74">
        <v>0.99999000000000005</v>
      </c>
      <c r="D119" s="74">
        <v>0</v>
      </c>
      <c r="E119" s="74">
        <v>0</v>
      </c>
      <c r="F119" s="74">
        <v>0</v>
      </c>
      <c r="G119" s="74">
        <v>0</v>
      </c>
      <c r="H119" s="74">
        <v>0</v>
      </c>
      <c r="I119" s="74">
        <v>2</v>
      </c>
      <c r="J119" s="74">
        <v>0</v>
      </c>
      <c r="K119" s="74">
        <v>0</v>
      </c>
      <c r="L119" s="74">
        <v>0</v>
      </c>
      <c r="M119" s="74">
        <v>0</v>
      </c>
      <c r="N119" s="74">
        <v>0</v>
      </c>
      <c r="O119" s="74">
        <v>0</v>
      </c>
      <c r="P119" s="74">
        <v>12</v>
      </c>
      <c r="Q119" s="74">
        <v>0</v>
      </c>
      <c r="R119" s="74">
        <v>0</v>
      </c>
      <c r="S119" s="74">
        <v>0</v>
      </c>
      <c r="T119" s="74">
        <v>0</v>
      </c>
      <c r="U119" s="74">
        <v>0</v>
      </c>
      <c r="V119" s="74">
        <v>8</v>
      </c>
      <c r="W119" s="74">
        <v>6</v>
      </c>
      <c r="X119" s="74">
        <v>0</v>
      </c>
      <c r="Y119" s="74">
        <v>0</v>
      </c>
      <c r="Z119" s="74">
        <v>0</v>
      </c>
      <c r="AA119" s="74">
        <v>0</v>
      </c>
      <c r="AB119" s="74">
        <v>8</v>
      </c>
      <c r="AC119" s="74">
        <v>0</v>
      </c>
      <c r="AD119" s="74">
        <v>6</v>
      </c>
      <c r="AE119" s="74">
        <v>0</v>
      </c>
      <c r="AF119" s="74">
        <v>0</v>
      </c>
      <c r="AG119" s="74">
        <v>0</v>
      </c>
      <c r="AH119" s="74">
        <v>42</v>
      </c>
      <c r="AI119" s="78">
        <v>1E-4</v>
      </c>
    </row>
    <row r="120" spans="1:35" x14ac:dyDescent="0.2">
      <c r="A120" s="74" t="s">
        <v>665</v>
      </c>
      <c r="B120" s="74" t="s">
        <v>536</v>
      </c>
      <c r="C120" s="74">
        <v>0.90839599999999998</v>
      </c>
      <c r="D120" s="74">
        <v>0</v>
      </c>
      <c r="E120" s="74">
        <v>0</v>
      </c>
      <c r="F120" s="74">
        <v>0</v>
      </c>
      <c r="G120" s="74">
        <v>11</v>
      </c>
      <c r="H120" s="74">
        <v>12</v>
      </c>
      <c r="I120" s="74">
        <v>0</v>
      </c>
      <c r="J120" s="74">
        <v>0</v>
      </c>
      <c r="K120" s="74">
        <v>0</v>
      </c>
      <c r="L120" s="74">
        <v>0</v>
      </c>
      <c r="M120" s="74">
        <v>0</v>
      </c>
      <c r="N120" s="74">
        <v>0</v>
      </c>
      <c r="O120" s="74">
        <v>0</v>
      </c>
      <c r="P120" s="74">
        <v>0</v>
      </c>
      <c r="Q120" s="74">
        <v>0</v>
      </c>
      <c r="R120" s="74">
        <v>0</v>
      </c>
      <c r="S120" s="74">
        <v>0</v>
      </c>
      <c r="T120" s="74">
        <v>0</v>
      </c>
      <c r="U120" s="74">
        <v>0</v>
      </c>
      <c r="V120" s="74">
        <v>0</v>
      </c>
      <c r="W120" s="74">
        <v>0</v>
      </c>
      <c r="X120" s="74">
        <v>0</v>
      </c>
      <c r="Y120" s="74">
        <v>0</v>
      </c>
      <c r="Z120" s="74">
        <v>0</v>
      </c>
      <c r="AA120" s="74">
        <v>0</v>
      </c>
      <c r="AB120" s="74">
        <v>18</v>
      </c>
      <c r="AC120" s="74">
        <v>0</v>
      </c>
      <c r="AD120" s="74">
        <v>0</v>
      </c>
      <c r="AE120" s="74">
        <v>0</v>
      </c>
      <c r="AF120" s="74">
        <v>0</v>
      </c>
      <c r="AG120" s="74">
        <v>0</v>
      </c>
      <c r="AH120" s="74">
        <v>41</v>
      </c>
      <c r="AI120" s="78">
        <v>1E-4</v>
      </c>
    </row>
    <row r="121" spans="1:35" x14ac:dyDescent="0.2">
      <c r="A121" s="74" t="s">
        <v>666</v>
      </c>
      <c r="B121" s="74" t="s">
        <v>538</v>
      </c>
      <c r="C121" s="74">
        <v>0.96143900000000004</v>
      </c>
      <c r="D121" s="74">
        <v>0</v>
      </c>
      <c r="E121" s="74">
        <v>20</v>
      </c>
      <c r="F121" s="74">
        <v>0</v>
      </c>
      <c r="G121" s="74">
        <v>0</v>
      </c>
      <c r="H121" s="74">
        <v>0</v>
      </c>
      <c r="I121" s="74">
        <v>0</v>
      </c>
      <c r="J121" s="74">
        <v>0</v>
      </c>
      <c r="K121" s="74">
        <v>0</v>
      </c>
      <c r="L121" s="74">
        <v>0</v>
      </c>
      <c r="M121" s="74">
        <v>0</v>
      </c>
      <c r="N121" s="74">
        <v>0</v>
      </c>
      <c r="O121" s="74">
        <v>0</v>
      </c>
      <c r="P121" s="74">
        <v>0</v>
      </c>
      <c r="Q121" s="74">
        <v>0</v>
      </c>
      <c r="R121" s="74">
        <v>0</v>
      </c>
      <c r="S121" s="74">
        <v>0</v>
      </c>
      <c r="T121" s="74">
        <v>0</v>
      </c>
      <c r="U121" s="74">
        <v>21</v>
      </c>
      <c r="V121" s="74">
        <v>0</v>
      </c>
      <c r="W121" s="74">
        <v>0</v>
      </c>
      <c r="X121" s="74">
        <v>0</v>
      </c>
      <c r="Y121" s="74">
        <v>0</v>
      </c>
      <c r="Z121" s="74">
        <v>0</v>
      </c>
      <c r="AA121" s="74">
        <v>0</v>
      </c>
      <c r="AB121" s="74">
        <v>0</v>
      </c>
      <c r="AC121" s="74">
        <v>0</v>
      </c>
      <c r="AD121" s="74">
        <v>0</v>
      </c>
      <c r="AE121" s="74">
        <v>0</v>
      </c>
      <c r="AF121" s="74">
        <v>0</v>
      </c>
      <c r="AG121" s="74">
        <v>0</v>
      </c>
      <c r="AH121" s="74">
        <v>41</v>
      </c>
      <c r="AI121" s="78">
        <v>1E-4</v>
      </c>
    </row>
    <row r="122" spans="1:35" x14ac:dyDescent="0.2">
      <c r="A122" s="74" t="s">
        <v>667</v>
      </c>
      <c r="B122" s="74" t="s">
        <v>543</v>
      </c>
      <c r="C122" s="74">
        <v>0.99988500000000002</v>
      </c>
      <c r="D122" s="74">
        <v>0</v>
      </c>
      <c r="E122" s="74">
        <v>17</v>
      </c>
      <c r="F122" s="74">
        <v>12</v>
      </c>
      <c r="G122" s="74">
        <v>0</v>
      </c>
      <c r="H122" s="74">
        <v>0</v>
      </c>
      <c r="I122" s="74">
        <v>0</v>
      </c>
      <c r="J122" s="74">
        <v>0</v>
      </c>
      <c r="K122" s="74">
        <v>0</v>
      </c>
      <c r="L122" s="74">
        <v>0</v>
      </c>
      <c r="M122" s="74">
        <v>0</v>
      </c>
      <c r="N122" s="74">
        <v>0</v>
      </c>
      <c r="O122" s="74">
        <v>0</v>
      </c>
      <c r="P122" s="74">
        <v>0</v>
      </c>
      <c r="Q122" s="74">
        <v>0</v>
      </c>
      <c r="R122" s="74">
        <v>0</v>
      </c>
      <c r="S122" s="74">
        <v>0</v>
      </c>
      <c r="T122" s="74">
        <v>0</v>
      </c>
      <c r="U122" s="74">
        <v>11</v>
      </c>
      <c r="V122" s="74">
        <v>0</v>
      </c>
      <c r="W122" s="74">
        <v>0</v>
      </c>
      <c r="X122" s="74">
        <v>0</v>
      </c>
      <c r="Y122" s="74">
        <v>0</v>
      </c>
      <c r="Z122" s="74">
        <v>0</v>
      </c>
      <c r="AA122" s="74">
        <v>0</v>
      </c>
      <c r="AB122" s="74">
        <v>0</v>
      </c>
      <c r="AC122" s="74">
        <v>0</v>
      </c>
      <c r="AD122" s="74">
        <v>0</v>
      </c>
      <c r="AE122" s="74">
        <v>0</v>
      </c>
      <c r="AF122" s="74">
        <v>0</v>
      </c>
      <c r="AG122" s="74">
        <v>0</v>
      </c>
      <c r="AH122" s="74">
        <v>40</v>
      </c>
      <c r="AI122" s="78">
        <v>1E-4</v>
      </c>
    </row>
    <row r="123" spans="1:35" x14ac:dyDescent="0.2">
      <c r="A123" s="74" t="s">
        <v>668</v>
      </c>
      <c r="B123" s="74" t="s">
        <v>527</v>
      </c>
      <c r="C123" s="74">
        <v>0.99971600000000005</v>
      </c>
      <c r="D123" s="74">
        <v>0</v>
      </c>
      <c r="E123" s="74">
        <v>0</v>
      </c>
      <c r="F123" s="74">
        <v>0</v>
      </c>
      <c r="G123" s="74">
        <v>12</v>
      </c>
      <c r="H123" s="74">
        <v>0</v>
      </c>
      <c r="I123" s="74">
        <v>0</v>
      </c>
      <c r="J123" s="74">
        <v>0</v>
      </c>
      <c r="K123" s="74">
        <v>0</v>
      </c>
      <c r="L123" s="74">
        <v>0</v>
      </c>
      <c r="M123" s="74">
        <v>0</v>
      </c>
      <c r="N123" s="74">
        <v>16</v>
      </c>
      <c r="O123" s="74">
        <v>10</v>
      </c>
      <c r="P123" s="74">
        <v>0</v>
      </c>
      <c r="Q123" s="74">
        <v>0</v>
      </c>
      <c r="R123" s="74">
        <v>0</v>
      </c>
      <c r="S123" s="74">
        <v>0</v>
      </c>
      <c r="T123" s="74">
        <v>0</v>
      </c>
      <c r="U123" s="74">
        <v>0</v>
      </c>
      <c r="V123" s="74">
        <v>0</v>
      </c>
      <c r="W123" s="74">
        <v>0</v>
      </c>
      <c r="X123" s="74">
        <v>0</v>
      </c>
      <c r="Y123" s="74">
        <v>0</v>
      </c>
      <c r="Z123" s="74">
        <v>0</v>
      </c>
      <c r="AA123" s="74">
        <v>0</v>
      </c>
      <c r="AB123" s="74">
        <v>0</v>
      </c>
      <c r="AC123" s="74">
        <v>0</v>
      </c>
      <c r="AD123" s="74">
        <v>0</v>
      </c>
      <c r="AE123" s="74">
        <v>0</v>
      </c>
      <c r="AF123" s="74">
        <v>0</v>
      </c>
      <c r="AG123" s="74">
        <v>0</v>
      </c>
      <c r="AH123" s="74">
        <v>38</v>
      </c>
      <c r="AI123" s="78">
        <v>1E-4</v>
      </c>
    </row>
    <row r="124" spans="1:35" x14ac:dyDescent="0.2">
      <c r="A124" s="74" t="s">
        <v>669</v>
      </c>
      <c r="B124" s="74" t="s">
        <v>527</v>
      </c>
      <c r="C124" s="74">
        <v>0.99955899999999998</v>
      </c>
      <c r="D124" s="74">
        <v>0</v>
      </c>
      <c r="E124" s="74">
        <v>0</v>
      </c>
      <c r="F124" s="74">
        <v>0</v>
      </c>
      <c r="G124" s="74">
        <v>0</v>
      </c>
      <c r="H124" s="74">
        <v>0</v>
      </c>
      <c r="I124" s="74">
        <v>0</v>
      </c>
      <c r="J124" s="74">
        <v>0</v>
      </c>
      <c r="K124" s="74">
        <v>0</v>
      </c>
      <c r="L124" s="74">
        <v>0</v>
      </c>
      <c r="M124" s="74">
        <v>0</v>
      </c>
      <c r="N124" s="74">
        <v>10</v>
      </c>
      <c r="O124" s="74">
        <v>0</v>
      </c>
      <c r="P124" s="74">
        <v>0</v>
      </c>
      <c r="Q124" s="74">
        <v>0</v>
      </c>
      <c r="R124" s="74">
        <v>0</v>
      </c>
      <c r="S124" s="74">
        <v>0</v>
      </c>
      <c r="T124" s="74">
        <v>0</v>
      </c>
      <c r="U124" s="74">
        <v>0</v>
      </c>
      <c r="V124" s="74">
        <v>0</v>
      </c>
      <c r="W124" s="74">
        <v>0</v>
      </c>
      <c r="X124" s="74">
        <v>0</v>
      </c>
      <c r="Y124" s="74">
        <v>0</v>
      </c>
      <c r="Z124" s="74">
        <v>0</v>
      </c>
      <c r="AA124" s="74">
        <v>0</v>
      </c>
      <c r="AB124" s="74">
        <v>0</v>
      </c>
      <c r="AC124" s="74">
        <v>0</v>
      </c>
      <c r="AD124" s="74">
        <v>0</v>
      </c>
      <c r="AE124" s="74">
        <v>12</v>
      </c>
      <c r="AF124" s="74">
        <v>16</v>
      </c>
      <c r="AG124" s="74">
        <v>0</v>
      </c>
      <c r="AH124" s="74">
        <v>38</v>
      </c>
      <c r="AI124" s="78">
        <v>1E-4</v>
      </c>
    </row>
    <row r="125" spans="1:35" x14ac:dyDescent="0.2">
      <c r="A125" s="74" t="s">
        <v>670</v>
      </c>
      <c r="B125" s="74" t="s">
        <v>528</v>
      </c>
      <c r="C125" s="74">
        <v>0.91960799999999998</v>
      </c>
      <c r="D125" s="74">
        <v>0</v>
      </c>
      <c r="E125" s="74">
        <v>0</v>
      </c>
      <c r="F125" s="74">
        <v>0</v>
      </c>
      <c r="G125" s="74">
        <v>0</v>
      </c>
      <c r="H125" s="74">
        <v>11</v>
      </c>
      <c r="I125" s="74">
        <v>0</v>
      </c>
      <c r="J125" s="74">
        <v>0</v>
      </c>
      <c r="K125" s="74">
        <v>0</v>
      </c>
      <c r="L125" s="74">
        <v>0</v>
      </c>
      <c r="M125" s="74">
        <v>0</v>
      </c>
      <c r="N125" s="74">
        <v>0</v>
      </c>
      <c r="O125" s="74">
        <v>0</v>
      </c>
      <c r="P125" s="74">
        <v>0</v>
      </c>
      <c r="Q125" s="74">
        <v>0</v>
      </c>
      <c r="R125" s="74">
        <v>0</v>
      </c>
      <c r="S125" s="74">
        <v>0</v>
      </c>
      <c r="T125" s="74">
        <v>0</v>
      </c>
      <c r="U125" s="74">
        <v>0</v>
      </c>
      <c r="V125" s="74">
        <v>0</v>
      </c>
      <c r="W125" s="74">
        <v>0</v>
      </c>
      <c r="X125" s="74">
        <v>0</v>
      </c>
      <c r="Y125" s="74">
        <v>9</v>
      </c>
      <c r="Z125" s="74">
        <v>0</v>
      </c>
      <c r="AA125" s="74">
        <v>0</v>
      </c>
      <c r="AB125" s="74">
        <v>0</v>
      </c>
      <c r="AC125" s="74">
        <v>17</v>
      </c>
      <c r="AD125" s="74">
        <v>0</v>
      </c>
      <c r="AE125" s="74">
        <v>0</v>
      </c>
      <c r="AF125" s="74">
        <v>0</v>
      </c>
      <c r="AG125" s="74">
        <v>0</v>
      </c>
      <c r="AH125" s="74">
        <v>37</v>
      </c>
      <c r="AI125" s="78">
        <v>1E-4</v>
      </c>
    </row>
    <row r="126" spans="1:35" x14ac:dyDescent="0.2">
      <c r="A126" s="74" t="s">
        <v>671</v>
      </c>
      <c r="B126" s="74" t="s">
        <v>527</v>
      </c>
      <c r="C126" s="74">
        <v>0.99962700000000004</v>
      </c>
      <c r="D126" s="74">
        <v>0</v>
      </c>
      <c r="E126" s="74">
        <v>0</v>
      </c>
      <c r="F126" s="74">
        <v>0</v>
      </c>
      <c r="G126" s="74">
        <v>0</v>
      </c>
      <c r="H126" s="74">
        <v>0</v>
      </c>
      <c r="I126" s="74">
        <v>0</v>
      </c>
      <c r="J126" s="74">
        <v>0</v>
      </c>
      <c r="K126" s="74">
        <v>12</v>
      </c>
      <c r="L126" s="74">
        <v>0</v>
      </c>
      <c r="M126" s="74">
        <v>0</v>
      </c>
      <c r="N126" s="74">
        <v>0</v>
      </c>
      <c r="O126" s="74">
        <v>0</v>
      </c>
      <c r="P126" s="74">
        <v>0</v>
      </c>
      <c r="Q126" s="74">
        <v>11</v>
      </c>
      <c r="R126" s="74">
        <v>0</v>
      </c>
      <c r="S126" s="74">
        <v>0</v>
      </c>
      <c r="T126" s="74">
        <v>0</v>
      </c>
      <c r="U126" s="74">
        <v>0</v>
      </c>
      <c r="V126" s="74">
        <v>0</v>
      </c>
      <c r="W126" s="74">
        <v>0</v>
      </c>
      <c r="X126" s="74">
        <v>0</v>
      </c>
      <c r="Y126" s="74">
        <v>0</v>
      </c>
      <c r="Z126" s="74">
        <v>0</v>
      </c>
      <c r="AA126" s="74">
        <v>0</v>
      </c>
      <c r="AB126" s="74">
        <v>0</v>
      </c>
      <c r="AC126" s="74">
        <v>0</v>
      </c>
      <c r="AD126" s="74">
        <v>0</v>
      </c>
      <c r="AE126" s="74">
        <v>13</v>
      </c>
      <c r="AF126" s="74">
        <v>0</v>
      </c>
      <c r="AG126" s="74">
        <v>0</v>
      </c>
      <c r="AH126" s="74">
        <v>36</v>
      </c>
      <c r="AI126" s="78">
        <v>1E-4</v>
      </c>
    </row>
    <row r="127" spans="1:35" x14ac:dyDescent="0.2">
      <c r="A127" s="74" t="s">
        <v>672</v>
      </c>
      <c r="B127" s="74" t="s">
        <v>530</v>
      </c>
      <c r="C127" s="74">
        <v>0.78179299999999996</v>
      </c>
      <c r="D127" s="74">
        <v>19</v>
      </c>
      <c r="E127" s="74">
        <v>0</v>
      </c>
      <c r="F127" s="74">
        <v>0</v>
      </c>
      <c r="G127" s="74">
        <v>0</v>
      </c>
      <c r="H127" s="74">
        <v>0</v>
      </c>
      <c r="I127" s="74">
        <v>0</v>
      </c>
      <c r="J127" s="74">
        <v>0</v>
      </c>
      <c r="K127" s="74">
        <v>0</v>
      </c>
      <c r="L127" s="74">
        <v>0</v>
      </c>
      <c r="M127" s="74">
        <v>0</v>
      </c>
      <c r="N127" s="74">
        <v>0</v>
      </c>
      <c r="O127" s="74">
        <v>0</v>
      </c>
      <c r="P127" s="74">
        <v>0</v>
      </c>
      <c r="Q127" s="74">
        <v>0</v>
      </c>
      <c r="R127" s="74">
        <v>0</v>
      </c>
      <c r="S127" s="74">
        <v>0</v>
      </c>
      <c r="T127" s="74">
        <v>0</v>
      </c>
      <c r="U127" s="74">
        <v>17</v>
      </c>
      <c r="V127" s="74">
        <v>0</v>
      </c>
      <c r="W127" s="74">
        <v>0</v>
      </c>
      <c r="X127" s="74">
        <v>0</v>
      </c>
      <c r="Y127" s="74">
        <v>0</v>
      </c>
      <c r="Z127" s="74">
        <v>0</v>
      </c>
      <c r="AA127" s="74">
        <v>0</v>
      </c>
      <c r="AB127" s="74">
        <v>0</v>
      </c>
      <c r="AC127" s="74">
        <v>0</v>
      </c>
      <c r="AD127" s="74">
        <v>0</v>
      </c>
      <c r="AE127" s="74">
        <v>0</v>
      </c>
      <c r="AF127" s="74">
        <v>0</v>
      </c>
      <c r="AG127" s="74">
        <v>0</v>
      </c>
      <c r="AH127" s="74">
        <v>36</v>
      </c>
      <c r="AI127" s="78">
        <v>1E-4</v>
      </c>
    </row>
    <row r="128" spans="1:35" x14ac:dyDescent="0.2">
      <c r="A128" s="74" t="s">
        <v>673</v>
      </c>
      <c r="B128" s="74" t="s">
        <v>527</v>
      </c>
      <c r="C128" s="74">
        <v>0.99954799999999999</v>
      </c>
      <c r="D128" s="74">
        <v>0</v>
      </c>
      <c r="E128" s="74">
        <v>0</v>
      </c>
      <c r="F128" s="74">
        <v>0</v>
      </c>
      <c r="G128" s="74">
        <v>13</v>
      </c>
      <c r="H128" s="74">
        <v>0</v>
      </c>
      <c r="I128" s="74">
        <v>0</v>
      </c>
      <c r="J128" s="74">
        <v>0</v>
      </c>
      <c r="K128" s="74">
        <v>0</v>
      </c>
      <c r="L128" s="74">
        <v>10</v>
      </c>
      <c r="M128" s="74">
        <v>0</v>
      </c>
      <c r="N128" s="74">
        <v>0</v>
      </c>
      <c r="O128" s="74">
        <v>0</v>
      </c>
      <c r="P128" s="74">
        <v>0</v>
      </c>
      <c r="Q128" s="74">
        <v>0</v>
      </c>
      <c r="R128" s="74">
        <v>0</v>
      </c>
      <c r="S128" s="74">
        <v>0</v>
      </c>
      <c r="T128" s="74">
        <v>0</v>
      </c>
      <c r="U128" s="74">
        <v>0</v>
      </c>
      <c r="V128" s="74">
        <v>0</v>
      </c>
      <c r="W128" s="74">
        <v>0</v>
      </c>
      <c r="X128" s="74">
        <v>0</v>
      </c>
      <c r="Y128" s="74">
        <v>0</v>
      </c>
      <c r="Z128" s="74">
        <v>0</v>
      </c>
      <c r="AA128" s="74">
        <v>0</v>
      </c>
      <c r="AB128" s="74">
        <v>0</v>
      </c>
      <c r="AC128" s="74">
        <v>0</v>
      </c>
      <c r="AD128" s="74">
        <v>0</v>
      </c>
      <c r="AE128" s="74">
        <v>12</v>
      </c>
      <c r="AF128" s="74">
        <v>0</v>
      </c>
      <c r="AG128" s="74">
        <v>0</v>
      </c>
      <c r="AH128" s="74">
        <v>35</v>
      </c>
      <c r="AI128" s="78">
        <v>1E-4</v>
      </c>
    </row>
    <row r="129" spans="1:35" x14ac:dyDescent="0.2">
      <c r="A129" s="74" t="s">
        <v>674</v>
      </c>
      <c r="B129" s="74" t="s">
        <v>536</v>
      </c>
      <c r="C129" s="74">
        <v>0.84669799999999995</v>
      </c>
      <c r="D129" s="74">
        <v>0</v>
      </c>
      <c r="E129" s="74">
        <v>0</v>
      </c>
      <c r="F129" s="74">
        <v>0</v>
      </c>
      <c r="G129" s="74">
        <v>0</v>
      </c>
      <c r="H129" s="74">
        <v>11</v>
      </c>
      <c r="I129" s="74">
        <v>0</v>
      </c>
      <c r="J129" s="74">
        <v>0</v>
      </c>
      <c r="K129" s="74">
        <v>0</v>
      </c>
      <c r="L129" s="74">
        <v>0</v>
      </c>
      <c r="M129" s="74">
        <v>0</v>
      </c>
      <c r="N129" s="74">
        <v>0</v>
      </c>
      <c r="O129" s="74">
        <v>0</v>
      </c>
      <c r="P129" s="74">
        <v>24</v>
      </c>
      <c r="Q129" s="74">
        <v>0</v>
      </c>
      <c r="R129" s="74">
        <v>0</v>
      </c>
      <c r="S129" s="74">
        <v>0</v>
      </c>
      <c r="T129" s="74">
        <v>0</v>
      </c>
      <c r="U129" s="74">
        <v>0</v>
      </c>
      <c r="V129" s="74">
        <v>0</v>
      </c>
      <c r="W129" s="74">
        <v>0</v>
      </c>
      <c r="X129" s="74">
        <v>0</v>
      </c>
      <c r="Y129" s="74">
        <v>0</v>
      </c>
      <c r="Z129" s="74">
        <v>0</v>
      </c>
      <c r="AA129" s="74">
        <v>0</v>
      </c>
      <c r="AB129" s="74">
        <v>0</v>
      </c>
      <c r="AC129" s="74">
        <v>0</v>
      </c>
      <c r="AD129" s="74">
        <v>0</v>
      </c>
      <c r="AE129" s="74">
        <v>0</v>
      </c>
      <c r="AF129" s="74">
        <v>0</v>
      </c>
      <c r="AG129" s="74">
        <v>0</v>
      </c>
      <c r="AH129" s="74">
        <v>35</v>
      </c>
      <c r="AI129" s="78">
        <v>1E-4</v>
      </c>
    </row>
    <row r="130" spans="1:35" x14ac:dyDescent="0.2">
      <c r="A130" s="74" t="s">
        <v>675</v>
      </c>
      <c r="B130" s="74" t="s">
        <v>530</v>
      </c>
      <c r="C130" s="74">
        <v>0.782663</v>
      </c>
      <c r="D130" s="74">
        <v>21</v>
      </c>
      <c r="E130" s="74">
        <v>0</v>
      </c>
      <c r="F130" s="74">
        <v>0</v>
      </c>
      <c r="G130" s="74">
        <v>0</v>
      </c>
      <c r="H130" s="74">
        <v>0</v>
      </c>
      <c r="I130" s="74">
        <v>0</v>
      </c>
      <c r="J130" s="74">
        <v>0</v>
      </c>
      <c r="K130" s="74">
        <v>0</v>
      </c>
      <c r="L130" s="74">
        <v>0</v>
      </c>
      <c r="M130" s="74">
        <v>0</v>
      </c>
      <c r="N130" s="74">
        <v>0</v>
      </c>
      <c r="O130" s="74">
        <v>0</v>
      </c>
      <c r="P130" s="74">
        <v>0</v>
      </c>
      <c r="Q130" s="74">
        <v>0</v>
      </c>
      <c r="R130" s="74">
        <v>0</v>
      </c>
      <c r="S130" s="74">
        <v>0</v>
      </c>
      <c r="T130" s="74">
        <v>0</v>
      </c>
      <c r="U130" s="74">
        <v>14</v>
      </c>
      <c r="V130" s="74">
        <v>0</v>
      </c>
      <c r="W130" s="74">
        <v>0</v>
      </c>
      <c r="X130" s="74">
        <v>0</v>
      </c>
      <c r="Y130" s="74">
        <v>0</v>
      </c>
      <c r="Z130" s="74">
        <v>0</v>
      </c>
      <c r="AA130" s="74">
        <v>0</v>
      </c>
      <c r="AB130" s="74">
        <v>0</v>
      </c>
      <c r="AC130" s="74">
        <v>0</v>
      </c>
      <c r="AD130" s="74">
        <v>0</v>
      </c>
      <c r="AE130" s="74">
        <v>0</v>
      </c>
      <c r="AF130" s="74">
        <v>0</v>
      </c>
      <c r="AG130" s="74">
        <v>0</v>
      </c>
      <c r="AH130" s="74">
        <v>35</v>
      </c>
      <c r="AI130" s="78">
        <v>1E-4</v>
      </c>
    </row>
    <row r="131" spans="1:35" x14ac:dyDescent="0.2">
      <c r="A131" s="74" t="s">
        <v>676</v>
      </c>
      <c r="B131" s="74" t="s">
        <v>527</v>
      </c>
      <c r="C131" s="74">
        <v>0.99960199999999999</v>
      </c>
      <c r="D131" s="74">
        <v>0</v>
      </c>
      <c r="E131" s="74">
        <v>0</v>
      </c>
      <c r="F131" s="74">
        <v>0</v>
      </c>
      <c r="G131" s="74">
        <v>10</v>
      </c>
      <c r="H131" s="74">
        <v>0</v>
      </c>
      <c r="I131" s="74">
        <v>0</v>
      </c>
      <c r="J131" s="74">
        <v>0</v>
      </c>
      <c r="K131" s="74">
        <v>12</v>
      </c>
      <c r="L131" s="74">
        <v>0</v>
      </c>
      <c r="M131" s="74">
        <v>0</v>
      </c>
      <c r="N131" s="74">
        <v>0</v>
      </c>
      <c r="O131" s="74">
        <v>0</v>
      </c>
      <c r="P131" s="74">
        <v>0</v>
      </c>
      <c r="Q131" s="74">
        <v>0</v>
      </c>
      <c r="R131" s="74">
        <v>0</v>
      </c>
      <c r="S131" s="74">
        <v>0</v>
      </c>
      <c r="T131" s="74">
        <v>0</v>
      </c>
      <c r="U131" s="74">
        <v>0</v>
      </c>
      <c r="V131" s="74">
        <v>0</v>
      </c>
      <c r="W131" s="74">
        <v>0</v>
      </c>
      <c r="X131" s="74">
        <v>0</v>
      </c>
      <c r="Y131" s="74">
        <v>0</v>
      </c>
      <c r="Z131" s="74">
        <v>0</v>
      </c>
      <c r="AA131" s="74">
        <v>0</v>
      </c>
      <c r="AB131" s="74">
        <v>0</v>
      </c>
      <c r="AC131" s="74">
        <v>0</v>
      </c>
      <c r="AD131" s="74">
        <v>0</v>
      </c>
      <c r="AE131" s="74">
        <v>0</v>
      </c>
      <c r="AF131" s="74">
        <v>12</v>
      </c>
      <c r="AG131" s="74">
        <v>0</v>
      </c>
      <c r="AH131" s="74">
        <v>34</v>
      </c>
      <c r="AI131" s="78">
        <v>1E-4</v>
      </c>
    </row>
    <row r="132" spans="1:35" x14ac:dyDescent="0.2">
      <c r="A132" s="74" t="s">
        <v>677</v>
      </c>
      <c r="B132" s="74" t="s">
        <v>527</v>
      </c>
      <c r="C132" s="74">
        <v>0.99931499999999995</v>
      </c>
      <c r="D132" s="74">
        <v>0</v>
      </c>
      <c r="E132" s="74">
        <v>0</v>
      </c>
      <c r="F132" s="74">
        <v>0</v>
      </c>
      <c r="G132" s="74">
        <v>0</v>
      </c>
      <c r="H132" s="74">
        <v>0</v>
      </c>
      <c r="I132" s="74">
        <v>0</v>
      </c>
      <c r="J132" s="74">
        <v>0</v>
      </c>
      <c r="K132" s="74">
        <v>11</v>
      </c>
      <c r="L132" s="74">
        <v>0</v>
      </c>
      <c r="M132" s="74">
        <v>0</v>
      </c>
      <c r="N132" s="74">
        <v>0</v>
      </c>
      <c r="O132" s="74">
        <v>0</v>
      </c>
      <c r="P132" s="74">
        <v>0</v>
      </c>
      <c r="Q132" s="74">
        <v>0</v>
      </c>
      <c r="R132" s="74">
        <v>0</v>
      </c>
      <c r="S132" s="74">
        <v>0</v>
      </c>
      <c r="T132" s="74">
        <v>0</v>
      </c>
      <c r="U132" s="74">
        <v>0</v>
      </c>
      <c r="V132" s="74">
        <v>0</v>
      </c>
      <c r="W132" s="74">
        <v>0</v>
      </c>
      <c r="X132" s="74">
        <v>0</v>
      </c>
      <c r="Y132" s="74">
        <v>0</v>
      </c>
      <c r="Z132" s="74">
        <v>0</v>
      </c>
      <c r="AA132" s="74">
        <v>0</v>
      </c>
      <c r="AB132" s="74">
        <v>0</v>
      </c>
      <c r="AC132" s="74">
        <v>0</v>
      </c>
      <c r="AD132" s="74">
        <v>0</v>
      </c>
      <c r="AE132" s="74">
        <v>10</v>
      </c>
      <c r="AF132" s="74">
        <v>13</v>
      </c>
      <c r="AG132" s="74">
        <v>0</v>
      </c>
      <c r="AH132" s="74">
        <v>34</v>
      </c>
      <c r="AI132" s="78">
        <v>1E-4</v>
      </c>
    </row>
    <row r="133" spans="1:35" x14ac:dyDescent="0.2">
      <c r="A133" s="74" t="s">
        <v>678</v>
      </c>
      <c r="B133" s="74" t="s">
        <v>528</v>
      </c>
      <c r="C133" s="74">
        <v>0.823245</v>
      </c>
      <c r="D133" s="74">
        <v>0</v>
      </c>
      <c r="E133" s="74">
        <v>0</v>
      </c>
      <c r="F133" s="74">
        <v>16</v>
      </c>
      <c r="G133" s="74">
        <v>0</v>
      </c>
      <c r="H133" s="74">
        <v>0</v>
      </c>
      <c r="I133" s="74">
        <v>0</v>
      </c>
      <c r="J133" s="74">
        <v>0</v>
      </c>
      <c r="K133" s="74">
        <v>0</v>
      </c>
      <c r="L133" s="74">
        <v>0</v>
      </c>
      <c r="M133" s="74">
        <v>0</v>
      </c>
      <c r="N133" s="74">
        <v>0</v>
      </c>
      <c r="O133" s="74">
        <v>0</v>
      </c>
      <c r="P133" s="74">
        <v>0</v>
      </c>
      <c r="Q133" s="74">
        <v>0</v>
      </c>
      <c r="R133" s="74">
        <v>0</v>
      </c>
      <c r="S133" s="74">
        <v>0</v>
      </c>
      <c r="T133" s="74">
        <v>0</v>
      </c>
      <c r="U133" s="74">
        <v>0</v>
      </c>
      <c r="V133" s="74">
        <v>0</v>
      </c>
      <c r="W133" s="74">
        <v>0</v>
      </c>
      <c r="X133" s="74">
        <v>0</v>
      </c>
      <c r="Y133" s="74">
        <v>0</v>
      </c>
      <c r="Z133" s="74">
        <v>0</v>
      </c>
      <c r="AA133" s="74">
        <v>0</v>
      </c>
      <c r="AB133" s="74">
        <v>9</v>
      </c>
      <c r="AC133" s="74">
        <v>0</v>
      </c>
      <c r="AD133" s="74">
        <v>0</v>
      </c>
      <c r="AE133" s="74">
        <v>0</v>
      </c>
      <c r="AF133" s="74">
        <v>0</v>
      </c>
      <c r="AG133" s="74">
        <v>9</v>
      </c>
      <c r="AH133" s="74">
        <v>34</v>
      </c>
      <c r="AI133" s="78">
        <v>1E-4</v>
      </c>
    </row>
    <row r="134" spans="1:35" x14ac:dyDescent="0.2">
      <c r="A134" s="74" t="s">
        <v>679</v>
      </c>
      <c r="B134" s="74" t="s">
        <v>538</v>
      </c>
      <c r="C134" s="74">
        <v>0.94515700000000002</v>
      </c>
      <c r="D134" s="74">
        <v>0</v>
      </c>
      <c r="E134" s="74">
        <v>16</v>
      </c>
      <c r="F134" s="74">
        <v>0</v>
      </c>
      <c r="G134" s="74">
        <v>0</v>
      </c>
      <c r="H134" s="74">
        <v>0</v>
      </c>
      <c r="I134" s="74">
        <v>0</v>
      </c>
      <c r="J134" s="74">
        <v>0</v>
      </c>
      <c r="K134" s="74">
        <v>0</v>
      </c>
      <c r="L134" s="74">
        <v>0</v>
      </c>
      <c r="M134" s="74">
        <v>0</v>
      </c>
      <c r="N134" s="74">
        <v>0</v>
      </c>
      <c r="O134" s="74">
        <v>0</v>
      </c>
      <c r="P134" s="74">
        <v>0</v>
      </c>
      <c r="Q134" s="74">
        <v>0</v>
      </c>
      <c r="R134" s="74">
        <v>0</v>
      </c>
      <c r="S134" s="74">
        <v>0</v>
      </c>
      <c r="T134" s="74">
        <v>0</v>
      </c>
      <c r="U134" s="74">
        <v>17</v>
      </c>
      <c r="V134" s="74">
        <v>0</v>
      </c>
      <c r="W134" s="74">
        <v>0</v>
      </c>
      <c r="X134" s="74">
        <v>0</v>
      </c>
      <c r="Y134" s="74">
        <v>0</v>
      </c>
      <c r="Z134" s="74">
        <v>0</v>
      </c>
      <c r="AA134" s="74">
        <v>0</v>
      </c>
      <c r="AB134" s="74">
        <v>0</v>
      </c>
      <c r="AC134" s="74">
        <v>0</v>
      </c>
      <c r="AD134" s="74">
        <v>0</v>
      </c>
      <c r="AE134" s="74">
        <v>0</v>
      </c>
      <c r="AF134" s="74">
        <v>0</v>
      </c>
      <c r="AG134" s="74">
        <v>0</v>
      </c>
      <c r="AH134" s="74">
        <v>33</v>
      </c>
      <c r="AI134" s="78">
        <v>1E-4</v>
      </c>
    </row>
    <row r="135" spans="1:35" x14ac:dyDescent="0.2">
      <c r="A135" s="74" t="s">
        <v>680</v>
      </c>
      <c r="B135" s="74" t="s">
        <v>527</v>
      </c>
      <c r="C135" s="74">
        <v>0.99935200000000002</v>
      </c>
      <c r="D135" s="74">
        <v>0</v>
      </c>
      <c r="E135" s="74">
        <v>0</v>
      </c>
      <c r="F135" s="74">
        <v>0</v>
      </c>
      <c r="G135" s="74">
        <v>0</v>
      </c>
      <c r="H135" s="74">
        <v>0</v>
      </c>
      <c r="I135" s="74">
        <v>0</v>
      </c>
      <c r="J135" s="74">
        <v>0</v>
      </c>
      <c r="K135" s="74">
        <v>10</v>
      </c>
      <c r="L135" s="74">
        <v>10</v>
      </c>
      <c r="M135" s="74">
        <v>0</v>
      </c>
      <c r="N135" s="74">
        <v>0</v>
      </c>
      <c r="O135" s="74">
        <v>0</v>
      </c>
      <c r="P135" s="74">
        <v>0</v>
      </c>
      <c r="Q135" s="74">
        <v>12</v>
      </c>
      <c r="R135" s="74">
        <v>0</v>
      </c>
      <c r="S135" s="74">
        <v>0</v>
      </c>
      <c r="T135" s="74">
        <v>0</v>
      </c>
      <c r="U135" s="74">
        <v>0</v>
      </c>
      <c r="V135" s="74">
        <v>0</v>
      </c>
      <c r="W135" s="74">
        <v>0</v>
      </c>
      <c r="X135" s="74">
        <v>0</v>
      </c>
      <c r="Y135" s="74">
        <v>0</v>
      </c>
      <c r="Z135" s="74">
        <v>0</v>
      </c>
      <c r="AA135" s="74">
        <v>0</v>
      </c>
      <c r="AB135" s="74">
        <v>0</v>
      </c>
      <c r="AC135" s="74">
        <v>0</v>
      </c>
      <c r="AD135" s="74">
        <v>0</v>
      </c>
      <c r="AE135" s="74">
        <v>0</v>
      </c>
      <c r="AF135" s="74">
        <v>0</v>
      </c>
      <c r="AG135" s="74">
        <v>0</v>
      </c>
      <c r="AH135" s="74">
        <v>32</v>
      </c>
      <c r="AI135" s="78">
        <v>1E-4</v>
      </c>
    </row>
    <row r="136" spans="1:35" x14ac:dyDescent="0.2">
      <c r="A136" s="74" t="s">
        <v>681</v>
      </c>
      <c r="B136" s="74" t="s">
        <v>534</v>
      </c>
      <c r="C136" s="74">
        <v>0.90770799999999996</v>
      </c>
      <c r="D136" s="74">
        <v>0</v>
      </c>
      <c r="E136" s="74">
        <v>16</v>
      </c>
      <c r="F136" s="74">
        <v>0</v>
      </c>
      <c r="G136" s="74">
        <v>0</v>
      </c>
      <c r="H136" s="74">
        <v>0</v>
      </c>
      <c r="I136" s="74">
        <v>0</v>
      </c>
      <c r="J136" s="74">
        <v>0</v>
      </c>
      <c r="K136" s="74">
        <v>0</v>
      </c>
      <c r="L136" s="74">
        <v>0</v>
      </c>
      <c r="M136" s="74">
        <v>0</v>
      </c>
      <c r="N136" s="74">
        <v>0</v>
      </c>
      <c r="O136" s="74">
        <v>13</v>
      </c>
      <c r="P136" s="74">
        <v>0</v>
      </c>
      <c r="Q136" s="74">
        <v>0</v>
      </c>
      <c r="R136" s="74">
        <v>0</v>
      </c>
      <c r="S136" s="74">
        <v>0</v>
      </c>
      <c r="T136" s="74">
        <v>0</v>
      </c>
      <c r="U136" s="74">
        <v>0</v>
      </c>
      <c r="V136" s="74">
        <v>0</v>
      </c>
      <c r="W136" s="74">
        <v>0</v>
      </c>
      <c r="X136" s="74">
        <v>0</v>
      </c>
      <c r="Y136" s="74">
        <v>0</v>
      </c>
      <c r="Z136" s="74">
        <v>0</v>
      </c>
      <c r="AA136" s="74">
        <v>0</v>
      </c>
      <c r="AB136" s="74">
        <v>0</v>
      </c>
      <c r="AC136" s="74">
        <v>0</v>
      </c>
      <c r="AD136" s="74">
        <v>0</v>
      </c>
      <c r="AE136" s="74">
        <v>0</v>
      </c>
      <c r="AF136" s="74">
        <v>0</v>
      </c>
      <c r="AG136" s="74">
        <v>0</v>
      </c>
      <c r="AH136" s="74">
        <v>29</v>
      </c>
      <c r="AI136" s="78">
        <v>1E-4</v>
      </c>
    </row>
    <row r="137" spans="1:35" x14ac:dyDescent="0.2">
      <c r="A137" s="74" t="s">
        <v>682</v>
      </c>
      <c r="B137" s="74" t="s">
        <v>683</v>
      </c>
      <c r="C137" s="74">
        <v>0.92750100000000002</v>
      </c>
      <c r="D137" s="74">
        <v>0</v>
      </c>
      <c r="E137" s="74">
        <v>0</v>
      </c>
      <c r="F137" s="74">
        <v>0</v>
      </c>
      <c r="G137" s="74">
        <v>0</v>
      </c>
      <c r="H137" s="74">
        <v>0</v>
      </c>
      <c r="I137" s="74">
        <v>0</v>
      </c>
      <c r="J137" s="74">
        <v>0</v>
      </c>
      <c r="K137" s="74">
        <v>0</v>
      </c>
      <c r="L137" s="74">
        <v>0</v>
      </c>
      <c r="M137" s="74">
        <v>0</v>
      </c>
      <c r="N137" s="74">
        <v>0</v>
      </c>
      <c r="O137" s="74">
        <v>0</v>
      </c>
      <c r="P137" s="74">
        <v>0</v>
      </c>
      <c r="Q137" s="74">
        <v>9</v>
      </c>
      <c r="R137" s="74">
        <v>0</v>
      </c>
      <c r="S137" s="74">
        <v>0</v>
      </c>
      <c r="T137" s="74">
        <v>0</v>
      </c>
      <c r="U137" s="74">
        <v>0</v>
      </c>
      <c r="V137" s="74">
        <v>6</v>
      </c>
      <c r="W137" s="74">
        <v>0</v>
      </c>
      <c r="X137" s="74">
        <v>0</v>
      </c>
      <c r="Y137" s="74">
        <v>0</v>
      </c>
      <c r="Z137" s="74">
        <v>0</v>
      </c>
      <c r="AA137" s="74">
        <v>0</v>
      </c>
      <c r="AB137" s="74">
        <v>14</v>
      </c>
      <c r="AC137" s="74">
        <v>0</v>
      </c>
      <c r="AD137" s="74">
        <v>0</v>
      </c>
      <c r="AE137" s="74">
        <v>0</v>
      </c>
      <c r="AF137" s="74">
        <v>0</v>
      </c>
      <c r="AG137" s="74">
        <v>0</v>
      </c>
      <c r="AH137" s="74">
        <v>29</v>
      </c>
      <c r="AI137" s="78">
        <v>1E-4</v>
      </c>
    </row>
    <row r="138" spans="1:35" x14ac:dyDescent="0.2">
      <c r="A138" s="74" t="s">
        <v>684</v>
      </c>
      <c r="B138" s="74" t="s">
        <v>685</v>
      </c>
      <c r="C138" s="74">
        <v>0.70720400000000005</v>
      </c>
      <c r="D138" s="74">
        <v>20</v>
      </c>
      <c r="E138" s="74">
        <v>0</v>
      </c>
      <c r="F138" s="74">
        <v>0</v>
      </c>
      <c r="G138" s="74">
        <v>0</v>
      </c>
      <c r="H138" s="74">
        <v>0</v>
      </c>
      <c r="I138" s="74">
        <v>0</v>
      </c>
      <c r="J138" s="74">
        <v>8</v>
      </c>
      <c r="K138" s="74">
        <v>0</v>
      </c>
      <c r="L138" s="74">
        <v>0</v>
      </c>
      <c r="M138" s="74">
        <v>0</v>
      </c>
      <c r="N138" s="74">
        <v>0</v>
      </c>
      <c r="O138" s="74">
        <v>0</v>
      </c>
      <c r="P138" s="74">
        <v>0</v>
      </c>
      <c r="Q138" s="74">
        <v>0</v>
      </c>
      <c r="R138" s="74">
        <v>0</v>
      </c>
      <c r="S138" s="74">
        <v>0</v>
      </c>
      <c r="T138" s="74">
        <v>0</v>
      </c>
      <c r="U138" s="74">
        <v>0</v>
      </c>
      <c r="V138" s="74">
        <v>0</v>
      </c>
      <c r="W138" s="74">
        <v>0</v>
      </c>
      <c r="X138" s="74">
        <v>0</v>
      </c>
      <c r="Y138" s="74">
        <v>0</v>
      </c>
      <c r="Z138" s="74">
        <v>0</v>
      </c>
      <c r="AA138" s="74">
        <v>0</v>
      </c>
      <c r="AB138" s="74">
        <v>0</v>
      </c>
      <c r="AC138" s="74">
        <v>0</v>
      </c>
      <c r="AD138" s="74">
        <v>0</v>
      </c>
      <c r="AE138" s="74">
        <v>0</v>
      </c>
      <c r="AF138" s="74">
        <v>0</v>
      </c>
      <c r="AG138" s="74">
        <v>0</v>
      </c>
      <c r="AH138" s="74">
        <v>28</v>
      </c>
      <c r="AI138" s="78">
        <v>1E-4</v>
      </c>
    </row>
    <row r="139" spans="1:35" x14ac:dyDescent="0.2">
      <c r="A139" s="74" t="s">
        <v>686</v>
      </c>
      <c r="B139" s="74" t="s">
        <v>527</v>
      </c>
      <c r="C139" s="74">
        <v>0.99889300000000003</v>
      </c>
      <c r="D139" s="74">
        <v>0</v>
      </c>
      <c r="E139" s="74">
        <v>0</v>
      </c>
      <c r="F139" s="74">
        <v>0</v>
      </c>
      <c r="G139" s="74">
        <v>0</v>
      </c>
      <c r="H139" s="74">
        <v>0</v>
      </c>
      <c r="I139" s="74">
        <v>0</v>
      </c>
      <c r="J139" s="74">
        <v>0</v>
      </c>
      <c r="K139" s="74">
        <v>11</v>
      </c>
      <c r="L139" s="74">
        <v>16</v>
      </c>
      <c r="M139" s="74">
        <v>0</v>
      </c>
      <c r="N139" s="74">
        <v>0</v>
      </c>
      <c r="O139" s="74">
        <v>0</v>
      </c>
      <c r="P139" s="74">
        <v>0</v>
      </c>
      <c r="Q139" s="74">
        <v>0</v>
      </c>
      <c r="R139" s="74">
        <v>0</v>
      </c>
      <c r="S139" s="74">
        <v>0</v>
      </c>
      <c r="T139" s="74">
        <v>0</v>
      </c>
      <c r="U139" s="74">
        <v>0</v>
      </c>
      <c r="V139" s="74">
        <v>0</v>
      </c>
      <c r="W139" s="74">
        <v>0</v>
      </c>
      <c r="X139" s="74">
        <v>0</v>
      </c>
      <c r="Y139" s="74">
        <v>0</v>
      </c>
      <c r="Z139" s="74">
        <v>0</v>
      </c>
      <c r="AA139" s="74">
        <v>0</v>
      </c>
      <c r="AB139" s="74">
        <v>0</v>
      </c>
      <c r="AC139" s="74">
        <v>0</v>
      </c>
      <c r="AD139" s="74">
        <v>0</v>
      </c>
      <c r="AE139" s="74">
        <v>0</v>
      </c>
      <c r="AF139" s="74">
        <v>0</v>
      </c>
      <c r="AG139" s="74">
        <v>0</v>
      </c>
      <c r="AH139" s="74">
        <v>27</v>
      </c>
      <c r="AI139" s="78">
        <v>1E-4</v>
      </c>
    </row>
    <row r="140" spans="1:35" x14ac:dyDescent="0.2">
      <c r="A140" s="74" t="s">
        <v>687</v>
      </c>
      <c r="B140" s="74" t="s">
        <v>527</v>
      </c>
      <c r="C140" s="74">
        <v>0.99968100000000004</v>
      </c>
      <c r="D140" s="74">
        <v>0</v>
      </c>
      <c r="E140" s="74">
        <v>0</v>
      </c>
      <c r="F140" s="74">
        <v>0</v>
      </c>
      <c r="G140" s="74">
        <v>0</v>
      </c>
      <c r="H140" s="74">
        <v>0</v>
      </c>
      <c r="I140" s="74">
        <v>0</v>
      </c>
      <c r="J140" s="74">
        <v>0</v>
      </c>
      <c r="K140" s="74">
        <v>0</v>
      </c>
      <c r="L140" s="74">
        <v>13</v>
      </c>
      <c r="M140" s="74">
        <v>0</v>
      </c>
      <c r="N140" s="74">
        <v>0</v>
      </c>
      <c r="O140" s="74">
        <v>14</v>
      </c>
      <c r="P140" s="74">
        <v>0</v>
      </c>
      <c r="Q140" s="74">
        <v>0</v>
      </c>
      <c r="R140" s="74">
        <v>0</v>
      </c>
      <c r="S140" s="74">
        <v>0</v>
      </c>
      <c r="T140" s="74">
        <v>0</v>
      </c>
      <c r="U140" s="74">
        <v>0</v>
      </c>
      <c r="V140" s="74">
        <v>0</v>
      </c>
      <c r="W140" s="74">
        <v>0</v>
      </c>
      <c r="X140" s="74">
        <v>0</v>
      </c>
      <c r="Y140" s="74">
        <v>0</v>
      </c>
      <c r="Z140" s="74">
        <v>0</v>
      </c>
      <c r="AA140" s="74">
        <v>0</v>
      </c>
      <c r="AB140" s="74">
        <v>0</v>
      </c>
      <c r="AC140" s="74">
        <v>0</v>
      </c>
      <c r="AD140" s="74">
        <v>0</v>
      </c>
      <c r="AE140" s="74">
        <v>0</v>
      </c>
      <c r="AF140" s="74">
        <v>0</v>
      </c>
      <c r="AG140" s="74">
        <v>0</v>
      </c>
      <c r="AH140" s="74">
        <v>27</v>
      </c>
      <c r="AI140" s="78">
        <v>1E-4</v>
      </c>
    </row>
    <row r="141" spans="1:35" x14ac:dyDescent="0.2">
      <c r="A141" s="74" t="s">
        <v>688</v>
      </c>
      <c r="B141" s="74" t="s">
        <v>534</v>
      </c>
      <c r="C141" s="74">
        <v>0.89988400000000002</v>
      </c>
      <c r="D141" s="74">
        <v>0</v>
      </c>
      <c r="E141" s="74">
        <v>0</v>
      </c>
      <c r="F141" s="74">
        <v>0</v>
      </c>
      <c r="G141" s="74">
        <v>0</v>
      </c>
      <c r="H141" s="74">
        <v>0</v>
      </c>
      <c r="I141" s="74">
        <v>0</v>
      </c>
      <c r="J141" s="74">
        <v>0</v>
      </c>
      <c r="K141" s="74">
        <v>0</v>
      </c>
      <c r="L141" s="74">
        <v>0</v>
      </c>
      <c r="M141" s="74">
        <v>0</v>
      </c>
      <c r="N141" s="74">
        <v>0</v>
      </c>
      <c r="O141" s="74">
        <v>0</v>
      </c>
      <c r="P141" s="74">
        <v>12</v>
      </c>
      <c r="Q141" s="74">
        <v>0</v>
      </c>
      <c r="R141" s="74">
        <v>0</v>
      </c>
      <c r="S141" s="74">
        <v>0</v>
      </c>
      <c r="T141" s="74">
        <v>0</v>
      </c>
      <c r="U141" s="74">
        <v>0</v>
      </c>
      <c r="V141" s="74">
        <v>0</v>
      </c>
      <c r="W141" s="74">
        <v>0</v>
      </c>
      <c r="X141" s="74">
        <v>0</v>
      </c>
      <c r="Y141" s="74">
        <v>0</v>
      </c>
      <c r="Z141" s="74">
        <v>0</v>
      </c>
      <c r="AA141" s="74">
        <v>0</v>
      </c>
      <c r="AB141" s="74">
        <v>0</v>
      </c>
      <c r="AC141" s="74">
        <v>0</v>
      </c>
      <c r="AD141" s="74">
        <v>12</v>
      </c>
      <c r="AE141" s="74">
        <v>0</v>
      </c>
      <c r="AF141" s="74">
        <v>0</v>
      </c>
      <c r="AG141" s="74">
        <v>0</v>
      </c>
      <c r="AH141" s="74">
        <v>24</v>
      </c>
      <c r="AI141" s="78">
        <v>1E-4</v>
      </c>
    </row>
    <row r="142" spans="1:35" x14ac:dyDescent="0.2">
      <c r="A142" s="74" t="s">
        <v>689</v>
      </c>
      <c r="B142" s="74" t="s">
        <v>690</v>
      </c>
      <c r="C142" s="74">
        <v>0.80857500000000004</v>
      </c>
      <c r="D142" s="74">
        <v>0</v>
      </c>
      <c r="E142" s="74">
        <v>0</v>
      </c>
      <c r="F142" s="74">
        <v>3</v>
      </c>
      <c r="G142" s="74">
        <v>0</v>
      </c>
      <c r="H142" s="74">
        <v>0</v>
      </c>
      <c r="I142" s="74">
        <v>0</v>
      </c>
      <c r="J142" s="74">
        <v>0</v>
      </c>
      <c r="K142" s="74">
        <v>0</v>
      </c>
      <c r="L142" s="74">
        <v>0</v>
      </c>
      <c r="M142" s="74">
        <v>0</v>
      </c>
      <c r="N142" s="74">
        <v>0</v>
      </c>
      <c r="O142" s="74">
        <v>0</v>
      </c>
      <c r="P142" s="74">
        <v>0</v>
      </c>
      <c r="Q142" s="74">
        <v>0</v>
      </c>
      <c r="R142" s="74">
        <v>0</v>
      </c>
      <c r="S142" s="74">
        <v>0</v>
      </c>
      <c r="T142" s="74">
        <v>0</v>
      </c>
      <c r="U142" s="74">
        <v>0</v>
      </c>
      <c r="V142" s="74">
        <v>0</v>
      </c>
      <c r="W142" s="74">
        <v>14</v>
      </c>
      <c r="X142" s="74">
        <v>0</v>
      </c>
      <c r="Y142" s="74">
        <v>0</v>
      </c>
      <c r="Z142" s="74">
        <v>0</v>
      </c>
      <c r="AA142" s="74">
        <v>0</v>
      </c>
      <c r="AB142" s="74">
        <v>0</v>
      </c>
      <c r="AC142" s="74">
        <v>0</v>
      </c>
      <c r="AD142" s="74">
        <v>0</v>
      </c>
      <c r="AE142" s="74">
        <v>6</v>
      </c>
      <c r="AF142" s="74">
        <v>0</v>
      </c>
      <c r="AG142" s="74">
        <v>0</v>
      </c>
      <c r="AH142" s="74">
        <v>23</v>
      </c>
      <c r="AI142" s="78">
        <v>1E-4</v>
      </c>
    </row>
    <row r="143" spans="1:35" x14ac:dyDescent="0.2">
      <c r="A143" s="74" t="s">
        <v>691</v>
      </c>
      <c r="B143" s="74" t="s">
        <v>527</v>
      </c>
      <c r="C143" s="74">
        <v>0.99930399999999997</v>
      </c>
      <c r="D143" s="74">
        <v>0</v>
      </c>
      <c r="E143" s="74">
        <v>0</v>
      </c>
      <c r="F143" s="74">
        <v>0</v>
      </c>
      <c r="G143" s="74">
        <v>0</v>
      </c>
      <c r="H143" s="74">
        <v>0</v>
      </c>
      <c r="I143" s="74">
        <v>0</v>
      </c>
      <c r="J143" s="74">
        <v>0</v>
      </c>
      <c r="K143" s="74">
        <v>13</v>
      </c>
      <c r="L143" s="74">
        <v>0</v>
      </c>
      <c r="M143" s="74">
        <v>0</v>
      </c>
      <c r="N143" s="74">
        <v>0</v>
      </c>
      <c r="O143" s="74">
        <v>0</v>
      </c>
      <c r="P143" s="74">
        <v>0</v>
      </c>
      <c r="Q143" s="74">
        <v>0</v>
      </c>
      <c r="R143" s="74">
        <v>0</v>
      </c>
      <c r="S143" s="74">
        <v>0</v>
      </c>
      <c r="T143" s="74">
        <v>0</v>
      </c>
      <c r="U143" s="74">
        <v>0</v>
      </c>
      <c r="V143" s="74">
        <v>0</v>
      </c>
      <c r="W143" s="74">
        <v>0</v>
      </c>
      <c r="X143" s="74">
        <v>0</v>
      </c>
      <c r="Y143" s="74">
        <v>0</v>
      </c>
      <c r="Z143" s="74">
        <v>0</v>
      </c>
      <c r="AA143" s="74">
        <v>0</v>
      </c>
      <c r="AB143" s="74">
        <v>0</v>
      </c>
      <c r="AC143" s="74">
        <v>0</v>
      </c>
      <c r="AD143" s="74">
        <v>0</v>
      </c>
      <c r="AE143" s="74">
        <v>10</v>
      </c>
      <c r="AF143" s="74">
        <v>0</v>
      </c>
      <c r="AG143" s="74">
        <v>0</v>
      </c>
      <c r="AH143" s="74">
        <v>23</v>
      </c>
      <c r="AI143" s="78">
        <v>1E-4</v>
      </c>
    </row>
    <row r="144" spans="1:35" x14ac:dyDescent="0.2">
      <c r="A144" s="74" t="s">
        <v>692</v>
      </c>
      <c r="B144" s="74" t="s">
        <v>528</v>
      </c>
      <c r="C144" s="74">
        <v>0.76352600000000004</v>
      </c>
      <c r="D144" s="74">
        <v>0</v>
      </c>
      <c r="E144" s="74">
        <v>0</v>
      </c>
      <c r="F144" s="74">
        <v>0</v>
      </c>
      <c r="G144" s="74">
        <v>0</v>
      </c>
      <c r="H144" s="74">
        <v>0</v>
      </c>
      <c r="I144" s="74">
        <v>0</v>
      </c>
      <c r="J144" s="74">
        <v>0</v>
      </c>
      <c r="K144" s="74">
        <v>0</v>
      </c>
      <c r="L144" s="74">
        <v>0</v>
      </c>
      <c r="M144" s="74">
        <v>0</v>
      </c>
      <c r="N144" s="74">
        <v>0</v>
      </c>
      <c r="O144" s="74">
        <v>11</v>
      </c>
      <c r="P144" s="74">
        <v>0</v>
      </c>
      <c r="Q144" s="74">
        <v>0</v>
      </c>
      <c r="R144" s="74">
        <v>0</v>
      </c>
      <c r="S144" s="74">
        <v>0</v>
      </c>
      <c r="T144" s="74">
        <v>0</v>
      </c>
      <c r="U144" s="74">
        <v>0</v>
      </c>
      <c r="V144" s="74">
        <v>0</v>
      </c>
      <c r="W144" s="74">
        <v>0</v>
      </c>
      <c r="X144" s="74">
        <v>0</v>
      </c>
      <c r="Y144" s="74">
        <v>0</v>
      </c>
      <c r="Z144" s="74">
        <v>0</v>
      </c>
      <c r="AA144" s="74">
        <v>0</v>
      </c>
      <c r="AB144" s="74">
        <v>0</v>
      </c>
      <c r="AC144" s="74">
        <v>0</v>
      </c>
      <c r="AD144" s="74">
        <v>0</v>
      </c>
      <c r="AE144" s="74">
        <v>0</v>
      </c>
      <c r="AF144" s="74">
        <v>12</v>
      </c>
      <c r="AG144" s="74">
        <v>0</v>
      </c>
      <c r="AH144" s="74">
        <v>23</v>
      </c>
      <c r="AI144" s="78">
        <v>1E-4</v>
      </c>
    </row>
    <row r="145" spans="1:35" x14ac:dyDescent="0.2">
      <c r="A145" s="74" t="s">
        <v>693</v>
      </c>
      <c r="B145" s="74" t="s">
        <v>527</v>
      </c>
      <c r="C145" s="74">
        <v>0.99926899999999996</v>
      </c>
      <c r="D145" s="74">
        <v>0</v>
      </c>
      <c r="E145" s="74">
        <v>0</v>
      </c>
      <c r="F145" s="74">
        <v>0</v>
      </c>
      <c r="G145" s="74">
        <v>0</v>
      </c>
      <c r="H145" s="74">
        <v>0</v>
      </c>
      <c r="I145" s="74">
        <v>0</v>
      </c>
      <c r="J145" s="74">
        <v>0</v>
      </c>
      <c r="K145" s="74">
        <v>10</v>
      </c>
      <c r="L145" s="74">
        <v>0</v>
      </c>
      <c r="M145" s="74">
        <v>12</v>
      </c>
      <c r="N145" s="74">
        <v>0</v>
      </c>
      <c r="O145" s="74">
        <v>0</v>
      </c>
      <c r="P145" s="74">
        <v>0</v>
      </c>
      <c r="Q145" s="74">
        <v>0</v>
      </c>
      <c r="R145" s="74">
        <v>0</v>
      </c>
      <c r="S145" s="74">
        <v>0</v>
      </c>
      <c r="T145" s="74">
        <v>0</v>
      </c>
      <c r="U145" s="74">
        <v>0</v>
      </c>
      <c r="V145" s="74">
        <v>0</v>
      </c>
      <c r="W145" s="74">
        <v>0</v>
      </c>
      <c r="X145" s="74">
        <v>0</v>
      </c>
      <c r="Y145" s="74">
        <v>0</v>
      </c>
      <c r="Z145" s="74">
        <v>0</v>
      </c>
      <c r="AA145" s="74">
        <v>0</v>
      </c>
      <c r="AB145" s="74">
        <v>0</v>
      </c>
      <c r="AC145" s="74">
        <v>0</v>
      </c>
      <c r="AD145" s="74">
        <v>0</v>
      </c>
      <c r="AE145" s="74">
        <v>0</v>
      </c>
      <c r="AF145" s="74">
        <v>0</v>
      </c>
      <c r="AG145" s="74">
        <v>0</v>
      </c>
      <c r="AH145" s="74">
        <v>22</v>
      </c>
      <c r="AI145" s="78">
        <v>1E-4</v>
      </c>
    </row>
    <row r="146" spans="1:35" x14ac:dyDescent="0.2">
      <c r="A146" s="74" t="s">
        <v>694</v>
      </c>
      <c r="B146" s="74" t="s">
        <v>527</v>
      </c>
      <c r="C146" s="74">
        <v>0.99970800000000004</v>
      </c>
      <c r="D146" s="74">
        <v>0</v>
      </c>
      <c r="E146" s="74">
        <v>0</v>
      </c>
      <c r="F146" s="74">
        <v>0</v>
      </c>
      <c r="G146" s="74">
        <v>0</v>
      </c>
      <c r="H146" s="74">
        <v>0</v>
      </c>
      <c r="I146" s="74">
        <v>0</v>
      </c>
      <c r="J146" s="74">
        <v>0</v>
      </c>
      <c r="K146" s="74">
        <v>0</v>
      </c>
      <c r="L146" s="74">
        <v>0</v>
      </c>
      <c r="M146" s="74">
        <v>11</v>
      </c>
      <c r="N146" s="74">
        <v>0</v>
      </c>
      <c r="O146" s="74">
        <v>11</v>
      </c>
      <c r="P146" s="74">
        <v>0</v>
      </c>
      <c r="Q146" s="74">
        <v>0</v>
      </c>
      <c r="R146" s="74">
        <v>0</v>
      </c>
      <c r="S146" s="74">
        <v>0</v>
      </c>
      <c r="T146" s="74">
        <v>0</v>
      </c>
      <c r="U146" s="74">
        <v>0</v>
      </c>
      <c r="V146" s="74">
        <v>0</v>
      </c>
      <c r="W146" s="74">
        <v>0</v>
      </c>
      <c r="X146" s="74">
        <v>0</v>
      </c>
      <c r="Y146" s="74">
        <v>0</v>
      </c>
      <c r="Z146" s="74">
        <v>0</v>
      </c>
      <c r="AA146" s="74">
        <v>0</v>
      </c>
      <c r="AB146" s="74">
        <v>0</v>
      </c>
      <c r="AC146" s="74">
        <v>0</v>
      </c>
      <c r="AD146" s="74">
        <v>0</v>
      </c>
      <c r="AE146" s="74">
        <v>0</v>
      </c>
      <c r="AF146" s="74">
        <v>0</v>
      </c>
      <c r="AG146" s="74">
        <v>0</v>
      </c>
      <c r="AH146" s="74">
        <v>22</v>
      </c>
      <c r="AI146" s="78">
        <v>1E-4</v>
      </c>
    </row>
    <row r="147" spans="1:35" x14ac:dyDescent="0.2">
      <c r="A147" s="74" t="s">
        <v>695</v>
      </c>
      <c r="B147" s="74" t="s">
        <v>528</v>
      </c>
      <c r="C147" s="74">
        <v>0.76704000000000006</v>
      </c>
      <c r="D147" s="74">
        <v>0</v>
      </c>
      <c r="E147" s="74">
        <v>0</v>
      </c>
      <c r="F147" s="74">
        <v>12</v>
      </c>
      <c r="G147" s="74">
        <v>0</v>
      </c>
      <c r="H147" s="74">
        <v>10</v>
      </c>
      <c r="I147" s="74">
        <v>0</v>
      </c>
      <c r="J147" s="74">
        <v>0</v>
      </c>
      <c r="K147" s="74">
        <v>0</v>
      </c>
      <c r="L147" s="74">
        <v>0</v>
      </c>
      <c r="M147" s="74">
        <v>0</v>
      </c>
      <c r="N147" s="74">
        <v>0</v>
      </c>
      <c r="O147" s="74">
        <v>0</v>
      </c>
      <c r="P147" s="74">
        <v>0</v>
      </c>
      <c r="Q147" s="74">
        <v>0</v>
      </c>
      <c r="R147" s="74">
        <v>0</v>
      </c>
      <c r="S147" s="74">
        <v>0</v>
      </c>
      <c r="T147" s="74">
        <v>0</v>
      </c>
      <c r="U147" s="74">
        <v>0</v>
      </c>
      <c r="V147" s="74">
        <v>0</v>
      </c>
      <c r="W147" s="74">
        <v>0</v>
      </c>
      <c r="X147" s="74">
        <v>0</v>
      </c>
      <c r="Y147" s="74">
        <v>0</v>
      </c>
      <c r="Z147" s="74">
        <v>0</v>
      </c>
      <c r="AA147" s="74">
        <v>0</v>
      </c>
      <c r="AB147" s="74">
        <v>0</v>
      </c>
      <c r="AC147" s="74">
        <v>0</v>
      </c>
      <c r="AD147" s="74">
        <v>0</v>
      </c>
      <c r="AE147" s="74">
        <v>0</v>
      </c>
      <c r="AF147" s="74">
        <v>0</v>
      </c>
      <c r="AG147" s="74">
        <v>0</v>
      </c>
      <c r="AH147" s="74">
        <v>22</v>
      </c>
      <c r="AI147" s="78">
        <v>1E-4</v>
      </c>
    </row>
    <row r="148" spans="1:35" x14ac:dyDescent="0.2">
      <c r="A148" s="74" t="s">
        <v>437</v>
      </c>
      <c r="B148" s="74" t="s">
        <v>527</v>
      </c>
      <c r="C148" s="74">
        <v>0.99951599999999996</v>
      </c>
      <c r="D148" s="74">
        <v>0</v>
      </c>
      <c r="E148" s="74">
        <v>0</v>
      </c>
      <c r="F148" s="74">
        <v>0</v>
      </c>
      <c r="G148" s="74">
        <v>0</v>
      </c>
      <c r="H148" s="74">
        <v>0</v>
      </c>
      <c r="I148" s="74">
        <v>0</v>
      </c>
      <c r="J148" s="74">
        <v>0</v>
      </c>
      <c r="K148" s="74">
        <v>11</v>
      </c>
      <c r="L148" s="74">
        <v>0</v>
      </c>
      <c r="M148" s="74">
        <v>10</v>
      </c>
      <c r="N148" s="74">
        <v>0</v>
      </c>
      <c r="O148" s="74">
        <v>0</v>
      </c>
      <c r="P148" s="74">
        <v>0</v>
      </c>
      <c r="Q148" s="74">
        <v>0</v>
      </c>
      <c r="R148" s="74">
        <v>0</v>
      </c>
      <c r="S148" s="74">
        <v>0</v>
      </c>
      <c r="T148" s="74">
        <v>0</v>
      </c>
      <c r="U148" s="74">
        <v>0</v>
      </c>
      <c r="V148" s="74">
        <v>0</v>
      </c>
      <c r="W148" s="74">
        <v>0</v>
      </c>
      <c r="X148" s="74">
        <v>0</v>
      </c>
      <c r="Y148" s="74">
        <v>0</v>
      </c>
      <c r="Z148" s="74">
        <v>0</v>
      </c>
      <c r="AA148" s="74">
        <v>0</v>
      </c>
      <c r="AB148" s="74">
        <v>0</v>
      </c>
      <c r="AC148" s="74">
        <v>0</v>
      </c>
      <c r="AD148" s="74">
        <v>0</v>
      </c>
      <c r="AE148" s="74">
        <v>0</v>
      </c>
      <c r="AF148" s="74">
        <v>0</v>
      </c>
      <c r="AG148" s="74">
        <v>0</v>
      </c>
      <c r="AH148" s="74">
        <v>21</v>
      </c>
      <c r="AI148" s="78">
        <v>1E-4</v>
      </c>
    </row>
    <row r="149" spans="1:35" x14ac:dyDescent="0.2">
      <c r="A149" s="74" t="s">
        <v>696</v>
      </c>
      <c r="B149" s="74" t="s">
        <v>697</v>
      </c>
      <c r="C149" s="74">
        <v>1</v>
      </c>
      <c r="D149" s="74">
        <v>0</v>
      </c>
      <c r="E149" s="74">
        <v>0</v>
      </c>
      <c r="F149" s="74">
        <v>0</v>
      </c>
      <c r="G149" s="74">
        <v>0</v>
      </c>
      <c r="H149" s="74">
        <v>0</v>
      </c>
      <c r="I149" s="74">
        <v>0</v>
      </c>
      <c r="J149" s="74">
        <v>0</v>
      </c>
      <c r="K149" s="74">
        <v>0</v>
      </c>
      <c r="L149" s="74">
        <v>0</v>
      </c>
      <c r="M149" s="74">
        <v>0</v>
      </c>
      <c r="N149" s="74">
        <v>0</v>
      </c>
      <c r="O149" s="74">
        <v>0</v>
      </c>
      <c r="P149" s="74">
        <v>0</v>
      </c>
      <c r="Q149" s="74">
        <v>0</v>
      </c>
      <c r="R149" s="74">
        <v>0</v>
      </c>
      <c r="S149" s="74">
        <v>0</v>
      </c>
      <c r="T149" s="74">
        <v>0</v>
      </c>
      <c r="U149" s="74">
        <v>0</v>
      </c>
      <c r="V149" s="74">
        <v>4</v>
      </c>
      <c r="W149" s="74">
        <v>16</v>
      </c>
      <c r="X149" s="74">
        <v>0</v>
      </c>
      <c r="Y149" s="74">
        <v>0</v>
      </c>
      <c r="Z149" s="74">
        <v>0</v>
      </c>
      <c r="AA149" s="74">
        <v>0</v>
      </c>
      <c r="AB149" s="74">
        <v>0</v>
      </c>
      <c r="AC149" s="74">
        <v>0</v>
      </c>
      <c r="AD149" s="74">
        <v>0</v>
      </c>
      <c r="AE149" s="74">
        <v>0</v>
      </c>
      <c r="AF149" s="74">
        <v>0</v>
      </c>
      <c r="AG149" s="74">
        <v>0</v>
      </c>
      <c r="AH149" s="74">
        <v>20</v>
      </c>
      <c r="AI149" s="78">
        <v>1E-4</v>
      </c>
    </row>
    <row r="150" spans="1:35" x14ac:dyDescent="0.2">
      <c r="A150" s="74" t="s">
        <v>698</v>
      </c>
      <c r="B150" s="74" t="s">
        <v>699</v>
      </c>
      <c r="C150" s="74">
        <v>0.95331200000000005</v>
      </c>
      <c r="D150" s="74">
        <v>0</v>
      </c>
      <c r="E150" s="74">
        <v>0</v>
      </c>
      <c r="F150" s="74">
        <v>0</v>
      </c>
      <c r="G150" s="74">
        <v>0</v>
      </c>
      <c r="H150" s="74">
        <v>0</v>
      </c>
      <c r="I150" s="74">
        <v>9</v>
      </c>
      <c r="J150" s="74">
        <v>11</v>
      </c>
      <c r="K150" s="74">
        <v>0</v>
      </c>
      <c r="L150" s="74">
        <v>0</v>
      </c>
      <c r="M150" s="74">
        <v>0</v>
      </c>
      <c r="N150" s="74">
        <v>0</v>
      </c>
      <c r="O150" s="74">
        <v>0</v>
      </c>
      <c r="P150" s="74">
        <v>0</v>
      </c>
      <c r="Q150" s="74">
        <v>0</v>
      </c>
      <c r="R150" s="74">
        <v>0</v>
      </c>
      <c r="S150" s="74">
        <v>0</v>
      </c>
      <c r="T150" s="74">
        <v>0</v>
      </c>
      <c r="U150" s="74">
        <v>0</v>
      </c>
      <c r="V150" s="74">
        <v>0</v>
      </c>
      <c r="W150" s="74">
        <v>0</v>
      </c>
      <c r="X150" s="74">
        <v>0</v>
      </c>
      <c r="Y150" s="74">
        <v>0</v>
      </c>
      <c r="Z150" s="74">
        <v>0</v>
      </c>
      <c r="AA150" s="74">
        <v>0</v>
      </c>
      <c r="AB150" s="74">
        <v>0</v>
      </c>
      <c r="AC150" s="74">
        <v>0</v>
      </c>
      <c r="AD150" s="74">
        <v>0</v>
      </c>
      <c r="AE150" s="74">
        <v>0</v>
      </c>
      <c r="AF150" s="74">
        <v>0</v>
      </c>
      <c r="AG150" s="74">
        <v>0</v>
      </c>
      <c r="AH150" s="74">
        <v>20</v>
      </c>
      <c r="AI150" s="78">
        <v>1E-4</v>
      </c>
    </row>
    <row r="151" spans="1:35" x14ac:dyDescent="0.2">
      <c r="A151" s="74" t="s">
        <v>700</v>
      </c>
      <c r="B151" s="74" t="s">
        <v>701</v>
      </c>
      <c r="C151" s="74">
        <v>0.970557</v>
      </c>
      <c r="D151" s="74">
        <v>0</v>
      </c>
      <c r="E151" s="74">
        <v>0</v>
      </c>
      <c r="F151" s="74">
        <v>0</v>
      </c>
      <c r="G151" s="74">
        <v>0</v>
      </c>
      <c r="H151" s="74">
        <v>0</v>
      </c>
      <c r="I151" s="74">
        <v>0</v>
      </c>
      <c r="J151" s="74">
        <v>0</v>
      </c>
      <c r="K151" s="74">
        <v>0</v>
      </c>
      <c r="L151" s="74">
        <v>0</v>
      </c>
      <c r="M151" s="74">
        <v>0</v>
      </c>
      <c r="N151" s="74">
        <v>0</v>
      </c>
      <c r="O151" s="74">
        <v>0</v>
      </c>
      <c r="P151" s="74">
        <v>0</v>
      </c>
      <c r="Q151" s="74">
        <v>0</v>
      </c>
      <c r="R151" s="74">
        <v>0</v>
      </c>
      <c r="S151" s="74">
        <v>0</v>
      </c>
      <c r="T151" s="74">
        <v>0</v>
      </c>
      <c r="U151" s="74">
        <v>0</v>
      </c>
      <c r="V151" s="74">
        <v>8</v>
      </c>
      <c r="W151" s="74">
        <v>11</v>
      </c>
      <c r="X151" s="74">
        <v>0</v>
      </c>
      <c r="Y151" s="74">
        <v>0</v>
      </c>
      <c r="Z151" s="74">
        <v>0</v>
      </c>
      <c r="AA151" s="74">
        <v>0</v>
      </c>
      <c r="AB151" s="74">
        <v>0</v>
      </c>
      <c r="AC151" s="74">
        <v>0</v>
      </c>
      <c r="AD151" s="74">
        <v>0</v>
      </c>
      <c r="AE151" s="74">
        <v>0</v>
      </c>
      <c r="AF151" s="74">
        <v>0</v>
      </c>
      <c r="AG151" s="74">
        <v>0</v>
      </c>
      <c r="AH151" s="74">
        <v>19</v>
      </c>
      <c r="AI151" s="78">
        <v>1E-4</v>
      </c>
    </row>
    <row r="152" spans="1:35" x14ac:dyDescent="0.2">
      <c r="A152" s="74" t="s">
        <v>702</v>
      </c>
      <c r="B152" s="74" t="s">
        <v>626</v>
      </c>
      <c r="C152" s="74">
        <v>0.87462600000000001</v>
      </c>
      <c r="D152" s="74">
        <v>0</v>
      </c>
      <c r="E152" s="74">
        <v>0</v>
      </c>
      <c r="F152" s="74">
        <v>0</v>
      </c>
      <c r="G152" s="74">
        <v>0</v>
      </c>
      <c r="H152" s="74">
        <v>0</v>
      </c>
      <c r="I152" s="74">
        <v>0</v>
      </c>
      <c r="J152" s="74">
        <v>0</v>
      </c>
      <c r="K152" s="74">
        <v>0</v>
      </c>
      <c r="L152" s="74">
        <v>0</v>
      </c>
      <c r="M152" s="74">
        <v>0</v>
      </c>
      <c r="N152" s="74">
        <v>0</v>
      </c>
      <c r="O152" s="74">
        <v>0</v>
      </c>
      <c r="P152" s="74">
        <v>0</v>
      </c>
      <c r="Q152" s="74">
        <v>0</v>
      </c>
      <c r="R152" s="74">
        <v>9</v>
      </c>
      <c r="S152" s="74">
        <v>10</v>
      </c>
      <c r="T152" s="74">
        <v>0</v>
      </c>
      <c r="U152" s="74">
        <v>0</v>
      </c>
      <c r="V152" s="74">
        <v>0</v>
      </c>
      <c r="W152" s="74">
        <v>0</v>
      </c>
      <c r="X152" s="74">
        <v>0</v>
      </c>
      <c r="Y152" s="74">
        <v>0</v>
      </c>
      <c r="Z152" s="74">
        <v>0</v>
      </c>
      <c r="AA152" s="74">
        <v>0</v>
      </c>
      <c r="AB152" s="74">
        <v>0</v>
      </c>
      <c r="AC152" s="74">
        <v>0</v>
      </c>
      <c r="AD152" s="74">
        <v>0</v>
      </c>
      <c r="AE152" s="74">
        <v>0</v>
      </c>
      <c r="AF152" s="74">
        <v>0</v>
      </c>
      <c r="AG152" s="74">
        <v>0</v>
      </c>
      <c r="AH152" s="74">
        <v>19</v>
      </c>
      <c r="AI152" s="78">
        <v>1E-4</v>
      </c>
    </row>
    <row r="153" spans="1:35" x14ac:dyDescent="0.2">
      <c r="A153" s="74" t="s">
        <v>703</v>
      </c>
      <c r="B153" s="74" t="s">
        <v>699</v>
      </c>
      <c r="C153" s="74">
        <v>0.74082800000000004</v>
      </c>
      <c r="D153" s="74">
        <v>0</v>
      </c>
      <c r="E153" s="74">
        <v>0</v>
      </c>
      <c r="F153" s="74">
        <v>0</v>
      </c>
      <c r="G153" s="74">
        <v>0</v>
      </c>
      <c r="H153" s="74">
        <v>0</v>
      </c>
      <c r="I153" s="74">
        <v>0</v>
      </c>
      <c r="J153" s="74">
        <v>0</v>
      </c>
      <c r="K153" s="74">
        <v>0</v>
      </c>
      <c r="L153" s="74">
        <v>0</v>
      </c>
      <c r="M153" s="74">
        <v>0</v>
      </c>
      <c r="N153" s="74">
        <v>0</v>
      </c>
      <c r="O153" s="74">
        <v>0</v>
      </c>
      <c r="P153" s="74">
        <v>0</v>
      </c>
      <c r="Q153" s="74">
        <v>0</v>
      </c>
      <c r="R153" s="74">
        <v>0</v>
      </c>
      <c r="S153" s="74">
        <v>0</v>
      </c>
      <c r="T153" s="74">
        <v>0</v>
      </c>
      <c r="U153" s="74">
        <v>7</v>
      </c>
      <c r="V153" s="74">
        <v>0</v>
      </c>
      <c r="W153" s="74">
        <v>0</v>
      </c>
      <c r="X153" s="74">
        <v>0</v>
      </c>
      <c r="Y153" s="74">
        <v>0</v>
      </c>
      <c r="Z153" s="74">
        <v>6</v>
      </c>
      <c r="AA153" s="74">
        <v>0</v>
      </c>
      <c r="AB153" s="74">
        <v>3</v>
      </c>
      <c r="AC153" s="74">
        <v>0</v>
      </c>
      <c r="AD153" s="74">
        <v>0</v>
      </c>
      <c r="AE153" s="74">
        <v>0</v>
      </c>
      <c r="AF153" s="74">
        <v>0</v>
      </c>
      <c r="AG153" s="74">
        <v>0</v>
      </c>
      <c r="AH153" s="74">
        <v>16</v>
      </c>
      <c r="AI153" s="78">
        <v>0</v>
      </c>
    </row>
    <row r="154" spans="1:35" x14ac:dyDescent="0.2">
      <c r="A154" s="74" t="s">
        <v>704</v>
      </c>
      <c r="B154" s="74" t="s">
        <v>705</v>
      </c>
      <c r="C154" s="74">
        <v>0.99723799999999996</v>
      </c>
      <c r="D154" s="74">
        <v>0</v>
      </c>
      <c r="E154" s="74">
        <v>0</v>
      </c>
      <c r="F154" s="74">
        <v>0</v>
      </c>
      <c r="G154" s="74">
        <v>0</v>
      </c>
      <c r="H154" s="74">
        <v>0</v>
      </c>
      <c r="I154" s="74">
        <v>0</v>
      </c>
      <c r="J154" s="74">
        <v>0</v>
      </c>
      <c r="K154" s="74">
        <v>0</v>
      </c>
      <c r="L154" s="74">
        <v>0</v>
      </c>
      <c r="M154" s="74">
        <v>0</v>
      </c>
      <c r="N154" s="74">
        <v>0</v>
      </c>
      <c r="O154" s="74">
        <v>0</v>
      </c>
      <c r="P154" s="74">
        <v>0</v>
      </c>
      <c r="Q154" s="74">
        <v>0</v>
      </c>
      <c r="R154" s="74">
        <v>0</v>
      </c>
      <c r="S154" s="74">
        <v>0</v>
      </c>
      <c r="T154" s="74">
        <v>10</v>
      </c>
      <c r="U154" s="74">
        <v>0</v>
      </c>
      <c r="V154" s="74">
        <v>0</v>
      </c>
      <c r="W154" s="74">
        <v>0</v>
      </c>
      <c r="X154" s="74">
        <v>0</v>
      </c>
      <c r="Y154" s="74">
        <v>0</v>
      </c>
      <c r="Z154" s="74">
        <v>0</v>
      </c>
      <c r="AA154" s="74">
        <v>0</v>
      </c>
      <c r="AB154" s="74">
        <v>0</v>
      </c>
      <c r="AC154" s="74">
        <v>2</v>
      </c>
      <c r="AD154" s="74">
        <v>0</v>
      </c>
      <c r="AE154" s="74">
        <v>0</v>
      </c>
      <c r="AF154" s="74">
        <v>0</v>
      </c>
      <c r="AG154" s="74">
        <v>0</v>
      </c>
      <c r="AH154" s="74">
        <v>12</v>
      </c>
      <c r="AI154" s="78">
        <v>0</v>
      </c>
    </row>
    <row r="155" spans="1:35" x14ac:dyDescent="0.2">
      <c r="A155" s="74" t="s">
        <v>706</v>
      </c>
      <c r="B155" s="74" t="s">
        <v>707</v>
      </c>
      <c r="C155" s="74">
        <v>0.97655400000000003</v>
      </c>
      <c r="D155" s="74">
        <v>0</v>
      </c>
      <c r="E155" s="74">
        <v>0</v>
      </c>
      <c r="F155" s="74">
        <v>0</v>
      </c>
      <c r="G155" s="74">
        <v>3</v>
      </c>
      <c r="H155" s="74">
        <v>0</v>
      </c>
      <c r="I155" s="74">
        <v>0</v>
      </c>
      <c r="J155" s="74">
        <v>0</v>
      </c>
      <c r="K155" s="74">
        <v>0</v>
      </c>
      <c r="L155" s="74">
        <v>0</v>
      </c>
      <c r="M155" s="74">
        <v>0</v>
      </c>
      <c r="N155" s="74">
        <v>0</v>
      </c>
      <c r="O155" s="74">
        <v>0</v>
      </c>
      <c r="P155" s="74">
        <v>0</v>
      </c>
      <c r="Q155" s="74">
        <v>0</v>
      </c>
      <c r="R155" s="74">
        <v>0</v>
      </c>
      <c r="S155" s="74">
        <v>0</v>
      </c>
      <c r="T155" s="74">
        <v>0</v>
      </c>
      <c r="U155" s="74">
        <v>0</v>
      </c>
      <c r="V155" s="74">
        <v>0</v>
      </c>
      <c r="W155" s="74">
        <v>0</v>
      </c>
      <c r="X155" s="74">
        <v>0</v>
      </c>
      <c r="Y155" s="74">
        <v>0</v>
      </c>
      <c r="Z155" s="74">
        <v>0</v>
      </c>
      <c r="AA155" s="74">
        <v>0</v>
      </c>
      <c r="AB155" s="74">
        <v>0</v>
      </c>
      <c r="AC155" s="74">
        <v>0</v>
      </c>
      <c r="AD155" s="74">
        <v>5</v>
      </c>
      <c r="AE155" s="74">
        <v>0</v>
      </c>
      <c r="AF155" s="74">
        <v>0</v>
      </c>
      <c r="AG155" s="74">
        <v>0</v>
      </c>
      <c r="AH155" s="74">
        <v>8</v>
      </c>
      <c r="AI155" s="78">
        <v>0</v>
      </c>
    </row>
    <row r="156" spans="1:35" x14ac:dyDescent="0.2">
      <c r="A156" s="75" t="s">
        <v>708</v>
      </c>
    </row>
    <row r="157" spans="1:35" x14ac:dyDescent="0.2">
      <c r="A157" t="s">
        <v>492</v>
      </c>
      <c r="B157" t="s">
        <v>493</v>
      </c>
      <c r="C157" t="s">
        <v>494</v>
      </c>
      <c r="D157" t="s">
        <v>821</v>
      </c>
      <c r="E157" t="s">
        <v>831</v>
      </c>
      <c r="F157" t="s">
        <v>832</v>
      </c>
      <c r="G157" t="s">
        <v>834</v>
      </c>
      <c r="H157" t="s">
        <v>835</v>
      </c>
      <c r="I157" t="s">
        <v>836</v>
      </c>
      <c r="J157" t="s">
        <v>837</v>
      </c>
      <c r="K157" t="s">
        <v>838</v>
      </c>
      <c r="L157" t="s">
        <v>839</v>
      </c>
      <c r="M157" t="s">
        <v>840</v>
      </c>
      <c r="N157" t="s">
        <v>841</v>
      </c>
      <c r="O157" t="s">
        <v>823</v>
      </c>
      <c r="P157" t="s">
        <v>842</v>
      </c>
      <c r="Q157" t="s">
        <v>843</v>
      </c>
      <c r="R157" t="s">
        <v>844</v>
      </c>
      <c r="S157" t="s">
        <v>845</v>
      </c>
      <c r="T157" t="s">
        <v>846</v>
      </c>
      <c r="U157" t="s">
        <v>847</v>
      </c>
      <c r="V157" t="s">
        <v>848</v>
      </c>
      <c r="W157" t="s">
        <v>849</v>
      </c>
      <c r="X157" t="s">
        <v>850</v>
      </c>
      <c r="Y157" t="s">
        <v>851</v>
      </c>
      <c r="Z157" t="s">
        <v>824</v>
      </c>
      <c r="AA157" t="s">
        <v>852</v>
      </c>
      <c r="AB157" t="s">
        <v>825</v>
      </c>
      <c r="AC157" t="s">
        <v>826</v>
      </c>
      <c r="AD157" t="s">
        <v>827</v>
      </c>
      <c r="AE157" t="s">
        <v>828</v>
      </c>
      <c r="AF157" t="s">
        <v>829</v>
      </c>
      <c r="AG157" t="s">
        <v>830</v>
      </c>
      <c r="AH157" t="s">
        <v>525</v>
      </c>
      <c r="AI157" t="s">
        <v>526</v>
      </c>
    </row>
    <row r="158" spans="1:35" x14ac:dyDescent="0.2">
      <c r="A158" t="s">
        <v>389</v>
      </c>
      <c r="B158" t="s">
        <v>527</v>
      </c>
      <c r="C158">
        <v>0.99700388097773096</v>
      </c>
      <c r="D158">
        <v>6886</v>
      </c>
      <c r="E158">
        <v>5494</v>
      </c>
      <c r="F158">
        <v>2424</v>
      </c>
      <c r="G158">
        <v>1332</v>
      </c>
      <c r="H158">
        <v>6789</v>
      </c>
      <c r="I158">
        <v>3399</v>
      </c>
      <c r="J158">
        <v>5805</v>
      </c>
      <c r="K158">
        <v>6021</v>
      </c>
      <c r="L158">
        <v>5961</v>
      </c>
      <c r="M158">
        <v>5502</v>
      </c>
      <c r="N158">
        <v>3162</v>
      </c>
      <c r="O158">
        <v>2234</v>
      </c>
      <c r="P158">
        <v>2802</v>
      </c>
      <c r="Q158">
        <v>403</v>
      </c>
      <c r="R158">
        <v>2025</v>
      </c>
      <c r="S158">
        <v>2273</v>
      </c>
      <c r="T158">
        <v>2363</v>
      </c>
      <c r="U158">
        <v>7917</v>
      </c>
      <c r="V158">
        <v>2006</v>
      </c>
      <c r="W158">
        <v>186</v>
      </c>
      <c r="X158">
        <v>1370</v>
      </c>
      <c r="Y158">
        <v>3376</v>
      </c>
      <c r="Z158">
        <v>1389</v>
      </c>
      <c r="AA158">
        <v>217</v>
      </c>
      <c r="AB158">
        <v>3046</v>
      </c>
      <c r="AC158">
        <v>2364</v>
      </c>
      <c r="AD158">
        <v>4688</v>
      </c>
      <c r="AE158">
        <v>1997</v>
      </c>
      <c r="AF158">
        <v>1707</v>
      </c>
      <c r="AG158">
        <v>2864</v>
      </c>
      <c r="AH158">
        <f t="shared" ref="AH158:AH189" si="0">SUM(D158:AG158)</f>
        <v>98002</v>
      </c>
      <c r="AI158" s="76">
        <f t="shared" ref="AI158:AI221" si="1">AH158/SUM($AH$2:$AH$154)</f>
        <v>0.2840769426987918</v>
      </c>
    </row>
    <row r="159" spans="1:35" x14ac:dyDescent="0.2">
      <c r="A159" t="s">
        <v>397</v>
      </c>
      <c r="B159" t="s">
        <v>709</v>
      </c>
      <c r="C159">
        <v>0.93882191311242702</v>
      </c>
      <c r="D159">
        <v>484</v>
      </c>
      <c r="E159">
        <v>280</v>
      </c>
      <c r="F159">
        <v>594</v>
      </c>
      <c r="G159">
        <v>286</v>
      </c>
      <c r="H159">
        <v>724</v>
      </c>
      <c r="I159">
        <v>346</v>
      </c>
      <c r="J159">
        <v>345</v>
      </c>
      <c r="K159">
        <v>318</v>
      </c>
      <c r="L159">
        <v>908</v>
      </c>
      <c r="M159">
        <v>557</v>
      </c>
      <c r="N159">
        <v>856</v>
      </c>
      <c r="O159">
        <v>222</v>
      </c>
      <c r="P159">
        <v>898</v>
      </c>
      <c r="Q159">
        <v>97</v>
      </c>
      <c r="R159">
        <v>263</v>
      </c>
      <c r="S159">
        <v>383</v>
      </c>
      <c r="T159">
        <v>478</v>
      </c>
      <c r="U159">
        <v>88</v>
      </c>
      <c r="V159">
        <v>153</v>
      </c>
      <c r="W159">
        <v>189</v>
      </c>
      <c r="X159">
        <v>238</v>
      </c>
      <c r="Y159">
        <v>761</v>
      </c>
      <c r="Z159">
        <v>318</v>
      </c>
      <c r="AA159">
        <v>86</v>
      </c>
      <c r="AB159">
        <v>594</v>
      </c>
      <c r="AC159">
        <v>397</v>
      </c>
      <c r="AD159">
        <v>356</v>
      </c>
      <c r="AE159">
        <v>112</v>
      </c>
      <c r="AF159">
        <v>199</v>
      </c>
      <c r="AG159">
        <v>553</v>
      </c>
      <c r="AH159">
        <f t="shared" si="0"/>
        <v>12083</v>
      </c>
      <c r="AI159" s="76">
        <f t="shared" si="1"/>
        <v>3.5024812744938898E-2</v>
      </c>
    </row>
    <row r="160" spans="1:35" x14ac:dyDescent="0.2">
      <c r="A160" t="s">
        <v>535</v>
      </c>
      <c r="B160" t="s">
        <v>536</v>
      </c>
      <c r="C160">
        <v>0.97428644231309702</v>
      </c>
      <c r="D160">
        <v>0</v>
      </c>
      <c r="E160">
        <v>339</v>
      </c>
      <c r="F160">
        <v>0</v>
      </c>
      <c r="G160">
        <v>0</v>
      </c>
      <c r="H160">
        <v>0</v>
      </c>
      <c r="I160">
        <v>0</v>
      </c>
      <c r="J160">
        <v>36</v>
      </c>
      <c r="K160">
        <v>0</v>
      </c>
      <c r="L160">
        <v>0</v>
      </c>
      <c r="M160">
        <v>0</v>
      </c>
      <c r="N160">
        <v>0</v>
      </c>
      <c r="O160">
        <v>637</v>
      </c>
      <c r="P160">
        <v>0</v>
      </c>
      <c r="Q160">
        <v>0</v>
      </c>
      <c r="R160">
        <v>1853</v>
      </c>
      <c r="S160">
        <v>1913</v>
      </c>
      <c r="T160">
        <v>1028</v>
      </c>
      <c r="U160">
        <v>979</v>
      </c>
      <c r="V160">
        <v>0</v>
      </c>
      <c r="W160">
        <v>1719</v>
      </c>
      <c r="X160">
        <v>24</v>
      </c>
      <c r="Y160">
        <v>0</v>
      </c>
      <c r="Z160">
        <v>0</v>
      </c>
      <c r="AA160">
        <v>621</v>
      </c>
      <c r="AB160">
        <v>0</v>
      </c>
      <c r="AC160">
        <v>0</v>
      </c>
      <c r="AD160">
        <v>382</v>
      </c>
      <c r="AE160">
        <v>513</v>
      </c>
      <c r="AF160">
        <v>759</v>
      </c>
      <c r="AG160">
        <v>87</v>
      </c>
      <c r="AH160">
        <f t="shared" si="0"/>
        <v>10890</v>
      </c>
      <c r="AI160" s="76">
        <f t="shared" si="1"/>
        <v>3.1566681353338129E-2</v>
      </c>
    </row>
    <row r="161" spans="1:35" x14ac:dyDescent="0.2">
      <c r="A161" t="s">
        <v>404</v>
      </c>
      <c r="B161" t="s">
        <v>528</v>
      </c>
      <c r="C161">
        <v>0.99989300750993304</v>
      </c>
      <c r="D161">
        <v>533</v>
      </c>
      <c r="E161">
        <v>249</v>
      </c>
      <c r="F161">
        <v>427</v>
      </c>
      <c r="G161">
        <v>325</v>
      </c>
      <c r="H161">
        <v>672</v>
      </c>
      <c r="I161">
        <v>269</v>
      </c>
      <c r="J161">
        <v>317</v>
      </c>
      <c r="K161">
        <v>289</v>
      </c>
      <c r="L161">
        <v>704</v>
      </c>
      <c r="M161">
        <v>485</v>
      </c>
      <c r="N161">
        <v>521</v>
      </c>
      <c r="O161">
        <v>154</v>
      </c>
      <c r="P161">
        <v>646</v>
      </c>
      <c r="Q161">
        <v>73</v>
      </c>
      <c r="R161">
        <v>266</v>
      </c>
      <c r="S161">
        <v>313</v>
      </c>
      <c r="T161">
        <v>391</v>
      </c>
      <c r="U161">
        <v>62</v>
      </c>
      <c r="V161">
        <v>82</v>
      </c>
      <c r="W161">
        <v>119</v>
      </c>
      <c r="X161">
        <v>195</v>
      </c>
      <c r="Y161">
        <v>775</v>
      </c>
      <c r="Z161">
        <v>210</v>
      </c>
      <c r="AA161">
        <v>72</v>
      </c>
      <c r="AB161">
        <v>650</v>
      </c>
      <c r="AC161">
        <v>336</v>
      </c>
      <c r="AD161">
        <v>425</v>
      </c>
      <c r="AE161">
        <v>71</v>
      </c>
      <c r="AF161">
        <v>130</v>
      </c>
      <c r="AG161">
        <v>450</v>
      </c>
      <c r="AH161">
        <f t="shared" si="0"/>
        <v>10211</v>
      </c>
      <c r="AI161" s="76">
        <f t="shared" si="1"/>
        <v>2.9598474132133665E-2</v>
      </c>
    </row>
    <row r="162" spans="1:35" x14ac:dyDescent="0.2">
      <c r="A162" t="s">
        <v>405</v>
      </c>
      <c r="B162" t="s">
        <v>528</v>
      </c>
      <c r="C162">
        <v>0.99917323713750605</v>
      </c>
      <c r="D162">
        <v>408</v>
      </c>
      <c r="E162">
        <v>255</v>
      </c>
      <c r="F162">
        <v>432</v>
      </c>
      <c r="G162">
        <v>341</v>
      </c>
      <c r="H162">
        <v>595</v>
      </c>
      <c r="I162">
        <v>290</v>
      </c>
      <c r="J162">
        <v>343</v>
      </c>
      <c r="K162">
        <v>350</v>
      </c>
      <c r="L162">
        <v>576</v>
      </c>
      <c r="M162">
        <v>444</v>
      </c>
      <c r="N162">
        <v>515</v>
      </c>
      <c r="O162">
        <v>135</v>
      </c>
      <c r="P162">
        <v>674</v>
      </c>
      <c r="Q162">
        <v>70</v>
      </c>
      <c r="R162">
        <v>260</v>
      </c>
      <c r="S162">
        <v>282</v>
      </c>
      <c r="T162">
        <v>399</v>
      </c>
      <c r="U162">
        <v>54</v>
      </c>
      <c r="V162">
        <v>98</v>
      </c>
      <c r="W162">
        <v>0</v>
      </c>
      <c r="X162">
        <v>221</v>
      </c>
      <c r="Y162">
        <v>744</v>
      </c>
      <c r="Z162">
        <v>265</v>
      </c>
      <c r="AA162">
        <v>86</v>
      </c>
      <c r="AB162">
        <v>504</v>
      </c>
      <c r="AC162">
        <v>357</v>
      </c>
      <c r="AD162">
        <v>348</v>
      </c>
      <c r="AE162">
        <v>90</v>
      </c>
      <c r="AF162">
        <v>111</v>
      </c>
      <c r="AG162">
        <v>371</v>
      </c>
      <c r="AH162">
        <f t="shared" si="0"/>
        <v>9618</v>
      </c>
      <c r="AI162" s="76">
        <f t="shared" si="1"/>
        <v>2.7879553834380726E-2</v>
      </c>
    </row>
    <row r="163" spans="1:35" x14ac:dyDescent="0.2">
      <c r="A163" t="s">
        <v>542</v>
      </c>
      <c r="B163" t="s">
        <v>710</v>
      </c>
      <c r="C163">
        <v>0.91045935183681903</v>
      </c>
      <c r="D163">
        <v>62</v>
      </c>
      <c r="E163">
        <v>0</v>
      </c>
      <c r="F163">
        <v>98</v>
      </c>
      <c r="G163">
        <v>0</v>
      </c>
      <c r="H163">
        <v>0</v>
      </c>
      <c r="I163">
        <v>1785</v>
      </c>
      <c r="J163">
        <v>0</v>
      </c>
      <c r="K163">
        <v>0</v>
      </c>
      <c r="L163">
        <v>0</v>
      </c>
      <c r="M163">
        <v>0</v>
      </c>
      <c r="N163">
        <v>0</v>
      </c>
      <c r="O163">
        <v>66</v>
      </c>
      <c r="P163">
        <v>0</v>
      </c>
      <c r="Q163">
        <v>0</v>
      </c>
      <c r="R163">
        <v>35</v>
      </c>
      <c r="S163">
        <v>68</v>
      </c>
      <c r="T163">
        <v>0</v>
      </c>
      <c r="U163">
        <v>0</v>
      </c>
      <c r="V163">
        <v>3420</v>
      </c>
      <c r="W163">
        <v>89</v>
      </c>
      <c r="X163">
        <v>57</v>
      </c>
      <c r="Y163">
        <v>16</v>
      </c>
      <c r="Z163">
        <v>2272</v>
      </c>
      <c r="AA163">
        <v>156</v>
      </c>
      <c r="AB163">
        <v>100</v>
      </c>
      <c r="AC163">
        <v>0</v>
      </c>
      <c r="AD163">
        <v>234</v>
      </c>
      <c r="AE163">
        <v>168</v>
      </c>
      <c r="AF163">
        <v>0</v>
      </c>
      <c r="AG163">
        <v>617</v>
      </c>
      <c r="AH163">
        <f t="shared" si="0"/>
        <v>9243</v>
      </c>
      <c r="AI163" s="76">
        <f t="shared" si="1"/>
        <v>2.6792546900725831E-2</v>
      </c>
    </row>
    <row r="164" spans="1:35" x14ac:dyDescent="0.2">
      <c r="A164" t="s">
        <v>529</v>
      </c>
      <c r="B164" t="s">
        <v>710</v>
      </c>
      <c r="C164">
        <v>0.79742793249023103</v>
      </c>
      <c r="D164">
        <v>252</v>
      </c>
      <c r="E164">
        <v>2407</v>
      </c>
      <c r="F164">
        <v>968</v>
      </c>
      <c r="G164">
        <v>0</v>
      </c>
      <c r="H164">
        <v>0</v>
      </c>
      <c r="I164">
        <v>0</v>
      </c>
      <c r="J164">
        <v>0</v>
      </c>
      <c r="K164">
        <v>0</v>
      </c>
      <c r="L164">
        <v>0</v>
      </c>
      <c r="M164">
        <v>0</v>
      </c>
      <c r="N164">
        <v>18</v>
      </c>
      <c r="O164">
        <v>33</v>
      </c>
      <c r="P164">
        <v>0</v>
      </c>
      <c r="Q164">
        <v>150</v>
      </c>
      <c r="R164">
        <v>0</v>
      </c>
      <c r="S164">
        <v>0</v>
      </c>
      <c r="T164">
        <v>0</v>
      </c>
      <c r="U164">
        <v>0</v>
      </c>
      <c r="V164">
        <v>0</v>
      </c>
      <c r="W164">
        <v>0</v>
      </c>
      <c r="X164">
        <v>0</v>
      </c>
      <c r="Y164">
        <v>0</v>
      </c>
      <c r="Z164">
        <v>610</v>
      </c>
      <c r="AA164">
        <v>0</v>
      </c>
      <c r="AB164">
        <v>38</v>
      </c>
      <c r="AC164">
        <v>131</v>
      </c>
      <c r="AD164">
        <v>0</v>
      </c>
      <c r="AE164">
        <v>1571</v>
      </c>
      <c r="AF164">
        <v>2228</v>
      </c>
      <c r="AG164">
        <v>80</v>
      </c>
      <c r="AH164">
        <f t="shared" si="0"/>
        <v>8486</v>
      </c>
      <c r="AI164" s="76">
        <f t="shared" si="1"/>
        <v>2.4598242237321152E-2</v>
      </c>
    </row>
    <row r="165" spans="1:35" x14ac:dyDescent="0.2">
      <c r="A165" t="s">
        <v>434</v>
      </c>
      <c r="B165" t="s">
        <v>711</v>
      </c>
      <c r="C165">
        <v>0.828102412537988</v>
      </c>
      <c r="D165">
        <v>369</v>
      </c>
      <c r="E165">
        <v>227</v>
      </c>
      <c r="F165">
        <v>321</v>
      </c>
      <c r="G165">
        <v>239</v>
      </c>
      <c r="H165">
        <v>383</v>
      </c>
      <c r="I165">
        <v>197</v>
      </c>
      <c r="J165">
        <v>210</v>
      </c>
      <c r="K165">
        <v>288</v>
      </c>
      <c r="L165">
        <v>595</v>
      </c>
      <c r="M165">
        <v>142</v>
      </c>
      <c r="N165">
        <v>564</v>
      </c>
      <c r="O165">
        <v>90</v>
      </c>
      <c r="P165">
        <v>551</v>
      </c>
      <c r="Q165">
        <v>65</v>
      </c>
      <c r="R165">
        <v>214</v>
      </c>
      <c r="S165">
        <v>255</v>
      </c>
      <c r="T165">
        <v>324</v>
      </c>
      <c r="U165">
        <v>43</v>
      </c>
      <c r="V165">
        <v>115</v>
      </c>
      <c r="W165">
        <v>108</v>
      </c>
      <c r="X165">
        <v>93</v>
      </c>
      <c r="Y165">
        <v>665</v>
      </c>
      <c r="Z165">
        <v>61</v>
      </c>
      <c r="AA165">
        <v>48</v>
      </c>
      <c r="AB165">
        <v>498</v>
      </c>
      <c r="AC165">
        <v>389</v>
      </c>
      <c r="AD165">
        <v>344</v>
      </c>
      <c r="AE165">
        <v>55</v>
      </c>
      <c r="AF165">
        <v>98</v>
      </c>
      <c r="AG165">
        <v>257</v>
      </c>
      <c r="AH165">
        <f t="shared" si="0"/>
        <v>7808</v>
      </c>
      <c r="AI165" s="76">
        <f t="shared" si="1"/>
        <v>2.2632933701273103E-2</v>
      </c>
    </row>
    <row r="166" spans="1:35" x14ac:dyDescent="0.2">
      <c r="A166" t="s">
        <v>599</v>
      </c>
      <c r="B166" t="s">
        <v>561</v>
      </c>
      <c r="C166">
        <v>0.99999976502405497</v>
      </c>
      <c r="D166">
        <v>0</v>
      </c>
      <c r="E166">
        <v>0</v>
      </c>
      <c r="F166">
        <v>0</v>
      </c>
      <c r="G166">
        <v>0</v>
      </c>
      <c r="H166">
        <v>0</v>
      </c>
      <c r="I166">
        <v>0</v>
      </c>
      <c r="J166">
        <v>0</v>
      </c>
      <c r="K166">
        <v>0</v>
      </c>
      <c r="L166">
        <v>0</v>
      </c>
      <c r="M166">
        <v>0</v>
      </c>
      <c r="N166">
        <v>0</v>
      </c>
      <c r="O166">
        <v>0</v>
      </c>
      <c r="P166">
        <v>0</v>
      </c>
      <c r="Q166">
        <v>2826</v>
      </c>
      <c r="R166">
        <v>0</v>
      </c>
      <c r="S166">
        <v>0</v>
      </c>
      <c r="T166">
        <v>20</v>
      </c>
      <c r="U166">
        <v>3451</v>
      </c>
      <c r="V166">
        <v>0</v>
      </c>
      <c r="W166">
        <v>0</v>
      </c>
      <c r="X166">
        <v>0</v>
      </c>
      <c r="Y166">
        <v>0</v>
      </c>
      <c r="Z166">
        <v>0</v>
      </c>
      <c r="AA166">
        <v>0</v>
      </c>
      <c r="AB166">
        <v>0</v>
      </c>
      <c r="AC166">
        <v>0</v>
      </c>
      <c r="AD166">
        <v>0</v>
      </c>
      <c r="AE166">
        <v>0</v>
      </c>
      <c r="AF166">
        <v>56</v>
      </c>
      <c r="AG166">
        <v>0</v>
      </c>
      <c r="AH166">
        <f t="shared" si="0"/>
        <v>6353</v>
      </c>
      <c r="AI166" s="76">
        <f t="shared" si="1"/>
        <v>1.8415346798692112E-2</v>
      </c>
    </row>
    <row r="167" spans="1:35" x14ac:dyDescent="0.2">
      <c r="A167" t="s">
        <v>411</v>
      </c>
      <c r="B167" t="s">
        <v>532</v>
      </c>
      <c r="C167">
        <v>0.99952750465207296</v>
      </c>
      <c r="D167">
        <v>243</v>
      </c>
      <c r="E167">
        <v>51</v>
      </c>
      <c r="F167">
        <v>248</v>
      </c>
      <c r="G167">
        <v>36</v>
      </c>
      <c r="H167">
        <v>78</v>
      </c>
      <c r="I167">
        <v>62</v>
      </c>
      <c r="J167">
        <v>108</v>
      </c>
      <c r="K167">
        <v>50</v>
      </c>
      <c r="L167">
        <v>81</v>
      </c>
      <c r="M167">
        <v>103</v>
      </c>
      <c r="N167">
        <v>189</v>
      </c>
      <c r="O167">
        <v>89</v>
      </c>
      <c r="P167">
        <v>171</v>
      </c>
      <c r="Q167">
        <v>32</v>
      </c>
      <c r="R167">
        <v>369</v>
      </c>
      <c r="S167">
        <v>433</v>
      </c>
      <c r="T167">
        <v>56</v>
      </c>
      <c r="U167">
        <v>60</v>
      </c>
      <c r="V167">
        <v>45</v>
      </c>
      <c r="W167">
        <v>53</v>
      </c>
      <c r="X167">
        <v>119</v>
      </c>
      <c r="Y167">
        <v>244</v>
      </c>
      <c r="Z167">
        <v>82</v>
      </c>
      <c r="AA167">
        <v>13</v>
      </c>
      <c r="AB167">
        <v>143</v>
      </c>
      <c r="AC167">
        <v>190</v>
      </c>
      <c r="AD167">
        <v>47</v>
      </c>
      <c r="AE167">
        <v>15</v>
      </c>
      <c r="AF167">
        <v>37</v>
      </c>
      <c r="AG167">
        <v>31</v>
      </c>
      <c r="AH167">
        <f t="shared" si="0"/>
        <v>3478</v>
      </c>
      <c r="AI167" s="76">
        <f t="shared" si="1"/>
        <v>1.0081626974004592E-2</v>
      </c>
    </row>
    <row r="168" spans="1:35" x14ac:dyDescent="0.2">
      <c r="A168" t="s">
        <v>712</v>
      </c>
      <c r="B168" t="s">
        <v>713</v>
      </c>
      <c r="C168">
        <v>0.80365992865860003</v>
      </c>
      <c r="D168">
        <v>82</v>
      </c>
      <c r="E168">
        <v>0</v>
      </c>
      <c r="F168">
        <v>0</v>
      </c>
      <c r="G168">
        <v>0</v>
      </c>
      <c r="H168">
        <v>0</v>
      </c>
      <c r="I168">
        <v>0</v>
      </c>
      <c r="J168">
        <v>0</v>
      </c>
      <c r="K168">
        <v>0</v>
      </c>
      <c r="L168">
        <v>0</v>
      </c>
      <c r="M168">
        <v>0</v>
      </c>
      <c r="N168">
        <v>0</v>
      </c>
      <c r="O168">
        <v>0</v>
      </c>
      <c r="P168">
        <v>0</v>
      </c>
      <c r="Q168">
        <v>0</v>
      </c>
      <c r="R168">
        <v>0</v>
      </c>
      <c r="S168">
        <v>0</v>
      </c>
      <c r="T168">
        <v>0</v>
      </c>
      <c r="U168">
        <v>0</v>
      </c>
      <c r="V168">
        <v>0</v>
      </c>
      <c r="W168">
        <v>2873</v>
      </c>
      <c r="X168">
        <v>14</v>
      </c>
      <c r="Y168">
        <v>17</v>
      </c>
      <c r="Z168">
        <v>0</v>
      </c>
      <c r="AA168">
        <v>0</v>
      </c>
      <c r="AB168">
        <v>0</v>
      </c>
      <c r="AC168">
        <v>0</v>
      </c>
      <c r="AD168">
        <v>0</v>
      </c>
      <c r="AE168">
        <v>0</v>
      </c>
      <c r="AF168">
        <v>0</v>
      </c>
      <c r="AG168">
        <v>0</v>
      </c>
      <c r="AH168">
        <f t="shared" si="0"/>
        <v>2986</v>
      </c>
      <c r="AI168" s="76">
        <f t="shared" si="1"/>
        <v>8.655473877049371E-3</v>
      </c>
    </row>
    <row r="169" spans="1:35" x14ac:dyDescent="0.2">
      <c r="A169" t="s">
        <v>714</v>
      </c>
      <c r="B169" t="s">
        <v>561</v>
      </c>
      <c r="C169">
        <v>0.99945967101226696</v>
      </c>
      <c r="D169">
        <v>0</v>
      </c>
      <c r="E169">
        <v>0</v>
      </c>
      <c r="F169">
        <v>0</v>
      </c>
      <c r="G169">
        <v>0</v>
      </c>
      <c r="H169">
        <v>0</v>
      </c>
      <c r="I169">
        <v>0</v>
      </c>
      <c r="J169">
        <v>0</v>
      </c>
      <c r="K169">
        <v>0</v>
      </c>
      <c r="L169">
        <v>0</v>
      </c>
      <c r="M169">
        <v>0</v>
      </c>
      <c r="N169">
        <v>0</v>
      </c>
      <c r="O169">
        <v>0</v>
      </c>
      <c r="P169">
        <v>0</v>
      </c>
      <c r="Q169">
        <v>1453</v>
      </c>
      <c r="R169">
        <v>193</v>
      </c>
      <c r="S169">
        <v>204</v>
      </c>
      <c r="T169">
        <v>0</v>
      </c>
      <c r="U169">
        <v>28</v>
      </c>
      <c r="V169">
        <v>25</v>
      </c>
      <c r="W169">
        <v>0</v>
      </c>
      <c r="X169">
        <v>0</v>
      </c>
      <c r="Y169">
        <v>0</v>
      </c>
      <c r="Z169">
        <v>0</v>
      </c>
      <c r="AA169">
        <v>755</v>
      </c>
      <c r="AB169">
        <v>0</v>
      </c>
      <c r="AC169">
        <v>0</v>
      </c>
      <c r="AD169">
        <v>0</v>
      </c>
      <c r="AE169">
        <v>0</v>
      </c>
      <c r="AF169">
        <v>0</v>
      </c>
      <c r="AG169">
        <v>0</v>
      </c>
      <c r="AH169">
        <f t="shared" si="0"/>
        <v>2658</v>
      </c>
      <c r="AI169" s="76">
        <f t="shared" si="1"/>
        <v>7.7047051457458894E-3</v>
      </c>
    </row>
    <row r="170" spans="1:35" x14ac:dyDescent="0.2">
      <c r="A170" t="s">
        <v>553</v>
      </c>
      <c r="B170" t="s">
        <v>536</v>
      </c>
      <c r="C170">
        <v>0.96265320007766197</v>
      </c>
      <c r="D170">
        <v>0</v>
      </c>
      <c r="E170">
        <v>0</v>
      </c>
      <c r="F170">
        <v>0</v>
      </c>
      <c r="G170">
        <v>0</v>
      </c>
      <c r="H170">
        <v>0</v>
      </c>
      <c r="I170">
        <v>0</v>
      </c>
      <c r="J170">
        <v>79</v>
      </c>
      <c r="K170">
        <v>0</v>
      </c>
      <c r="L170">
        <v>0</v>
      </c>
      <c r="M170">
        <v>0</v>
      </c>
      <c r="N170">
        <v>0</v>
      </c>
      <c r="O170">
        <v>0</v>
      </c>
      <c r="P170">
        <v>0</v>
      </c>
      <c r="Q170">
        <v>0</v>
      </c>
      <c r="R170">
        <v>0</v>
      </c>
      <c r="S170">
        <v>0</v>
      </c>
      <c r="T170">
        <v>0</v>
      </c>
      <c r="U170">
        <v>0</v>
      </c>
      <c r="V170">
        <v>0</v>
      </c>
      <c r="W170">
        <v>0</v>
      </c>
      <c r="X170">
        <v>31</v>
      </c>
      <c r="Y170">
        <v>79</v>
      </c>
      <c r="Z170">
        <v>167</v>
      </c>
      <c r="AA170">
        <v>246</v>
      </c>
      <c r="AB170">
        <v>0</v>
      </c>
      <c r="AC170">
        <v>0</v>
      </c>
      <c r="AD170">
        <v>0</v>
      </c>
      <c r="AE170">
        <v>0</v>
      </c>
      <c r="AF170">
        <v>536</v>
      </c>
      <c r="AG170">
        <v>1414</v>
      </c>
      <c r="AH170">
        <f t="shared" si="0"/>
        <v>2552</v>
      </c>
      <c r="AI170" s="76">
        <f t="shared" si="1"/>
        <v>7.3974445191661064E-3</v>
      </c>
    </row>
    <row r="171" spans="1:35" x14ac:dyDescent="0.2">
      <c r="A171" t="s">
        <v>715</v>
      </c>
      <c r="B171" t="s">
        <v>716</v>
      </c>
      <c r="C171">
        <v>0.99976580532966297</v>
      </c>
      <c r="D171">
        <v>0</v>
      </c>
      <c r="E171">
        <v>0</v>
      </c>
      <c r="F171">
        <v>0</v>
      </c>
      <c r="G171">
        <v>0</v>
      </c>
      <c r="H171">
        <v>0</v>
      </c>
      <c r="I171">
        <v>0</v>
      </c>
      <c r="J171">
        <v>0</v>
      </c>
      <c r="K171">
        <v>7</v>
      </c>
      <c r="L171">
        <v>2094</v>
      </c>
      <c r="M171">
        <v>9</v>
      </c>
      <c r="N171">
        <v>0</v>
      </c>
      <c r="O171">
        <v>0</v>
      </c>
      <c r="P171">
        <v>26</v>
      </c>
      <c r="Q171">
        <v>0</v>
      </c>
      <c r="R171">
        <v>0</v>
      </c>
      <c r="S171">
        <v>0</v>
      </c>
      <c r="T171">
        <v>0</v>
      </c>
      <c r="U171">
        <v>0</v>
      </c>
      <c r="V171">
        <v>0</v>
      </c>
      <c r="W171">
        <v>0</v>
      </c>
      <c r="X171">
        <v>0</v>
      </c>
      <c r="Y171">
        <v>0</v>
      </c>
      <c r="Z171">
        <v>0</v>
      </c>
      <c r="AA171">
        <v>0</v>
      </c>
      <c r="AB171">
        <v>0</v>
      </c>
      <c r="AC171">
        <v>0</v>
      </c>
      <c r="AD171">
        <v>0</v>
      </c>
      <c r="AE171">
        <v>0</v>
      </c>
      <c r="AF171">
        <v>0</v>
      </c>
      <c r="AG171">
        <v>0</v>
      </c>
      <c r="AH171">
        <f t="shared" si="0"/>
        <v>2136</v>
      </c>
      <c r="AI171" s="76">
        <f t="shared" si="1"/>
        <v>6.1915914940982768E-3</v>
      </c>
    </row>
    <row r="172" spans="1:35" x14ac:dyDescent="0.2">
      <c r="A172" t="s">
        <v>544</v>
      </c>
      <c r="B172" t="s">
        <v>561</v>
      </c>
      <c r="C172">
        <v>0.99948641146103201</v>
      </c>
      <c r="D172">
        <v>0</v>
      </c>
      <c r="E172">
        <v>0</v>
      </c>
      <c r="F172">
        <v>0</v>
      </c>
      <c r="G172">
        <v>0</v>
      </c>
      <c r="H172">
        <v>0</v>
      </c>
      <c r="I172">
        <v>0</v>
      </c>
      <c r="J172">
        <v>0</v>
      </c>
      <c r="K172">
        <v>0</v>
      </c>
      <c r="L172">
        <v>0</v>
      </c>
      <c r="M172">
        <v>0</v>
      </c>
      <c r="N172">
        <v>0</v>
      </c>
      <c r="O172">
        <v>570</v>
      </c>
      <c r="P172">
        <v>0</v>
      </c>
      <c r="Q172">
        <v>0</v>
      </c>
      <c r="R172">
        <v>0</v>
      </c>
      <c r="S172">
        <v>0</v>
      </c>
      <c r="T172">
        <v>0</v>
      </c>
      <c r="U172">
        <v>0</v>
      </c>
      <c r="V172">
        <v>0</v>
      </c>
      <c r="W172">
        <v>0</v>
      </c>
      <c r="X172">
        <v>77</v>
      </c>
      <c r="Y172">
        <v>0</v>
      </c>
      <c r="Z172">
        <v>532</v>
      </c>
      <c r="AA172">
        <v>173</v>
      </c>
      <c r="AB172">
        <v>160</v>
      </c>
      <c r="AC172">
        <v>0</v>
      </c>
      <c r="AD172">
        <v>207</v>
      </c>
      <c r="AE172">
        <v>0</v>
      </c>
      <c r="AF172">
        <v>54</v>
      </c>
      <c r="AG172">
        <v>0</v>
      </c>
      <c r="AH172">
        <f t="shared" si="0"/>
        <v>1773</v>
      </c>
      <c r="AI172" s="76">
        <f t="shared" si="1"/>
        <v>5.1393687823203396E-3</v>
      </c>
    </row>
    <row r="173" spans="1:35" x14ac:dyDescent="0.2">
      <c r="A173" t="s">
        <v>541</v>
      </c>
      <c r="B173" t="s">
        <v>711</v>
      </c>
      <c r="C173">
        <v>0.91058937294030995</v>
      </c>
      <c r="D173">
        <v>34</v>
      </c>
      <c r="E173">
        <v>0</v>
      </c>
      <c r="F173">
        <v>121</v>
      </c>
      <c r="G173">
        <v>0</v>
      </c>
      <c r="H173">
        <v>234</v>
      </c>
      <c r="I173">
        <v>39</v>
      </c>
      <c r="J173">
        <v>191</v>
      </c>
      <c r="K173">
        <v>30</v>
      </c>
      <c r="L173">
        <v>29</v>
      </c>
      <c r="M173">
        <v>339</v>
      </c>
      <c r="N173">
        <v>0</v>
      </c>
      <c r="O173">
        <v>66</v>
      </c>
      <c r="P173">
        <v>58</v>
      </c>
      <c r="Q173">
        <v>0</v>
      </c>
      <c r="R173">
        <v>11</v>
      </c>
      <c r="S173">
        <v>0</v>
      </c>
      <c r="T173">
        <v>41</v>
      </c>
      <c r="U173">
        <v>0</v>
      </c>
      <c r="V173">
        <v>0</v>
      </c>
      <c r="W173">
        <v>0</v>
      </c>
      <c r="X173">
        <v>128</v>
      </c>
      <c r="Y173">
        <v>104</v>
      </c>
      <c r="Z173">
        <v>190</v>
      </c>
      <c r="AA173">
        <v>23</v>
      </c>
      <c r="AB173">
        <v>0</v>
      </c>
      <c r="AC173">
        <v>0</v>
      </c>
      <c r="AD173">
        <v>0</v>
      </c>
      <c r="AE173">
        <v>0</v>
      </c>
      <c r="AF173">
        <v>0</v>
      </c>
      <c r="AG173">
        <v>94</v>
      </c>
      <c r="AH173">
        <f t="shared" si="0"/>
        <v>1732</v>
      </c>
      <c r="AI173" s="76">
        <f t="shared" si="1"/>
        <v>5.0205226909074046E-3</v>
      </c>
    </row>
    <row r="174" spans="1:35" x14ac:dyDescent="0.2">
      <c r="A174" t="s">
        <v>406</v>
      </c>
      <c r="B174" t="s">
        <v>531</v>
      </c>
      <c r="C174">
        <v>0.98703573006437695</v>
      </c>
      <c r="D174">
        <v>14</v>
      </c>
      <c r="E174">
        <v>126</v>
      </c>
      <c r="F174">
        <v>207</v>
      </c>
      <c r="G174">
        <v>25</v>
      </c>
      <c r="H174">
        <v>109</v>
      </c>
      <c r="I174">
        <v>89</v>
      </c>
      <c r="J174">
        <v>46</v>
      </c>
      <c r="K174">
        <v>9</v>
      </c>
      <c r="L174">
        <v>0</v>
      </c>
      <c r="M174">
        <v>76</v>
      </c>
      <c r="N174">
        <v>121</v>
      </c>
      <c r="O174">
        <v>10</v>
      </c>
      <c r="P174">
        <v>37</v>
      </c>
      <c r="Q174">
        <v>44</v>
      </c>
      <c r="R174">
        <v>17</v>
      </c>
      <c r="S174">
        <v>36</v>
      </c>
      <c r="T174">
        <v>32</v>
      </c>
      <c r="U174">
        <v>414</v>
      </c>
      <c r="V174">
        <v>36</v>
      </c>
      <c r="W174">
        <v>0</v>
      </c>
      <c r="X174">
        <v>4</v>
      </c>
      <c r="Y174">
        <v>122</v>
      </c>
      <c r="Z174">
        <v>0</v>
      </c>
      <c r="AA174">
        <v>0</v>
      </c>
      <c r="AB174">
        <v>0</v>
      </c>
      <c r="AC174">
        <v>51</v>
      </c>
      <c r="AD174">
        <v>28</v>
      </c>
      <c r="AE174">
        <v>14</v>
      </c>
      <c r="AF174">
        <v>22</v>
      </c>
      <c r="AG174">
        <v>0</v>
      </c>
      <c r="AH174">
        <f t="shared" si="0"/>
        <v>1689</v>
      </c>
      <c r="AI174" s="76">
        <f t="shared" si="1"/>
        <v>4.895879229181643E-3</v>
      </c>
    </row>
    <row r="175" spans="1:35" x14ac:dyDescent="0.2">
      <c r="A175" t="s">
        <v>557</v>
      </c>
      <c r="B175" t="s">
        <v>536</v>
      </c>
      <c r="C175">
        <v>0.926481948736391</v>
      </c>
      <c r="D175">
        <v>0</v>
      </c>
      <c r="E175">
        <v>58</v>
      </c>
      <c r="F175">
        <v>0</v>
      </c>
      <c r="G175">
        <v>0</v>
      </c>
      <c r="H175">
        <v>0</v>
      </c>
      <c r="I175">
        <v>0</v>
      </c>
      <c r="J175">
        <v>107</v>
      </c>
      <c r="K175">
        <v>0</v>
      </c>
      <c r="L175">
        <v>0</v>
      </c>
      <c r="M175">
        <v>0</v>
      </c>
      <c r="N175">
        <v>0</v>
      </c>
      <c r="O175">
        <v>22</v>
      </c>
      <c r="P175">
        <v>0</v>
      </c>
      <c r="Q175">
        <v>0</v>
      </c>
      <c r="R175">
        <v>22</v>
      </c>
      <c r="S175">
        <v>0</v>
      </c>
      <c r="T175">
        <v>37</v>
      </c>
      <c r="U175">
        <v>0</v>
      </c>
      <c r="V175">
        <v>0</v>
      </c>
      <c r="W175">
        <v>0</v>
      </c>
      <c r="X175">
        <v>0</v>
      </c>
      <c r="Y175">
        <v>0</v>
      </c>
      <c r="Z175">
        <v>0</v>
      </c>
      <c r="AA175">
        <v>536</v>
      </c>
      <c r="AB175">
        <v>0</v>
      </c>
      <c r="AC175">
        <v>0</v>
      </c>
      <c r="AD175">
        <v>39</v>
      </c>
      <c r="AE175">
        <v>355</v>
      </c>
      <c r="AF175">
        <v>105</v>
      </c>
      <c r="AG175">
        <v>0</v>
      </c>
      <c r="AH175">
        <f t="shared" si="0"/>
        <v>1281</v>
      </c>
      <c r="AI175" s="76">
        <f t="shared" si="1"/>
        <v>3.7132156853651186E-3</v>
      </c>
    </row>
    <row r="176" spans="1:35" x14ac:dyDescent="0.2">
      <c r="A176" t="s">
        <v>717</v>
      </c>
      <c r="B176" t="s">
        <v>527</v>
      </c>
      <c r="C176">
        <v>0.99925383868431195</v>
      </c>
      <c r="D176">
        <v>67</v>
      </c>
      <c r="E176">
        <v>44</v>
      </c>
      <c r="F176">
        <v>19</v>
      </c>
      <c r="G176">
        <v>0</v>
      </c>
      <c r="H176">
        <v>90</v>
      </c>
      <c r="I176">
        <v>37</v>
      </c>
      <c r="J176">
        <v>70</v>
      </c>
      <c r="K176">
        <v>75</v>
      </c>
      <c r="L176">
        <v>79</v>
      </c>
      <c r="M176">
        <v>73</v>
      </c>
      <c r="N176">
        <v>51</v>
      </c>
      <c r="O176">
        <v>0</v>
      </c>
      <c r="P176">
        <v>34</v>
      </c>
      <c r="Q176">
        <v>0</v>
      </c>
      <c r="R176">
        <v>0</v>
      </c>
      <c r="S176">
        <v>0</v>
      </c>
      <c r="T176">
        <v>40</v>
      </c>
      <c r="U176">
        <v>91</v>
      </c>
      <c r="V176">
        <v>24</v>
      </c>
      <c r="W176">
        <v>0</v>
      </c>
      <c r="X176">
        <v>0</v>
      </c>
      <c r="Y176">
        <v>45</v>
      </c>
      <c r="Z176">
        <v>25</v>
      </c>
      <c r="AA176">
        <v>0</v>
      </c>
      <c r="AB176">
        <v>47</v>
      </c>
      <c r="AC176">
        <v>35</v>
      </c>
      <c r="AD176">
        <v>55</v>
      </c>
      <c r="AE176">
        <v>0</v>
      </c>
      <c r="AF176">
        <v>0</v>
      </c>
      <c r="AG176">
        <v>47</v>
      </c>
      <c r="AH176">
        <f t="shared" si="0"/>
        <v>1048</v>
      </c>
      <c r="AI176" s="76">
        <f t="shared" si="1"/>
        <v>3.0378220439208777E-3</v>
      </c>
    </row>
    <row r="177" spans="1:35" x14ac:dyDescent="0.2">
      <c r="A177" t="s">
        <v>562</v>
      </c>
      <c r="B177" t="s">
        <v>718</v>
      </c>
      <c r="C177">
        <v>0.87098635285955295</v>
      </c>
      <c r="D177">
        <v>31</v>
      </c>
      <c r="E177">
        <v>35</v>
      </c>
      <c r="F177">
        <v>0</v>
      </c>
      <c r="G177">
        <v>0</v>
      </c>
      <c r="H177">
        <v>21</v>
      </c>
      <c r="I177">
        <v>0</v>
      </c>
      <c r="J177">
        <v>0</v>
      </c>
      <c r="K177">
        <v>0</v>
      </c>
      <c r="L177">
        <v>0</v>
      </c>
      <c r="M177">
        <v>0</v>
      </c>
      <c r="N177">
        <v>24</v>
      </c>
      <c r="O177">
        <v>123</v>
      </c>
      <c r="P177">
        <v>0</v>
      </c>
      <c r="Q177">
        <v>0</v>
      </c>
      <c r="R177">
        <v>0</v>
      </c>
      <c r="S177">
        <v>0</v>
      </c>
      <c r="T177">
        <v>0</v>
      </c>
      <c r="U177">
        <v>76</v>
      </c>
      <c r="V177">
        <v>0</v>
      </c>
      <c r="W177">
        <v>156</v>
      </c>
      <c r="X177">
        <v>0</v>
      </c>
      <c r="Y177">
        <v>14</v>
      </c>
      <c r="Z177">
        <v>407</v>
      </c>
      <c r="AA177">
        <v>61</v>
      </c>
      <c r="AB177">
        <v>37</v>
      </c>
      <c r="AC177">
        <v>0</v>
      </c>
      <c r="AD177">
        <v>0</v>
      </c>
      <c r="AE177">
        <v>10</v>
      </c>
      <c r="AF177">
        <v>0</v>
      </c>
      <c r="AG177">
        <v>35</v>
      </c>
      <c r="AH177">
        <f t="shared" si="0"/>
        <v>1030</v>
      </c>
      <c r="AI177" s="76">
        <f t="shared" si="1"/>
        <v>2.9856457111054426E-3</v>
      </c>
    </row>
    <row r="178" spans="1:35" x14ac:dyDescent="0.2">
      <c r="A178" t="s">
        <v>540</v>
      </c>
      <c r="B178" t="s">
        <v>561</v>
      </c>
      <c r="C178">
        <v>0.99970271536296396</v>
      </c>
      <c r="D178">
        <v>108</v>
      </c>
      <c r="E178">
        <v>29</v>
      </c>
      <c r="F178">
        <v>0</v>
      </c>
      <c r="G178">
        <v>0</v>
      </c>
      <c r="H178">
        <v>0</v>
      </c>
      <c r="I178">
        <v>0</v>
      </c>
      <c r="J178">
        <v>37</v>
      </c>
      <c r="K178">
        <v>0</v>
      </c>
      <c r="L178">
        <v>0</v>
      </c>
      <c r="M178">
        <v>0</v>
      </c>
      <c r="N178">
        <v>0</v>
      </c>
      <c r="O178">
        <v>0</v>
      </c>
      <c r="P178">
        <v>0</v>
      </c>
      <c r="Q178">
        <v>0</v>
      </c>
      <c r="R178">
        <v>0</v>
      </c>
      <c r="S178">
        <v>0</v>
      </c>
      <c r="T178">
        <v>0</v>
      </c>
      <c r="U178">
        <v>0</v>
      </c>
      <c r="V178">
        <v>0</v>
      </c>
      <c r="W178">
        <v>0</v>
      </c>
      <c r="X178">
        <v>0</v>
      </c>
      <c r="Y178">
        <v>0</v>
      </c>
      <c r="Z178">
        <v>338</v>
      </c>
      <c r="AA178">
        <v>368</v>
      </c>
      <c r="AB178">
        <v>0</v>
      </c>
      <c r="AC178">
        <v>0</v>
      </c>
      <c r="AD178">
        <v>0</v>
      </c>
      <c r="AE178">
        <v>0</v>
      </c>
      <c r="AF178">
        <v>146</v>
      </c>
      <c r="AG178">
        <v>0</v>
      </c>
      <c r="AH178">
        <f t="shared" si="0"/>
        <v>1026</v>
      </c>
      <c r="AI178" s="76">
        <f t="shared" si="1"/>
        <v>2.9740509704797905E-3</v>
      </c>
    </row>
    <row r="179" spans="1:35" x14ac:dyDescent="0.2">
      <c r="A179" t="s">
        <v>549</v>
      </c>
      <c r="B179" t="s">
        <v>543</v>
      </c>
      <c r="C179">
        <v>0.999999605750023</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146</v>
      </c>
      <c r="Y179">
        <v>0</v>
      </c>
      <c r="Z179">
        <v>0</v>
      </c>
      <c r="AA179">
        <v>744</v>
      </c>
      <c r="AB179">
        <v>0</v>
      </c>
      <c r="AC179">
        <v>0</v>
      </c>
      <c r="AD179">
        <v>0</v>
      </c>
      <c r="AE179">
        <v>0</v>
      </c>
      <c r="AF179">
        <v>57</v>
      </c>
      <c r="AG179">
        <v>0</v>
      </c>
      <c r="AH179">
        <f t="shared" si="0"/>
        <v>947</v>
      </c>
      <c r="AI179" s="76">
        <f t="shared" si="1"/>
        <v>2.7450548431231592E-3</v>
      </c>
    </row>
    <row r="180" spans="1:35" x14ac:dyDescent="0.2">
      <c r="A180" t="s">
        <v>719</v>
      </c>
      <c r="B180" t="s">
        <v>720</v>
      </c>
      <c r="C180">
        <v>0.70414468006136599</v>
      </c>
      <c r="D180">
        <v>0</v>
      </c>
      <c r="E180">
        <v>0</v>
      </c>
      <c r="F180">
        <v>0</v>
      </c>
      <c r="G180">
        <v>0</v>
      </c>
      <c r="H180">
        <v>0</v>
      </c>
      <c r="I180">
        <v>0</v>
      </c>
      <c r="J180">
        <v>0</v>
      </c>
      <c r="K180">
        <v>0</v>
      </c>
      <c r="L180">
        <v>0</v>
      </c>
      <c r="M180">
        <v>0</v>
      </c>
      <c r="N180">
        <v>0</v>
      </c>
      <c r="O180">
        <v>31</v>
      </c>
      <c r="P180">
        <v>0</v>
      </c>
      <c r="Q180">
        <v>0</v>
      </c>
      <c r="R180">
        <v>392</v>
      </c>
      <c r="S180">
        <v>417</v>
      </c>
      <c r="T180">
        <v>0</v>
      </c>
      <c r="U180">
        <v>0</v>
      </c>
      <c r="V180">
        <v>0</v>
      </c>
      <c r="W180">
        <v>0</v>
      </c>
      <c r="X180">
        <v>0</v>
      </c>
      <c r="Y180">
        <v>0</v>
      </c>
      <c r="Z180">
        <v>24</v>
      </c>
      <c r="AA180">
        <v>0</v>
      </c>
      <c r="AB180">
        <v>21</v>
      </c>
      <c r="AC180">
        <v>0</v>
      </c>
      <c r="AD180">
        <v>0</v>
      </c>
      <c r="AE180">
        <v>0</v>
      </c>
      <c r="AF180">
        <v>0</v>
      </c>
      <c r="AG180">
        <v>0</v>
      </c>
      <c r="AH180">
        <f t="shared" si="0"/>
        <v>885</v>
      </c>
      <c r="AI180" s="76">
        <f t="shared" si="1"/>
        <v>2.5653363634255502E-3</v>
      </c>
    </row>
    <row r="181" spans="1:35" x14ac:dyDescent="0.2">
      <c r="A181" t="s">
        <v>436</v>
      </c>
      <c r="B181" t="s">
        <v>527</v>
      </c>
      <c r="C181">
        <v>0.99764651579669705</v>
      </c>
      <c r="D181">
        <v>61</v>
      </c>
      <c r="E181">
        <v>42</v>
      </c>
      <c r="F181">
        <v>16</v>
      </c>
      <c r="G181">
        <v>17</v>
      </c>
      <c r="H181">
        <v>56</v>
      </c>
      <c r="I181">
        <v>28</v>
      </c>
      <c r="J181">
        <v>44</v>
      </c>
      <c r="K181">
        <v>41</v>
      </c>
      <c r="L181">
        <v>47</v>
      </c>
      <c r="M181">
        <v>53</v>
      </c>
      <c r="N181">
        <v>25</v>
      </c>
      <c r="O181">
        <v>14</v>
      </c>
      <c r="P181">
        <v>22</v>
      </c>
      <c r="Q181">
        <v>0</v>
      </c>
      <c r="R181">
        <v>10</v>
      </c>
      <c r="S181">
        <v>28</v>
      </c>
      <c r="T181">
        <v>15</v>
      </c>
      <c r="U181">
        <v>90</v>
      </c>
      <c r="V181">
        <v>15</v>
      </c>
      <c r="W181">
        <v>0</v>
      </c>
      <c r="X181">
        <v>11</v>
      </c>
      <c r="Y181">
        <v>22</v>
      </c>
      <c r="Z181">
        <v>14</v>
      </c>
      <c r="AA181">
        <v>0</v>
      </c>
      <c r="AB181">
        <v>26</v>
      </c>
      <c r="AC181">
        <v>27</v>
      </c>
      <c r="AD181">
        <v>56</v>
      </c>
      <c r="AE181">
        <v>18</v>
      </c>
      <c r="AF181">
        <v>15</v>
      </c>
      <c r="AG181">
        <v>25</v>
      </c>
      <c r="AH181">
        <f t="shared" si="0"/>
        <v>838</v>
      </c>
      <c r="AI181" s="76">
        <f t="shared" si="1"/>
        <v>2.4290981610741369E-3</v>
      </c>
    </row>
    <row r="182" spans="1:35" x14ac:dyDescent="0.2">
      <c r="A182" t="s">
        <v>665</v>
      </c>
      <c r="B182" t="s">
        <v>536</v>
      </c>
      <c r="C182">
        <v>0.96571156179733497</v>
      </c>
      <c r="D182">
        <v>0</v>
      </c>
      <c r="E182">
        <v>36</v>
      </c>
      <c r="F182">
        <v>0</v>
      </c>
      <c r="G182">
        <v>0</v>
      </c>
      <c r="H182">
        <v>0</v>
      </c>
      <c r="I182">
        <v>0</v>
      </c>
      <c r="J182">
        <v>0</v>
      </c>
      <c r="K182">
        <v>0</v>
      </c>
      <c r="L182">
        <v>0</v>
      </c>
      <c r="M182">
        <v>0</v>
      </c>
      <c r="N182">
        <v>0</v>
      </c>
      <c r="O182">
        <v>67</v>
      </c>
      <c r="P182">
        <v>0</v>
      </c>
      <c r="Q182">
        <v>0</v>
      </c>
      <c r="R182">
        <v>150</v>
      </c>
      <c r="S182">
        <v>102</v>
      </c>
      <c r="T182">
        <v>85</v>
      </c>
      <c r="U182">
        <v>96</v>
      </c>
      <c r="V182">
        <v>0</v>
      </c>
      <c r="W182">
        <v>119</v>
      </c>
      <c r="X182">
        <v>0</v>
      </c>
      <c r="Y182">
        <v>0</v>
      </c>
      <c r="Z182">
        <v>0</v>
      </c>
      <c r="AA182">
        <v>70</v>
      </c>
      <c r="AB182">
        <v>0</v>
      </c>
      <c r="AC182">
        <v>0</v>
      </c>
      <c r="AD182">
        <v>0</v>
      </c>
      <c r="AE182">
        <v>52</v>
      </c>
      <c r="AF182">
        <v>60</v>
      </c>
      <c r="AG182">
        <v>0</v>
      </c>
      <c r="AH182">
        <f t="shared" si="0"/>
        <v>837</v>
      </c>
      <c r="AI182" s="76">
        <f t="shared" si="1"/>
        <v>2.4261994759177236E-3</v>
      </c>
    </row>
    <row r="183" spans="1:35" x14ac:dyDescent="0.2">
      <c r="A183" t="s">
        <v>630</v>
      </c>
      <c r="B183" t="s">
        <v>721</v>
      </c>
      <c r="C183">
        <v>0.77504607929201996</v>
      </c>
      <c r="D183">
        <v>0</v>
      </c>
      <c r="E183">
        <v>0</v>
      </c>
      <c r="F183">
        <v>0</v>
      </c>
      <c r="G183">
        <v>0</v>
      </c>
      <c r="H183">
        <v>0</v>
      </c>
      <c r="I183">
        <v>0</v>
      </c>
      <c r="J183">
        <v>0</v>
      </c>
      <c r="K183">
        <v>0</v>
      </c>
      <c r="L183">
        <v>0</v>
      </c>
      <c r="M183">
        <v>0</v>
      </c>
      <c r="N183">
        <v>0</v>
      </c>
      <c r="O183">
        <v>0</v>
      </c>
      <c r="P183">
        <v>0</v>
      </c>
      <c r="Q183">
        <v>60</v>
      </c>
      <c r="R183">
        <v>0</v>
      </c>
      <c r="S183">
        <v>0</v>
      </c>
      <c r="T183">
        <v>0</v>
      </c>
      <c r="U183">
        <v>276</v>
      </c>
      <c r="V183">
        <v>89</v>
      </c>
      <c r="W183">
        <v>0</v>
      </c>
      <c r="X183">
        <v>0</v>
      </c>
      <c r="Y183">
        <v>0</v>
      </c>
      <c r="Z183">
        <v>0</v>
      </c>
      <c r="AA183">
        <v>335</v>
      </c>
      <c r="AB183">
        <v>0</v>
      </c>
      <c r="AC183">
        <v>0</v>
      </c>
      <c r="AD183">
        <v>0</v>
      </c>
      <c r="AE183">
        <v>0</v>
      </c>
      <c r="AF183">
        <v>0</v>
      </c>
      <c r="AG183">
        <v>0</v>
      </c>
      <c r="AH183">
        <f t="shared" si="0"/>
        <v>760</v>
      </c>
      <c r="AI183" s="76">
        <f t="shared" si="1"/>
        <v>2.2030007188739188E-3</v>
      </c>
    </row>
    <row r="184" spans="1:35" x14ac:dyDescent="0.2">
      <c r="A184" t="s">
        <v>437</v>
      </c>
      <c r="B184" t="s">
        <v>527</v>
      </c>
      <c r="C184">
        <v>0.99841778344074705</v>
      </c>
      <c r="D184">
        <v>44</v>
      </c>
      <c r="E184">
        <v>36</v>
      </c>
      <c r="F184">
        <v>17</v>
      </c>
      <c r="G184">
        <v>21</v>
      </c>
      <c r="H184">
        <v>39</v>
      </c>
      <c r="I184">
        <v>38</v>
      </c>
      <c r="J184">
        <v>45</v>
      </c>
      <c r="K184">
        <v>41</v>
      </c>
      <c r="L184">
        <v>51</v>
      </c>
      <c r="M184">
        <v>30</v>
      </c>
      <c r="N184">
        <v>23</v>
      </c>
      <c r="O184">
        <v>10</v>
      </c>
      <c r="P184">
        <v>30</v>
      </c>
      <c r="Q184">
        <v>0</v>
      </c>
      <c r="R184">
        <v>17</v>
      </c>
      <c r="S184">
        <v>14</v>
      </c>
      <c r="T184">
        <v>15</v>
      </c>
      <c r="U184">
        <v>50</v>
      </c>
      <c r="V184">
        <v>15</v>
      </c>
      <c r="W184">
        <v>0</v>
      </c>
      <c r="X184">
        <v>11</v>
      </c>
      <c r="Y184">
        <v>21</v>
      </c>
      <c r="Z184">
        <v>0</v>
      </c>
      <c r="AA184">
        <v>0</v>
      </c>
      <c r="AB184">
        <v>18</v>
      </c>
      <c r="AC184">
        <v>19</v>
      </c>
      <c r="AD184">
        <v>42</v>
      </c>
      <c r="AE184">
        <v>17</v>
      </c>
      <c r="AF184">
        <v>10</v>
      </c>
      <c r="AG184">
        <v>17</v>
      </c>
      <c r="AH184">
        <f t="shared" si="0"/>
        <v>691</v>
      </c>
      <c r="AI184" s="76">
        <f t="shared" si="1"/>
        <v>2.0029914430814183E-3</v>
      </c>
    </row>
    <row r="185" spans="1:35" x14ac:dyDescent="0.2">
      <c r="A185" t="s">
        <v>722</v>
      </c>
      <c r="B185" t="s">
        <v>710</v>
      </c>
      <c r="C185">
        <v>0.84260430808226505</v>
      </c>
      <c r="D185">
        <v>0</v>
      </c>
      <c r="E185">
        <v>0</v>
      </c>
      <c r="F185">
        <v>0</v>
      </c>
      <c r="G185">
        <v>0</v>
      </c>
      <c r="H185">
        <v>0</v>
      </c>
      <c r="I185">
        <v>0</v>
      </c>
      <c r="J185">
        <v>0</v>
      </c>
      <c r="K185">
        <v>0</v>
      </c>
      <c r="L185">
        <v>0</v>
      </c>
      <c r="M185">
        <v>0</v>
      </c>
      <c r="N185">
        <v>0</v>
      </c>
      <c r="O185">
        <v>0</v>
      </c>
      <c r="P185">
        <v>0</v>
      </c>
      <c r="Q185">
        <v>0</v>
      </c>
      <c r="R185">
        <v>306</v>
      </c>
      <c r="S185">
        <v>349</v>
      </c>
      <c r="T185">
        <v>0</v>
      </c>
      <c r="U185">
        <v>0</v>
      </c>
      <c r="V185">
        <v>0</v>
      </c>
      <c r="W185">
        <v>0</v>
      </c>
      <c r="X185">
        <v>0</v>
      </c>
      <c r="Y185">
        <v>0</v>
      </c>
      <c r="Z185">
        <v>35</v>
      </c>
      <c r="AA185">
        <v>0</v>
      </c>
      <c r="AB185">
        <v>0</v>
      </c>
      <c r="AC185">
        <v>0</v>
      </c>
      <c r="AD185">
        <v>0</v>
      </c>
      <c r="AE185">
        <v>0</v>
      </c>
      <c r="AF185">
        <v>0</v>
      </c>
      <c r="AG185">
        <v>0</v>
      </c>
      <c r="AH185">
        <f t="shared" si="0"/>
        <v>690</v>
      </c>
      <c r="AI185" s="76">
        <f t="shared" si="1"/>
        <v>2.0000927579250051E-3</v>
      </c>
    </row>
    <row r="186" spans="1:35" x14ac:dyDescent="0.2">
      <c r="A186" t="s">
        <v>591</v>
      </c>
      <c r="B186" t="s">
        <v>705</v>
      </c>
      <c r="C186">
        <v>0.99999994434274597</v>
      </c>
      <c r="D186">
        <v>0</v>
      </c>
      <c r="E186">
        <v>0</v>
      </c>
      <c r="F186">
        <v>88</v>
      </c>
      <c r="G186">
        <v>0</v>
      </c>
      <c r="H186">
        <v>0</v>
      </c>
      <c r="I186">
        <v>0</v>
      </c>
      <c r="J186">
        <v>0</v>
      </c>
      <c r="K186">
        <v>0</v>
      </c>
      <c r="L186">
        <v>0</v>
      </c>
      <c r="M186">
        <v>0</v>
      </c>
      <c r="N186">
        <v>35</v>
      </c>
      <c r="O186">
        <v>0</v>
      </c>
      <c r="P186">
        <v>0</v>
      </c>
      <c r="Q186">
        <v>0</v>
      </c>
      <c r="R186">
        <v>0</v>
      </c>
      <c r="S186">
        <v>0</v>
      </c>
      <c r="T186">
        <v>20</v>
      </c>
      <c r="U186">
        <v>0</v>
      </c>
      <c r="V186">
        <v>167</v>
      </c>
      <c r="W186">
        <v>157</v>
      </c>
      <c r="X186">
        <v>108</v>
      </c>
      <c r="Y186">
        <v>20</v>
      </c>
      <c r="Z186">
        <v>0</v>
      </c>
      <c r="AA186">
        <v>11</v>
      </c>
      <c r="AB186">
        <v>0</v>
      </c>
      <c r="AC186">
        <v>0</v>
      </c>
      <c r="AD186">
        <v>0</v>
      </c>
      <c r="AE186">
        <v>0</v>
      </c>
      <c r="AF186">
        <v>0</v>
      </c>
      <c r="AG186">
        <v>0</v>
      </c>
      <c r="AH186">
        <f t="shared" si="0"/>
        <v>606</v>
      </c>
      <c r="AI186" s="76">
        <f t="shared" si="1"/>
        <v>1.756603204786309E-3</v>
      </c>
    </row>
    <row r="187" spans="1:35" x14ac:dyDescent="0.2">
      <c r="A187" t="s">
        <v>642</v>
      </c>
      <c r="B187" t="s">
        <v>561</v>
      </c>
      <c r="C187">
        <v>0.99999404705671502</v>
      </c>
      <c r="D187">
        <v>151</v>
      </c>
      <c r="E187">
        <v>0</v>
      </c>
      <c r="F187">
        <v>0</v>
      </c>
      <c r="G187">
        <v>0</v>
      </c>
      <c r="H187">
        <v>0</v>
      </c>
      <c r="I187">
        <v>0</v>
      </c>
      <c r="J187">
        <v>0</v>
      </c>
      <c r="K187">
        <v>0</v>
      </c>
      <c r="L187">
        <v>0</v>
      </c>
      <c r="M187">
        <v>0</v>
      </c>
      <c r="N187">
        <v>0</v>
      </c>
      <c r="O187">
        <v>36</v>
      </c>
      <c r="P187">
        <v>0</v>
      </c>
      <c r="Q187">
        <v>0</v>
      </c>
      <c r="R187">
        <v>0</v>
      </c>
      <c r="S187">
        <v>12</v>
      </c>
      <c r="T187">
        <v>0</v>
      </c>
      <c r="U187">
        <v>0</v>
      </c>
      <c r="V187">
        <v>0</v>
      </c>
      <c r="W187">
        <v>34</v>
      </c>
      <c r="X187">
        <v>0</v>
      </c>
      <c r="Y187">
        <v>0</v>
      </c>
      <c r="Z187">
        <v>78</v>
      </c>
      <c r="AA187">
        <v>72</v>
      </c>
      <c r="AB187">
        <v>0</v>
      </c>
      <c r="AC187">
        <v>0</v>
      </c>
      <c r="AD187">
        <v>0</v>
      </c>
      <c r="AE187">
        <v>0</v>
      </c>
      <c r="AF187">
        <v>77</v>
      </c>
      <c r="AG187">
        <v>145</v>
      </c>
      <c r="AH187">
        <f t="shared" si="0"/>
        <v>605</v>
      </c>
      <c r="AI187" s="76">
        <f t="shared" si="1"/>
        <v>1.7537045196298958E-3</v>
      </c>
    </row>
    <row r="188" spans="1:35" x14ac:dyDescent="0.2">
      <c r="A188" t="s">
        <v>537</v>
      </c>
      <c r="B188" t="s">
        <v>561</v>
      </c>
      <c r="C188">
        <v>0.99984771351058699</v>
      </c>
      <c r="D188">
        <v>95</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162</v>
      </c>
      <c r="AB188">
        <v>0</v>
      </c>
      <c r="AC188">
        <v>0</v>
      </c>
      <c r="AD188">
        <v>0</v>
      </c>
      <c r="AE188">
        <v>0</v>
      </c>
      <c r="AF188">
        <v>253</v>
      </c>
      <c r="AG188">
        <v>63</v>
      </c>
      <c r="AH188">
        <f t="shared" si="0"/>
        <v>573</v>
      </c>
      <c r="AI188" s="76">
        <f t="shared" si="1"/>
        <v>1.6609465946246782E-3</v>
      </c>
    </row>
    <row r="189" spans="1:35" x14ac:dyDescent="0.2">
      <c r="A189" t="s">
        <v>602</v>
      </c>
      <c r="B189" t="s">
        <v>527</v>
      </c>
      <c r="C189">
        <v>0.99816356494374103</v>
      </c>
      <c r="D189">
        <v>41</v>
      </c>
      <c r="E189">
        <v>30</v>
      </c>
      <c r="F189">
        <v>13</v>
      </c>
      <c r="G189">
        <v>0</v>
      </c>
      <c r="H189">
        <v>51</v>
      </c>
      <c r="I189">
        <v>19</v>
      </c>
      <c r="J189">
        <v>45</v>
      </c>
      <c r="K189">
        <v>40</v>
      </c>
      <c r="L189">
        <v>36</v>
      </c>
      <c r="M189">
        <v>20</v>
      </c>
      <c r="N189">
        <v>21</v>
      </c>
      <c r="O189">
        <v>11</v>
      </c>
      <c r="P189">
        <v>0</v>
      </c>
      <c r="Q189">
        <v>0</v>
      </c>
      <c r="R189">
        <v>0</v>
      </c>
      <c r="S189">
        <v>0</v>
      </c>
      <c r="T189">
        <v>12</v>
      </c>
      <c r="U189">
        <v>43</v>
      </c>
      <c r="V189">
        <v>10</v>
      </c>
      <c r="W189">
        <v>0</v>
      </c>
      <c r="X189">
        <v>8</v>
      </c>
      <c r="Y189">
        <v>16</v>
      </c>
      <c r="Z189">
        <v>9</v>
      </c>
      <c r="AA189">
        <v>0</v>
      </c>
      <c r="AB189">
        <v>13</v>
      </c>
      <c r="AC189">
        <v>17</v>
      </c>
      <c r="AD189">
        <v>24</v>
      </c>
      <c r="AE189">
        <v>8</v>
      </c>
      <c r="AF189">
        <v>9</v>
      </c>
      <c r="AG189">
        <v>18</v>
      </c>
      <c r="AH189">
        <f t="shared" si="0"/>
        <v>514</v>
      </c>
      <c r="AI189" s="76">
        <f t="shared" si="1"/>
        <v>1.4899241703963083E-3</v>
      </c>
    </row>
    <row r="190" spans="1:35" x14ac:dyDescent="0.2">
      <c r="A190" t="s">
        <v>590</v>
      </c>
      <c r="B190" t="s">
        <v>561</v>
      </c>
      <c r="C190">
        <v>0.99982582928993802</v>
      </c>
      <c r="D190">
        <v>0</v>
      </c>
      <c r="E190">
        <v>0</v>
      </c>
      <c r="F190">
        <v>0</v>
      </c>
      <c r="G190">
        <v>0</v>
      </c>
      <c r="H190">
        <v>168</v>
      </c>
      <c r="I190">
        <v>0</v>
      </c>
      <c r="J190">
        <v>0</v>
      </c>
      <c r="K190">
        <v>0</v>
      </c>
      <c r="L190">
        <v>0</v>
      </c>
      <c r="M190">
        <v>0</v>
      </c>
      <c r="N190">
        <v>0</v>
      </c>
      <c r="O190">
        <v>120</v>
      </c>
      <c r="P190">
        <v>0</v>
      </c>
      <c r="Q190">
        <v>0</v>
      </c>
      <c r="R190">
        <v>0</v>
      </c>
      <c r="S190">
        <v>0</v>
      </c>
      <c r="T190">
        <v>0</v>
      </c>
      <c r="U190">
        <v>0</v>
      </c>
      <c r="V190">
        <v>0</v>
      </c>
      <c r="W190">
        <v>0</v>
      </c>
      <c r="X190">
        <v>0</v>
      </c>
      <c r="Y190">
        <v>0</v>
      </c>
      <c r="Z190">
        <v>120</v>
      </c>
      <c r="AA190">
        <v>31</v>
      </c>
      <c r="AB190">
        <v>36</v>
      </c>
      <c r="AC190">
        <v>0</v>
      </c>
      <c r="AD190">
        <v>0</v>
      </c>
      <c r="AE190">
        <v>0</v>
      </c>
      <c r="AF190">
        <v>0</v>
      </c>
      <c r="AG190">
        <v>0</v>
      </c>
      <c r="AH190">
        <f t="shared" ref="AH190:AH253" si="2">SUM(D190:AG190)</f>
        <v>475</v>
      </c>
      <c r="AI190" s="76">
        <f t="shared" si="1"/>
        <v>1.3768754492961993E-3</v>
      </c>
    </row>
    <row r="191" spans="1:35" x14ac:dyDescent="0.2">
      <c r="A191" t="s">
        <v>577</v>
      </c>
      <c r="B191" t="s">
        <v>543</v>
      </c>
      <c r="C191">
        <v>0.99999975696741294</v>
      </c>
      <c r="D191">
        <v>0</v>
      </c>
      <c r="E191">
        <v>0</v>
      </c>
      <c r="F191">
        <v>0</v>
      </c>
      <c r="G191">
        <v>0</v>
      </c>
      <c r="H191">
        <v>0</v>
      </c>
      <c r="I191">
        <v>0</v>
      </c>
      <c r="J191">
        <v>0</v>
      </c>
      <c r="K191">
        <v>0</v>
      </c>
      <c r="L191">
        <v>0</v>
      </c>
      <c r="M191">
        <v>0</v>
      </c>
      <c r="N191">
        <v>0</v>
      </c>
      <c r="O191">
        <v>0</v>
      </c>
      <c r="P191">
        <v>0</v>
      </c>
      <c r="Q191">
        <v>0</v>
      </c>
      <c r="R191">
        <v>0</v>
      </c>
      <c r="S191">
        <v>0</v>
      </c>
      <c r="T191">
        <v>117</v>
      </c>
      <c r="U191">
        <v>0</v>
      </c>
      <c r="V191">
        <v>0</v>
      </c>
      <c r="W191">
        <v>14</v>
      </c>
      <c r="X191">
        <v>0</v>
      </c>
      <c r="Y191">
        <v>0</v>
      </c>
      <c r="Z191">
        <v>0</v>
      </c>
      <c r="AA191">
        <v>321</v>
      </c>
      <c r="AB191">
        <v>0</v>
      </c>
      <c r="AC191">
        <v>0</v>
      </c>
      <c r="AD191">
        <v>0</v>
      </c>
      <c r="AE191">
        <v>0</v>
      </c>
      <c r="AF191">
        <v>0</v>
      </c>
      <c r="AG191">
        <v>0</v>
      </c>
      <c r="AH191">
        <f t="shared" si="2"/>
        <v>452</v>
      </c>
      <c r="AI191" s="76">
        <f t="shared" si="1"/>
        <v>1.310205690698699E-3</v>
      </c>
    </row>
    <row r="192" spans="1:35" x14ac:dyDescent="0.2">
      <c r="A192" t="s">
        <v>723</v>
      </c>
      <c r="B192" t="s">
        <v>527</v>
      </c>
      <c r="C192">
        <v>0.99782670761643499</v>
      </c>
      <c r="D192">
        <v>29</v>
      </c>
      <c r="E192">
        <v>25</v>
      </c>
      <c r="F192">
        <v>0</v>
      </c>
      <c r="G192">
        <v>0</v>
      </c>
      <c r="H192">
        <v>24</v>
      </c>
      <c r="I192">
        <v>21</v>
      </c>
      <c r="J192">
        <v>23</v>
      </c>
      <c r="K192">
        <v>25</v>
      </c>
      <c r="L192">
        <v>30</v>
      </c>
      <c r="M192">
        <v>22</v>
      </c>
      <c r="N192">
        <v>13</v>
      </c>
      <c r="O192">
        <v>13</v>
      </c>
      <c r="P192">
        <v>10</v>
      </c>
      <c r="Q192">
        <v>0</v>
      </c>
      <c r="R192">
        <v>11</v>
      </c>
      <c r="S192">
        <v>10</v>
      </c>
      <c r="T192">
        <v>0</v>
      </c>
      <c r="U192">
        <v>32</v>
      </c>
      <c r="V192">
        <v>9</v>
      </c>
      <c r="W192">
        <v>0</v>
      </c>
      <c r="X192">
        <v>0</v>
      </c>
      <c r="Y192">
        <v>18</v>
      </c>
      <c r="Z192">
        <v>0</v>
      </c>
      <c r="AA192">
        <v>0</v>
      </c>
      <c r="AB192">
        <v>0</v>
      </c>
      <c r="AC192">
        <v>10</v>
      </c>
      <c r="AD192">
        <v>25</v>
      </c>
      <c r="AE192">
        <v>12</v>
      </c>
      <c r="AF192">
        <v>0</v>
      </c>
      <c r="AG192">
        <v>11</v>
      </c>
      <c r="AH192">
        <f t="shared" si="2"/>
        <v>373</v>
      </c>
      <c r="AI192" s="76">
        <f t="shared" si="1"/>
        <v>1.0812095633420679E-3</v>
      </c>
    </row>
    <row r="193" spans="1:35" x14ac:dyDescent="0.2">
      <c r="A193" t="s">
        <v>724</v>
      </c>
      <c r="B193" t="s">
        <v>527</v>
      </c>
      <c r="C193">
        <v>0.99836625133053702</v>
      </c>
      <c r="D193">
        <v>34</v>
      </c>
      <c r="E193">
        <v>29</v>
      </c>
      <c r="F193">
        <v>11</v>
      </c>
      <c r="G193">
        <v>0</v>
      </c>
      <c r="H193">
        <v>24</v>
      </c>
      <c r="I193">
        <v>9</v>
      </c>
      <c r="J193">
        <v>22</v>
      </c>
      <c r="K193">
        <v>21</v>
      </c>
      <c r="L193">
        <v>25</v>
      </c>
      <c r="M193">
        <v>20</v>
      </c>
      <c r="N193">
        <v>15</v>
      </c>
      <c r="O193">
        <v>14</v>
      </c>
      <c r="P193">
        <v>11</v>
      </c>
      <c r="Q193">
        <v>0</v>
      </c>
      <c r="R193">
        <v>12</v>
      </c>
      <c r="S193">
        <v>10</v>
      </c>
      <c r="T193">
        <v>9</v>
      </c>
      <c r="U193">
        <v>23</v>
      </c>
      <c r="V193">
        <v>0</v>
      </c>
      <c r="W193">
        <v>0</v>
      </c>
      <c r="X193">
        <v>0</v>
      </c>
      <c r="Y193">
        <v>14</v>
      </c>
      <c r="Z193">
        <v>0</v>
      </c>
      <c r="AA193">
        <v>0</v>
      </c>
      <c r="AB193">
        <v>9</v>
      </c>
      <c r="AC193">
        <v>0</v>
      </c>
      <c r="AD193">
        <v>12</v>
      </c>
      <c r="AE193">
        <v>10</v>
      </c>
      <c r="AF193">
        <v>0</v>
      </c>
      <c r="AG193">
        <v>14</v>
      </c>
      <c r="AH193">
        <f t="shared" si="2"/>
        <v>348</v>
      </c>
      <c r="AI193" s="76">
        <f t="shared" si="1"/>
        <v>1.0087424344317419E-3</v>
      </c>
    </row>
    <row r="194" spans="1:35" x14ac:dyDescent="0.2">
      <c r="A194" t="s">
        <v>560</v>
      </c>
      <c r="B194" t="s">
        <v>725</v>
      </c>
      <c r="C194">
        <v>0.98704170298750904</v>
      </c>
      <c r="D194">
        <v>17</v>
      </c>
      <c r="E194">
        <v>0</v>
      </c>
      <c r="F194">
        <v>18</v>
      </c>
      <c r="G194">
        <v>0</v>
      </c>
      <c r="H194">
        <v>0</v>
      </c>
      <c r="I194">
        <v>0</v>
      </c>
      <c r="J194">
        <v>0</v>
      </c>
      <c r="K194">
        <v>0</v>
      </c>
      <c r="L194">
        <v>0</v>
      </c>
      <c r="M194">
        <v>0</v>
      </c>
      <c r="N194">
        <v>0</v>
      </c>
      <c r="O194">
        <v>12</v>
      </c>
      <c r="P194">
        <v>0</v>
      </c>
      <c r="Q194">
        <v>0</v>
      </c>
      <c r="R194">
        <v>0</v>
      </c>
      <c r="S194">
        <v>0</v>
      </c>
      <c r="T194">
        <v>0</v>
      </c>
      <c r="U194">
        <v>0</v>
      </c>
      <c r="V194">
        <v>118</v>
      </c>
      <c r="W194">
        <v>0</v>
      </c>
      <c r="X194">
        <v>0</v>
      </c>
      <c r="Y194">
        <v>0</v>
      </c>
      <c r="Z194">
        <v>57</v>
      </c>
      <c r="AA194">
        <v>62</v>
      </c>
      <c r="AB194">
        <v>0</v>
      </c>
      <c r="AC194">
        <v>0</v>
      </c>
      <c r="AD194">
        <v>0</v>
      </c>
      <c r="AE194">
        <v>0</v>
      </c>
      <c r="AF194">
        <v>0</v>
      </c>
      <c r="AG194">
        <v>0</v>
      </c>
      <c r="AH194">
        <f t="shared" si="2"/>
        <v>284</v>
      </c>
      <c r="AI194" s="76">
        <f t="shared" si="1"/>
        <v>8.2322658442130652E-4</v>
      </c>
    </row>
    <row r="195" spans="1:35" x14ac:dyDescent="0.2">
      <c r="A195" t="s">
        <v>726</v>
      </c>
      <c r="B195" t="s">
        <v>527</v>
      </c>
      <c r="C195">
        <v>0.99777807993345602</v>
      </c>
      <c r="D195">
        <v>19</v>
      </c>
      <c r="E195">
        <v>13</v>
      </c>
      <c r="F195">
        <v>0</v>
      </c>
      <c r="G195">
        <v>0</v>
      </c>
      <c r="H195">
        <v>18</v>
      </c>
      <c r="I195">
        <v>21</v>
      </c>
      <c r="J195">
        <v>17</v>
      </c>
      <c r="K195">
        <v>26</v>
      </c>
      <c r="L195">
        <v>17</v>
      </c>
      <c r="M195">
        <v>17</v>
      </c>
      <c r="N195">
        <v>0</v>
      </c>
      <c r="O195">
        <v>0</v>
      </c>
      <c r="P195">
        <v>0</v>
      </c>
      <c r="Q195">
        <v>0</v>
      </c>
      <c r="R195">
        <v>11</v>
      </c>
      <c r="S195">
        <v>0</v>
      </c>
      <c r="T195">
        <v>0</v>
      </c>
      <c r="U195">
        <v>21</v>
      </c>
      <c r="V195">
        <v>10</v>
      </c>
      <c r="W195">
        <v>0</v>
      </c>
      <c r="X195">
        <v>0</v>
      </c>
      <c r="Y195">
        <v>13</v>
      </c>
      <c r="Z195">
        <v>0</v>
      </c>
      <c r="AA195">
        <v>0</v>
      </c>
      <c r="AB195">
        <v>0</v>
      </c>
      <c r="AC195">
        <v>9</v>
      </c>
      <c r="AD195">
        <v>22</v>
      </c>
      <c r="AE195">
        <v>0</v>
      </c>
      <c r="AF195">
        <v>0</v>
      </c>
      <c r="AG195">
        <v>10</v>
      </c>
      <c r="AH195">
        <f t="shared" si="2"/>
        <v>244</v>
      </c>
      <c r="AI195" s="76">
        <f t="shared" si="1"/>
        <v>7.0727917816478447E-4</v>
      </c>
    </row>
    <row r="196" spans="1:35" x14ac:dyDescent="0.2">
      <c r="A196" t="s">
        <v>727</v>
      </c>
      <c r="B196" t="s">
        <v>536</v>
      </c>
      <c r="C196">
        <v>0.96676981504674198</v>
      </c>
      <c r="D196">
        <v>0</v>
      </c>
      <c r="E196">
        <v>0</v>
      </c>
      <c r="F196">
        <v>0</v>
      </c>
      <c r="G196">
        <v>0</v>
      </c>
      <c r="H196">
        <v>0</v>
      </c>
      <c r="I196">
        <v>0</v>
      </c>
      <c r="J196">
        <v>0</v>
      </c>
      <c r="K196">
        <v>0</v>
      </c>
      <c r="L196">
        <v>0</v>
      </c>
      <c r="M196">
        <v>0</v>
      </c>
      <c r="N196">
        <v>0</v>
      </c>
      <c r="O196">
        <v>0</v>
      </c>
      <c r="P196">
        <v>0</v>
      </c>
      <c r="Q196">
        <v>0</v>
      </c>
      <c r="R196">
        <v>0</v>
      </c>
      <c r="S196">
        <v>97</v>
      </c>
      <c r="T196">
        <v>0</v>
      </c>
      <c r="U196">
        <v>0</v>
      </c>
      <c r="V196">
        <v>0</v>
      </c>
      <c r="W196">
        <v>129</v>
      </c>
      <c r="X196">
        <v>0</v>
      </c>
      <c r="Y196">
        <v>0</v>
      </c>
      <c r="Z196">
        <v>0</v>
      </c>
      <c r="AA196">
        <v>0</v>
      </c>
      <c r="AB196">
        <v>0</v>
      </c>
      <c r="AC196">
        <v>0</v>
      </c>
      <c r="AD196">
        <v>0</v>
      </c>
      <c r="AE196">
        <v>0</v>
      </c>
      <c r="AF196">
        <v>0</v>
      </c>
      <c r="AG196">
        <v>0</v>
      </c>
      <c r="AH196">
        <f t="shared" si="2"/>
        <v>226</v>
      </c>
      <c r="AI196" s="76">
        <f t="shared" si="1"/>
        <v>6.5510284534934951E-4</v>
      </c>
    </row>
    <row r="197" spans="1:35" x14ac:dyDescent="0.2">
      <c r="A197" t="s">
        <v>596</v>
      </c>
      <c r="B197" t="s">
        <v>527</v>
      </c>
      <c r="C197">
        <v>0.99785328222926595</v>
      </c>
      <c r="D197">
        <v>23</v>
      </c>
      <c r="E197">
        <v>20</v>
      </c>
      <c r="F197">
        <v>9</v>
      </c>
      <c r="G197">
        <v>0</v>
      </c>
      <c r="H197">
        <v>12</v>
      </c>
      <c r="I197">
        <v>9</v>
      </c>
      <c r="J197">
        <v>19</v>
      </c>
      <c r="K197">
        <v>27</v>
      </c>
      <c r="L197">
        <v>21</v>
      </c>
      <c r="M197">
        <v>10</v>
      </c>
      <c r="N197">
        <v>8</v>
      </c>
      <c r="O197">
        <v>0</v>
      </c>
      <c r="P197">
        <v>0</v>
      </c>
      <c r="Q197">
        <v>0</v>
      </c>
      <c r="R197">
        <v>0</v>
      </c>
      <c r="S197">
        <v>0</v>
      </c>
      <c r="T197">
        <v>0</v>
      </c>
      <c r="U197">
        <v>27</v>
      </c>
      <c r="V197">
        <v>0</v>
      </c>
      <c r="W197">
        <v>0</v>
      </c>
      <c r="X197">
        <v>0</v>
      </c>
      <c r="Y197">
        <v>0</v>
      </c>
      <c r="Z197">
        <v>0</v>
      </c>
      <c r="AA197">
        <v>0</v>
      </c>
      <c r="AB197">
        <v>14</v>
      </c>
      <c r="AC197">
        <v>0</v>
      </c>
      <c r="AD197">
        <v>13</v>
      </c>
      <c r="AE197">
        <v>0</v>
      </c>
      <c r="AF197">
        <v>0</v>
      </c>
      <c r="AG197">
        <v>10</v>
      </c>
      <c r="AH197">
        <f t="shared" si="2"/>
        <v>222</v>
      </c>
      <c r="AI197" s="76">
        <f t="shared" si="1"/>
        <v>6.4350810472369737E-4</v>
      </c>
    </row>
    <row r="198" spans="1:35" x14ac:dyDescent="0.2">
      <c r="A198" t="s">
        <v>728</v>
      </c>
      <c r="B198" t="s">
        <v>561</v>
      </c>
      <c r="C198">
        <v>0.99997488556667402</v>
      </c>
      <c r="D198">
        <v>0</v>
      </c>
      <c r="E198">
        <v>0</v>
      </c>
      <c r="F198">
        <v>0</v>
      </c>
      <c r="G198">
        <v>0</v>
      </c>
      <c r="H198">
        <v>0</v>
      </c>
      <c r="I198">
        <v>0</v>
      </c>
      <c r="J198">
        <v>0</v>
      </c>
      <c r="K198">
        <v>0</v>
      </c>
      <c r="L198">
        <v>0</v>
      </c>
      <c r="M198">
        <v>0</v>
      </c>
      <c r="N198">
        <v>0</v>
      </c>
      <c r="O198">
        <v>0</v>
      </c>
      <c r="P198">
        <v>0</v>
      </c>
      <c r="Q198">
        <v>0</v>
      </c>
      <c r="R198">
        <v>0</v>
      </c>
      <c r="S198">
        <v>0</v>
      </c>
      <c r="T198">
        <v>0</v>
      </c>
      <c r="U198">
        <v>0</v>
      </c>
      <c r="V198">
        <v>201</v>
      </c>
      <c r="W198">
        <v>0</v>
      </c>
      <c r="X198">
        <v>21</v>
      </c>
      <c r="Y198">
        <v>0</v>
      </c>
      <c r="Z198">
        <v>0</v>
      </c>
      <c r="AA198">
        <v>0</v>
      </c>
      <c r="AB198">
        <v>0</v>
      </c>
      <c r="AC198">
        <v>0</v>
      </c>
      <c r="AD198">
        <v>0</v>
      </c>
      <c r="AE198">
        <v>0</v>
      </c>
      <c r="AF198">
        <v>0</v>
      </c>
      <c r="AG198">
        <v>0</v>
      </c>
      <c r="AH198">
        <f t="shared" si="2"/>
        <v>222</v>
      </c>
      <c r="AI198" s="76">
        <f t="shared" si="1"/>
        <v>6.4350810472369737E-4</v>
      </c>
    </row>
    <row r="199" spans="1:35" x14ac:dyDescent="0.2">
      <c r="A199" t="s">
        <v>729</v>
      </c>
      <c r="B199" t="s">
        <v>527</v>
      </c>
      <c r="C199">
        <v>0.99791785186517301</v>
      </c>
      <c r="D199">
        <v>18</v>
      </c>
      <c r="E199">
        <v>20</v>
      </c>
      <c r="F199">
        <v>0</v>
      </c>
      <c r="G199">
        <v>0</v>
      </c>
      <c r="H199">
        <v>20</v>
      </c>
      <c r="I199">
        <v>11</v>
      </c>
      <c r="J199">
        <v>18</v>
      </c>
      <c r="K199">
        <v>20</v>
      </c>
      <c r="L199">
        <v>15</v>
      </c>
      <c r="M199">
        <v>9</v>
      </c>
      <c r="N199">
        <v>0</v>
      </c>
      <c r="O199">
        <v>0</v>
      </c>
      <c r="P199">
        <v>0</v>
      </c>
      <c r="Q199">
        <v>0</v>
      </c>
      <c r="R199">
        <v>0</v>
      </c>
      <c r="S199">
        <v>0</v>
      </c>
      <c r="T199">
        <v>0</v>
      </c>
      <c r="U199">
        <v>26</v>
      </c>
      <c r="V199">
        <v>0</v>
      </c>
      <c r="W199">
        <v>0</v>
      </c>
      <c r="X199">
        <v>0</v>
      </c>
      <c r="Y199">
        <v>12</v>
      </c>
      <c r="Z199">
        <v>0</v>
      </c>
      <c r="AA199">
        <v>0</v>
      </c>
      <c r="AB199">
        <v>13</v>
      </c>
      <c r="AC199">
        <v>11</v>
      </c>
      <c r="AD199">
        <v>18</v>
      </c>
      <c r="AE199">
        <v>0</v>
      </c>
      <c r="AF199">
        <v>0</v>
      </c>
      <c r="AG199">
        <v>0</v>
      </c>
      <c r="AH199">
        <f t="shared" si="2"/>
        <v>211</v>
      </c>
      <c r="AI199" s="76">
        <f t="shared" si="1"/>
        <v>6.1162256800315377E-4</v>
      </c>
    </row>
    <row r="200" spans="1:35" x14ac:dyDescent="0.2">
      <c r="A200" t="s">
        <v>730</v>
      </c>
      <c r="B200" t="s">
        <v>527</v>
      </c>
      <c r="C200">
        <v>0.99923847667066401</v>
      </c>
      <c r="D200">
        <v>22</v>
      </c>
      <c r="E200">
        <v>19</v>
      </c>
      <c r="F200">
        <v>13</v>
      </c>
      <c r="G200">
        <v>0</v>
      </c>
      <c r="H200">
        <v>21</v>
      </c>
      <c r="I200">
        <v>11</v>
      </c>
      <c r="J200">
        <v>21</v>
      </c>
      <c r="K200">
        <v>17</v>
      </c>
      <c r="L200">
        <v>10</v>
      </c>
      <c r="M200">
        <v>9</v>
      </c>
      <c r="N200">
        <v>9</v>
      </c>
      <c r="O200">
        <v>0</v>
      </c>
      <c r="P200">
        <v>0</v>
      </c>
      <c r="Q200">
        <v>0</v>
      </c>
      <c r="R200">
        <v>0</v>
      </c>
      <c r="S200">
        <v>0</v>
      </c>
      <c r="T200">
        <v>0</v>
      </c>
      <c r="U200">
        <v>22</v>
      </c>
      <c r="V200">
        <v>0</v>
      </c>
      <c r="W200">
        <v>0</v>
      </c>
      <c r="X200">
        <v>0</v>
      </c>
      <c r="Y200">
        <v>0</v>
      </c>
      <c r="Z200">
        <v>0</v>
      </c>
      <c r="AA200">
        <v>0</v>
      </c>
      <c r="AB200">
        <v>9</v>
      </c>
      <c r="AC200">
        <v>8</v>
      </c>
      <c r="AD200">
        <v>9</v>
      </c>
      <c r="AE200">
        <v>0</v>
      </c>
      <c r="AF200">
        <v>0</v>
      </c>
      <c r="AG200">
        <v>0</v>
      </c>
      <c r="AH200">
        <f t="shared" si="2"/>
        <v>200</v>
      </c>
      <c r="AI200" s="76">
        <f t="shared" si="1"/>
        <v>5.7973703128261017E-4</v>
      </c>
    </row>
    <row r="201" spans="1:35" x14ac:dyDescent="0.2">
      <c r="A201" t="s">
        <v>700</v>
      </c>
      <c r="B201" t="s">
        <v>731</v>
      </c>
      <c r="C201">
        <v>0.70278283425398003</v>
      </c>
      <c r="D201">
        <v>0</v>
      </c>
      <c r="E201">
        <v>0</v>
      </c>
      <c r="F201">
        <v>0</v>
      </c>
      <c r="G201">
        <v>0</v>
      </c>
      <c r="H201">
        <v>0</v>
      </c>
      <c r="I201">
        <v>0</v>
      </c>
      <c r="J201">
        <v>0</v>
      </c>
      <c r="K201">
        <v>0</v>
      </c>
      <c r="L201">
        <v>0</v>
      </c>
      <c r="M201">
        <v>0</v>
      </c>
      <c r="N201">
        <v>0</v>
      </c>
      <c r="O201">
        <v>0</v>
      </c>
      <c r="P201">
        <v>0</v>
      </c>
      <c r="Q201">
        <v>0</v>
      </c>
      <c r="R201">
        <v>0</v>
      </c>
      <c r="S201">
        <v>0</v>
      </c>
      <c r="T201">
        <v>0</v>
      </c>
      <c r="U201">
        <v>0</v>
      </c>
      <c r="V201">
        <v>146</v>
      </c>
      <c r="W201">
        <v>0</v>
      </c>
      <c r="X201">
        <v>0</v>
      </c>
      <c r="Y201">
        <v>0</v>
      </c>
      <c r="Z201">
        <v>0</v>
      </c>
      <c r="AA201">
        <v>54</v>
      </c>
      <c r="AB201">
        <v>0</v>
      </c>
      <c r="AC201">
        <v>0</v>
      </c>
      <c r="AD201">
        <v>0</v>
      </c>
      <c r="AE201">
        <v>0</v>
      </c>
      <c r="AF201">
        <v>0</v>
      </c>
      <c r="AG201">
        <v>0</v>
      </c>
      <c r="AH201">
        <f t="shared" si="2"/>
        <v>200</v>
      </c>
      <c r="AI201" s="76">
        <f t="shared" si="1"/>
        <v>5.7973703128261017E-4</v>
      </c>
    </row>
    <row r="202" spans="1:35" x14ac:dyDescent="0.2">
      <c r="A202" t="s">
        <v>619</v>
      </c>
      <c r="B202" t="s">
        <v>527</v>
      </c>
      <c r="C202">
        <v>0.998183484633829</v>
      </c>
      <c r="D202">
        <v>14</v>
      </c>
      <c r="E202">
        <v>14</v>
      </c>
      <c r="F202">
        <v>0</v>
      </c>
      <c r="G202">
        <v>0</v>
      </c>
      <c r="H202">
        <v>21</v>
      </c>
      <c r="I202">
        <v>11</v>
      </c>
      <c r="J202">
        <v>16</v>
      </c>
      <c r="K202">
        <v>20</v>
      </c>
      <c r="L202">
        <v>18</v>
      </c>
      <c r="M202">
        <v>15</v>
      </c>
      <c r="N202">
        <v>12</v>
      </c>
      <c r="O202">
        <v>0</v>
      </c>
      <c r="P202">
        <v>0</v>
      </c>
      <c r="Q202">
        <v>0</v>
      </c>
      <c r="R202">
        <v>0</v>
      </c>
      <c r="S202">
        <v>0</v>
      </c>
      <c r="T202">
        <v>0</v>
      </c>
      <c r="U202">
        <v>21</v>
      </c>
      <c r="V202">
        <v>0</v>
      </c>
      <c r="W202">
        <v>0</v>
      </c>
      <c r="X202">
        <v>0</v>
      </c>
      <c r="Y202">
        <v>12</v>
      </c>
      <c r="Z202">
        <v>0</v>
      </c>
      <c r="AA202">
        <v>0</v>
      </c>
      <c r="AB202">
        <v>0</v>
      </c>
      <c r="AC202">
        <v>0</v>
      </c>
      <c r="AD202">
        <v>17</v>
      </c>
      <c r="AE202">
        <v>8</v>
      </c>
      <c r="AF202">
        <v>0</v>
      </c>
      <c r="AG202">
        <v>0</v>
      </c>
      <c r="AH202">
        <f t="shared" si="2"/>
        <v>199</v>
      </c>
      <c r="AI202" s="76">
        <f t="shared" si="1"/>
        <v>5.7683834612619713E-4</v>
      </c>
    </row>
    <row r="203" spans="1:35" x14ac:dyDescent="0.2">
      <c r="A203" t="s">
        <v>732</v>
      </c>
      <c r="B203" t="s">
        <v>527</v>
      </c>
      <c r="C203">
        <v>0.99791205832463303</v>
      </c>
      <c r="D203">
        <v>15</v>
      </c>
      <c r="E203">
        <v>14</v>
      </c>
      <c r="F203">
        <v>0</v>
      </c>
      <c r="G203">
        <v>0</v>
      </c>
      <c r="H203">
        <v>15</v>
      </c>
      <c r="I203">
        <v>10</v>
      </c>
      <c r="J203">
        <v>15</v>
      </c>
      <c r="K203">
        <v>13</v>
      </c>
      <c r="L203">
        <v>26</v>
      </c>
      <c r="M203">
        <v>15</v>
      </c>
      <c r="N203">
        <v>8</v>
      </c>
      <c r="O203">
        <v>0</v>
      </c>
      <c r="P203">
        <v>0</v>
      </c>
      <c r="Q203">
        <v>0</v>
      </c>
      <c r="R203">
        <v>9</v>
      </c>
      <c r="S203">
        <v>0</v>
      </c>
      <c r="T203">
        <v>13</v>
      </c>
      <c r="U203">
        <v>20</v>
      </c>
      <c r="V203">
        <v>0</v>
      </c>
      <c r="W203">
        <v>0</v>
      </c>
      <c r="X203">
        <v>0</v>
      </c>
      <c r="Y203">
        <v>13</v>
      </c>
      <c r="Z203">
        <v>0</v>
      </c>
      <c r="AA203">
        <v>0</v>
      </c>
      <c r="AB203">
        <v>0</v>
      </c>
      <c r="AC203">
        <v>0</v>
      </c>
      <c r="AD203">
        <v>0</v>
      </c>
      <c r="AE203">
        <v>0</v>
      </c>
      <c r="AF203">
        <v>12</v>
      </c>
      <c r="AG203">
        <v>0</v>
      </c>
      <c r="AH203">
        <f t="shared" si="2"/>
        <v>198</v>
      </c>
      <c r="AI203" s="76">
        <f t="shared" si="1"/>
        <v>5.7393966096978409E-4</v>
      </c>
    </row>
    <row r="204" spans="1:35" x14ac:dyDescent="0.2">
      <c r="A204" t="s">
        <v>733</v>
      </c>
      <c r="B204" t="s">
        <v>527</v>
      </c>
      <c r="C204">
        <v>0.99830346836721495</v>
      </c>
      <c r="D204">
        <v>18</v>
      </c>
      <c r="E204">
        <v>20</v>
      </c>
      <c r="F204">
        <v>0</v>
      </c>
      <c r="G204">
        <v>0</v>
      </c>
      <c r="H204">
        <v>17</v>
      </c>
      <c r="I204">
        <v>0</v>
      </c>
      <c r="J204">
        <v>16</v>
      </c>
      <c r="K204">
        <v>23</v>
      </c>
      <c r="L204">
        <v>14</v>
      </c>
      <c r="M204">
        <v>10</v>
      </c>
      <c r="N204">
        <v>9</v>
      </c>
      <c r="O204">
        <v>0</v>
      </c>
      <c r="P204">
        <v>8</v>
      </c>
      <c r="Q204">
        <v>0</v>
      </c>
      <c r="R204">
        <v>0</v>
      </c>
      <c r="S204">
        <v>0</v>
      </c>
      <c r="T204">
        <v>0</v>
      </c>
      <c r="U204">
        <v>15</v>
      </c>
      <c r="V204">
        <v>0</v>
      </c>
      <c r="W204">
        <v>0</v>
      </c>
      <c r="X204">
        <v>0</v>
      </c>
      <c r="Y204">
        <v>0</v>
      </c>
      <c r="Z204">
        <v>0</v>
      </c>
      <c r="AA204">
        <v>0</v>
      </c>
      <c r="AB204">
        <v>8</v>
      </c>
      <c r="AC204">
        <v>9</v>
      </c>
      <c r="AD204">
        <v>8</v>
      </c>
      <c r="AE204">
        <v>0</v>
      </c>
      <c r="AF204">
        <v>0</v>
      </c>
      <c r="AG204">
        <v>14</v>
      </c>
      <c r="AH204">
        <f t="shared" si="2"/>
        <v>189</v>
      </c>
      <c r="AI204" s="76">
        <f t="shared" si="1"/>
        <v>5.4785149456206667E-4</v>
      </c>
    </row>
    <row r="205" spans="1:35" x14ac:dyDescent="0.2">
      <c r="A205" t="s">
        <v>734</v>
      </c>
      <c r="B205" t="s">
        <v>527</v>
      </c>
      <c r="C205">
        <v>0.99876232795864495</v>
      </c>
      <c r="D205">
        <v>21</v>
      </c>
      <c r="E205">
        <v>18</v>
      </c>
      <c r="F205">
        <v>25</v>
      </c>
      <c r="G205">
        <v>0</v>
      </c>
      <c r="H205">
        <v>18</v>
      </c>
      <c r="I205">
        <v>0</v>
      </c>
      <c r="J205">
        <v>0</v>
      </c>
      <c r="K205">
        <v>57</v>
      </c>
      <c r="L205">
        <v>19</v>
      </c>
      <c r="M205">
        <v>0</v>
      </c>
      <c r="N205">
        <v>0</v>
      </c>
      <c r="O205">
        <v>0</v>
      </c>
      <c r="P205">
        <v>0</v>
      </c>
      <c r="Q205">
        <v>0</v>
      </c>
      <c r="R205">
        <v>0</v>
      </c>
      <c r="S205">
        <v>0</v>
      </c>
      <c r="T205">
        <v>0</v>
      </c>
      <c r="U205">
        <v>27</v>
      </c>
      <c r="V205">
        <v>0</v>
      </c>
      <c r="W205">
        <v>0</v>
      </c>
      <c r="X205">
        <v>0</v>
      </c>
      <c r="Y205">
        <v>0</v>
      </c>
      <c r="Z205">
        <v>0</v>
      </c>
      <c r="AA205">
        <v>0</v>
      </c>
      <c r="AB205">
        <v>0</v>
      </c>
      <c r="AC205">
        <v>0</v>
      </c>
      <c r="AD205">
        <v>0</v>
      </c>
      <c r="AE205">
        <v>0</v>
      </c>
      <c r="AF205">
        <v>0</v>
      </c>
      <c r="AG205">
        <v>0</v>
      </c>
      <c r="AH205">
        <f t="shared" si="2"/>
        <v>185</v>
      </c>
      <c r="AI205" s="76">
        <f t="shared" si="1"/>
        <v>5.3625675393641442E-4</v>
      </c>
    </row>
    <row r="206" spans="1:35" x14ac:dyDescent="0.2">
      <c r="A206" t="s">
        <v>735</v>
      </c>
      <c r="B206" t="s">
        <v>527</v>
      </c>
      <c r="C206">
        <v>0.997175772613767</v>
      </c>
      <c r="D206">
        <v>15</v>
      </c>
      <c r="E206">
        <v>12</v>
      </c>
      <c r="F206">
        <v>10</v>
      </c>
      <c r="G206">
        <v>0</v>
      </c>
      <c r="H206">
        <v>17</v>
      </c>
      <c r="I206">
        <v>10</v>
      </c>
      <c r="J206">
        <v>16</v>
      </c>
      <c r="K206">
        <v>10</v>
      </c>
      <c r="L206">
        <v>11</v>
      </c>
      <c r="M206">
        <v>13</v>
      </c>
      <c r="N206">
        <v>12</v>
      </c>
      <c r="O206">
        <v>0</v>
      </c>
      <c r="P206">
        <v>10</v>
      </c>
      <c r="Q206">
        <v>0</v>
      </c>
      <c r="R206">
        <v>0</v>
      </c>
      <c r="S206">
        <v>0</v>
      </c>
      <c r="T206">
        <v>0</v>
      </c>
      <c r="U206">
        <v>9</v>
      </c>
      <c r="V206">
        <v>0</v>
      </c>
      <c r="W206">
        <v>0</v>
      </c>
      <c r="X206">
        <v>0</v>
      </c>
      <c r="Y206">
        <v>0</v>
      </c>
      <c r="Z206">
        <v>0</v>
      </c>
      <c r="AA206">
        <v>0</v>
      </c>
      <c r="AB206">
        <v>0</v>
      </c>
      <c r="AC206">
        <v>0</v>
      </c>
      <c r="AD206">
        <v>0</v>
      </c>
      <c r="AE206">
        <v>0</v>
      </c>
      <c r="AF206">
        <v>0</v>
      </c>
      <c r="AG206">
        <v>0</v>
      </c>
      <c r="AH206">
        <f t="shared" si="2"/>
        <v>145</v>
      </c>
      <c r="AI206" s="76">
        <f t="shared" si="1"/>
        <v>4.2030934767989242E-4</v>
      </c>
    </row>
    <row r="207" spans="1:35" x14ac:dyDescent="0.2">
      <c r="A207" t="s">
        <v>575</v>
      </c>
      <c r="B207" t="s">
        <v>736</v>
      </c>
      <c r="C207">
        <v>0.99284012160924096</v>
      </c>
      <c r="D207">
        <v>0</v>
      </c>
      <c r="E207">
        <v>0</v>
      </c>
      <c r="F207">
        <v>0</v>
      </c>
      <c r="G207">
        <v>0</v>
      </c>
      <c r="H207">
        <v>0</v>
      </c>
      <c r="I207">
        <v>0</v>
      </c>
      <c r="J207">
        <v>0</v>
      </c>
      <c r="K207">
        <v>0</v>
      </c>
      <c r="L207">
        <v>0</v>
      </c>
      <c r="M207">
        <v>0</v>
      </c>
      <c r="N207">
        <v>0</v>
      </c>
      <c r="O207">
        <v>12</v>
      </c>
      <c r="P207">
        <v>0</v>
      </c>
      <c r="Q207">
        <v>0</v>
      </c>
      <c r="R207">
        <v>0</v>
      </c>
      <c r="S207">
        <v>0</v>
      </c>
      <c r="T207">
        <v>0</v>
      </c>
      <c r="U207">
        <v>0</v>
      </c>
      <c r="V207">
        <v>40</v>
      </c>
      <c r="W207">
        <v>27</v>
      </c>
      <c r="X207">
        <v>0</v>
      </c>
      <c r="Y207">
        <v>0</v>
      </c>
      <c r="Z207">
        <v>31</v>
      </c>
      <c r="AA207">
        <v>31</v>
      </c>
      <c r="AB207">
        <v>0</v>
      </c>
      <c r="AC207">
        <v>0</v>
      </c>
      <c r="AD207">
        <v>0</v>
      </c>
      <c r="AE207">
        <v>0</v>
      </c>
      <c r="AF207">
        <v>0</v>
      </c>
      <c r="AG207">
        <v>0</v>
      </c>
      <c r="AH207">
        <f t="shared" si="2"/>
        <v>141</v>
      </c>
      <c r="AI207" s="76">
        <f t="shared" si="1"/>
        <v>4.0871460705424017E-4</v>
      </c>
    </row>
    <row r="208" spans="1:35" x14ac:dyDescent="0.2">
      <c r="A208" t="s">
        <v>618</v>
      </c>
      <c r="B208" t="s">
        <v>527</v>
      </c>
      <c r="C208">
        <v>0.99713430471006903</v>
      </c>
      <c r="D208">
        <v>17</v>
      </c>
      <c r="E208">
        <v>13</v>
      </c>
      <c r="F208">
        <v>0</v>
      </c>
      <c r="G208">
        <v>0</v>
      </c>
      <c r="H208">
        <v>14</v>
      </c>
      <c r="I208">
        <v>10</v>
      </c>
      <c r="J208">
        <v>19</v>
      </c>
      <c r="K208">
        <v>15</v>
      </c>
      <c r="L208">
        <v>0</v>
      </c>
      <c r="M208">
        <v>0</v>
      </c>
      <c r="N208">
        <v>0</v>
      </c>
      <c r="O208">
        <v>0</v>
      </c>
      <c r="P208">
        <v>0</v>
      </c>
      <c r="Q208">
        <v>0</v>
      </c>
      <c r="R208">
        <v>0</v>
      </c>
      <c r="S208">
        <v>0</v>
      </c>
      <c r="T208">
        <v>0</v>
      </c>
      <c r="U208">
        <v>18</v>
      </c>
      <c r="V208">
        <v>0</v>
      </c>
      <c r="W208">
        <v>0</v>
      </c>
      <c r="X208">
        <v>0</v>
      </c>
      <c r="Y208">
        <v>13</v>
      </c>
      <c r="Z208">
        <v>0</v>
      </c>
      <c r="AA208">
        <v>0</v>
      </c>
      <c r="AB208">
        <v>0</v>
      </c>
      <c r="AC208">
        <v>12</v>
      </c>
      <c r="AD208">
        <v>9</v>
      </c>
      <c r="AE208">
        <v>0</v>
      </c>
      <c r="AF208">
        <v>0</v>
      </c>
      <c r="AG208">
        <v>0</v>
      </c>
      <c r="AH208">
        <f t="shared" si="2"/>
        <v>140</v>
      </c>
      <c r="AI208" s="76">
        <f t="shared" si="1"/>
        <v>4.0581592189782714E-4</v>
      </c>
    </row>
    <row r="209" spans="1:35" x14ac:dyDescent="0.2">
      <c r="A209" s="77" t="s">
        <v>737</v>
      </c>
      <c r="B209" t="s">
        <v>527</v>
      </c>
      <c r="C209">
        <v>0.99772822116492998</v>
      </c>
      <c r="D209">
        <v>10</v>
      </c>
      <c r="E209">
        <v>12</v>
      </c>
      <c r="F209">
        <v>0</v>
      </c>
      <c r="G209">
        <v>0</v>
      </c>
      <c r="H209">
        <v>19</v>
      </c>
      <c r="I209">
        <v>0</v>
      </c>
      <c r="J209">
        <v>9</v>
      </c>
      <c r="K209">
        <v>12</v>
      </c>
      <c r="L209">
        <v>11</v>
      </c>
      <c r="M209">
        <v>14</v>
      </c>
      <c r="N209">
        <v>0</v>
      </c>
      <c r="O209">
        <v>0</v>
      </c>
      <c r="P209">
        <v>0</v>
      </c>
      <c r="Q209">
        <v>0</v>
      </c>
      <c r="R209">
        <v>0</v>
      </c>
      <c r="S209">
        <v>0</v>
      </c>
      <c r="T209">
        <v>0</v>
      </c>
      <c r="U209">
        <v>19</v>
      </c>
      <c r="V209">
        <v>0</v>
      </c>
      <c r="W209">
        <v>0</v>
      </c>
      <c r="X209">
        <v>0</v>
      </c>
      <c r="Y209">
        <v>0</v>
      </c>
      <c r="Z209">
        <v>0</v>
      </c>
      <c r="AA209">
        <v>0</v>
      </c>
      <c r="AB209">
        <v>10</v>
      </c>
      <c r="AC209">
        <v>0</v>
      </c>
      <c r="AD209">
        <v>11</v>
      </c>
      <c r="AE209">
        <v>0</v>
      </c>
      <c r="AF209">
        <v>8</v>
      </c>
      <c r="AG209">
        <v>0</v>
      </c>
      <c r="AH209">
        <f t="shared" si="2"/>
        <v>135</v>
      </c>
      <c r="AI209" s="76">
        <f t="shared" si="1"/>
        <v>3.9132249611576191E-4</v>
      </c>
    </row>
    <row r="210" spans="1:35" x14ac:dyDescent="0.2">
      <c r="A210" t="s">
        <v>738</v>
      </c>
      <c r="B210" t="s">
        <v>739</v>
      </c>
      <c r="C210">
        <v>0.94653024314766798</v>
      </c>
      <c r="D210">
        <v>0</v>
      </c>
      <c r="E210">
        <v>0</v>
      </c>
      <c r="F210">
        <v>0</v>
      </c>
      <c r="G210">
        <v>0</v>
      </c>
      <c r="H210">
        <v>0</v>
      </c>
      <c r="I210">
        <v>0</v>
      </c>
      <c r="J210">
        <v>0</v>
      </c>
      <c r="K210">
        <v>0</v>
      </c>
      <c r="L210">
        <v>0</v>
      </c>
      <c r="M210">
        <v>0</v>
      </c>
      <c r="N210">
        <v>10</v>
      </c>
      <c r="O210">
        <v>0</v>
      </c>
      <c r="P210">
        <v>0</v>
      </c>
      <c r="Q210">
        <v>0</v>
      </c>
      <c r="R210">
        <v>0</v>
      </c>
      <c r="S210">
        <v>0</v>
      </c>
      <c r="T210">
        <v>0</v>
      </c>
      <c r="U210">
        <v>0</v>
      </c>
      <c r="V210">
        <v>0</v>
      </c>
      <c r="W210">
        <v>0</v>
      </c>
      <c r="X210">
        <v>70</v>
      </c>
      <c r="Y210">
        <v>11</v>
      </c>
      <c r="Z210">
        <v>0</v>
      </c>
      <c r="AA210">
        <v>0</v>
      </c>
      <c r="AB210">
        <v>0</v>
      </c>
      <c r="AC210">
        <v>0</v>
      </c>
      <c r="AD210">
        <v>0</v>
      </c>
      <c r="AE210">
        <v>0</v>
      </c>
      <c r="AF210">
        <v>0</v>
      </c>
      <c r="AG210">
        <v>39</v>
      </c>
      <c r="AH210">
        <f t="shared" si="2"/>
        <v>130</v>
      </c>
      <c r="AI210" s="76">
        <f t="shared" si="1"/>
        <v>3.7682907033369662E-4</v>
      </c>
    </row>
    <row r="211" spans="1:35" x14ac:dyDescent="0.2">
      <c r="A211" t="s">
        <v>740</v>
      </c>
      <c r="B211" t="s">
        <v>527</v>
      </c>
      <c r="C211">
        <v>0.997941473984431</v>
      </c>
      <c r="D211">
        <v>11</v>
      </c>
      <c r="E211">
        <v>11</v>
      </c>
      <c r="F211">
        <v>0</v>
      </c>
      <c r="G211">
        <v>0</v>
      </c>
      <c r="H211">
        <v>16</v>
      </c>
      <c r="I211">
        <v>10</v>
      </c>
      <c r="J211">
        <v>16</v>
      </c>
      <c r="K211">
        <v>10</v>
      </c>
      <c r="L211">
        <v>15</v>
      </c>
      <c r="M211">
        <v>10</v>
      </c>
      <c r="N211">
        <v>0</v>
      </c>
      <c r="O211">
        <v>0</v>
      </c>
      <c r="P211">
        <v>8</v>
      </c>
      <c r="Q211">
        <v>0</v>
      </c>
      <c r="R211">
        <v>0</v>
      </c>
      <c r="S211">
        <v>0</v>
      </c>
      <c r="T211">
        <v>0</v>
      </c>
      <c r="U211">
        <v>13</v>
      </c>
      <c r="V211">
        <v>0</v>
      </c>
      <c r="W211">
        <v>0</v>
      </c>
      <c r="X211">
        <v>0</v>
      </c>
      <c r="Y211">
        <v>0</v>
      </c>
      <c r="Z211">
        <v>0</v>
      </c>
      <c r="AA211">
        <v>0</v>
      </c>
      <c r="AB211">
        <v>0</v>
      </c>
      <c r="AC211">
        <v>0</v>
      </c>
      <c r="AD211">
        <v>9</v>
      </c>
      <c r="AE211">
        <v>0</v>
      </c>
      <c r="AF211">
        <v>0</v>
      </c>
      <c r="AG211">
        <v>0</v>
      </c>
      <c r="AH211">
        <f t="shared" si="2"/>
        <v>129</v>
      </c>
      <c r="AI211" s="76">
        <f t="shared" si="1"/>
        <v>3.7393038517728359E-4</v>
      </c>
    </row>
    <row r="212" spans="1:35" x14ac:dyDescent="0.2">
      <c r="A212" t="s">
        <v>741</v>
      </c>
      <c r="B212" t="s">
        <v>527</v>
      </c>
      <c r="C212">
        <v>0.99835202822677205</v>
      </c>
      <c r="D212">
        <v>0</v>
      </c>
      <c r="E212">
        <v>13</v>
      </c>
      <c r="F212">
        <v>0</v>
      </c>
      <c r="G212">
        <v>0</v>
      </c>
      <c r="H212">
        <v>13</v>
      </c>
      <c r="I212">
        <v>0</v>
      </c>
      <c r="J212">
        <v>22</v>
      </c>
      <c r="K212">
        <v>11</v>
      </c>
      <c r="L212">
        <v>10</v>
      </c>
      <c r="M212">
        <v>0</v>
      </c>
      <c r="N212">
        <v>8</v>
      </c>
      <c r="O212">
        <v>0</v>
      </c>
      <c r="P212">
        <v>0</v>
      </c>
      <c r="Q212">
        <v>0</v>
      </c>
      <c r="R212">
        <v>0</v>
      </c>
      <c r="S212">
        <v>0</v>
      </c>
      <c r="T212">
        <v>0</v>
      </c>
      <c r="U212">
        <v>17</v>
      </c>
      <c r="V212">
        <v>0</v>
      </c>
      <c r="W212">
        <v>0</v>
      </c>
      <c r="X212">
        <v>0</v>
      </c>
      <c r="Y212">
        <v>0</v>
      </c>
      <c r="Z212">
        <v>0</v>
      </c>
      <c r="AA212">
        <v>0</v>
      </c>
      <c r="AB212">
        <v>12</v>
      </c>
      <c r="AC212">
        <v>0</v>
      </c>
      <c r="AD212">
        <v>9</v>
      </c>
      <c r="AE212">
        <v>0</v>
      </c>
      <c r="AF212">
        <v>0</v>
      </c>
      <c r="AG212">
        <v>0</v>
      </c>
      <c r="AH212">
        <f t="shared" si="2"/>
        <v>115</v>
      </c>
      <c r="AI212" s="76">
        <f t="shared" si="1"/>
        <v>3.3334879298750088E-4</v>
      </c>
    </row>
    <row r="213" spans="1:35" x14ac:dyDescent="0.2">
      <c r="A213" t="s">
        <v>611</v>
      </c>
      <c r="B213" t="s">
        <v>742</v>
      </c>
      <c r="C213">
        <v>0.78436923392202196</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6</v>
      </c>
      <c r="Y213">
        <v>0</v>
      </c>
      <c r="Z213">
        <v>0</v>
      </c>
      <c r="AA213">
        <v>102</v>
      </c>
      <c r="AB213">
        <v>0</v>
      </c>
      <c r="AC213">
        <v>0</v>
      </c>
      <c r="AD213">
        <v>0</v>
      </c>
      <c r="AE213">
        <v>0</v>
      </c>
      <c r="AF213">
        <v>0</v>
      </c>
      <c r="AG213">
        <v>0</v>
      </c>
      <c r="AH213">
        <f t="shared" si="2"/>
        <v>108</v>
      </c>
      <c r="AI213" s="76">
        <f t="shared" si="1"/>
        <v>3.1305799689260953E-4</v>
      </c>
    </row>
    <row r="214" spans="1:35" x14ac:dyDescent="0.2">
      <c r="A214" s="77" t="s">
        <v>743</v>
      </c>
      <c r="B214" t="s">
        <v>527</v>
      </c>
      <c r="C214">
        <v>0.99773347804994705</v>
      </c>
      <c r="D214">
        <v>12</v>
      </c>
      <c r="E214">
        <v>15</v>
      </c>
      <c r="F214">
        <v>0</v>
      </c>
      <c r="G214">
        <v>0</v>
      </c>
      <c r="H214">
        <v>9</v>
      </c>
      <c r="I214">
        <v>0</v>
      </c>
      <c r="J214">
        <v>15</v>
      </c>
      <c r="K214">
        <v>12</v>
      </c>
      <c r="L214">
        <v>11</v>
      </c>
      <c r="M214">
        <v>15</v>
      </c>
      <c r="N214">
        <v>0</v>
      </c>
      <c r="O214">
        <v>0</v>
      </c>
      <c r="P214">
        <v>0</v>
      </c>
      <c r="Q214">
        <v>0</v>
      </c>
      <c r="R214">
        <v>0</v>
      </c>
      <c r="S214">
        <v>0</v>
      </c>
      <c r="T214">
        <v>0</v>
      </c>
      <c r="U214">
        <v>9</v>
      </c>
      <c r="V214">
        <v>0</v>
      </c>
      <c r="W214">
        <v>0</v>
      </c>
      <c r="X214">
        <v>0</v>
      </c>
      <c r="Y214">
        <v>0</v>
      </c>
      <c r="Z214">
        <v>8</v>
      </c>
      <c r="AA214">
        <v>0</v>
      </c>
      <c r="AB214">
        <v>0</v>
      </c>
      <c r="AC214">
        <v>0</v>
      </c>
      <c r="AD214">
        <v>0</v>
      </c>
      <c r="AE214">
        <v>0</v>
      </c>
      <c r="AF214">
        <v>0</v>
      </c>
      <c r="AG214">
        <v>0</v>
      </c>
      <c r="AH214">
        <f t="shared" si="2"/>
        <v>106</v>
      </c>
      <c r="AI214" s="76">
        <f t="shared" si="1"/>
        <v>3.072606265797834E-4</v>
      </c>
    </row>
    <row r="215" spans="1:35" x14ac:dyDescent="0.2">
      <c r="A215" t="s">
        <v>744</v>
      </c>
      <c r="B215" t="s">
        <v>527</v>
      </c>
      <c r="C215">
        <v>0.99738936533255496</v>
      </c>
      <c r="D215">
        <v>18</v>
      </c>
      <c r="E215">
        <v>0</v>
      </c>
      <c r="F215">
        <v>0</v>
      </c>
      <c r="G215">
        <v>0</v>
      </c>
      <c r="H215">
        <v>15</v>
      </c>
      <c r="I215">
        <v>8</v>
      </c>
      <c r="J215">
        <v>23</v>
      </c>
      <c r="K215">
        <v>8</v>
      </c>
      <c r="L215">
        <v>15</v>
      </c>
      <c r="M215">
        <v>8</v>
      </c>
      <c r="N215">
        <v>9</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f t="shared" si="2"/>
        <v>104</v>
      </c>
      <c r="AI215" s="76">
        <f t="shared" si="1"/>
        <v>3.0146325626695733E-4</v>
      </c>
    </row>
    <row r="216" spans="1:35" x14ac:dyDescent="0.2">
      <c r="A216" t="s">
        <v>745</v>
      </c>
      <c r="B216" t="s">
        <v>709</v>
      </c>
      <c r="C216">
        <v>0.90057221632739504</v>
      </c>
      <c r="D216">
        <v>0</v>
      </c>
      <c r="E216">
        <v>19</v>
      </c>
      <c r="F216">
        <v>0</v>
      </c>
      <c r="G216">
        <v>0</v>
      </c>
      <c r="H216">
        <v>44</v>
      </c>
      <c r="I216">
        <v>0</v>
      </c>
      <c r="J216">
        <v>0</v>
      </c>
      <c r="K216">
        <v>0</v>
      </c>
      <c r="L216">
        <v>0</v>
      </c>
      <c r="M216">
        <v>0</v>
      </c>
      <c r="N216">
        <v>0</v>
      </c>
      <c r="O216">
        <v>0</v>
      </c>
      <c r="P216">
        <v>0</v>
      </c>
      <c r="Q216">
        <v>0</v>
      </c>
      <c r="R216">
        <v>0</v>
      </c>
      <c r="S216">
        <v>0</v>
      </c>
      <c r="T216">
        <v>0</v>
      </c>
      <c r="U216">
        <v>0</v>
      </c>
      <c r="V216">
        <v>0</v>
      </c>
      <c r="W216">
        <v>0</v>
      </c>
      <c r="X216">
        <v>0</v>
      </c>
      <c r="Y216">
        <v>41</v>
      </c>
      <c r="Z216">
        <v>0</v>
      </c>
      <c r="AA216">
        <v>0</v>
      </c>
      <c r="AB216">
        <v>0</v>
      </c>
      <c r="AC216">
        <v>0</v>
      </c>
      <c r="AD216">
        <v>0</v>
      </c>
      <c r="AE216">
        <v>0</v>
      </c>
      <c r="AF216">
        <v>0</v>
      </c>
      <c r="AG216">
        <v>0</v>
      </c>
      <c r="AH216">
        <f t="shared" si="2"/>
        <v>104</v>
      </c>
      <c r="AI216" s="76">
        <f t="shared" si="1"/>
        <v>3.0146325626695733E-4</v>
      </c>
    </row>
    <row r="217" spans="1:35" x14ac:dyDescent="0.2">
      <c r="A217" t="s">
        <v>746</v>
      </c>
      <c r="B217" t="s">
        <v>527</v>
      </c>
      <c r="C217">
        <v>0.99791994700972297</v>
      </c>
      <c r="D217">
        <v>12</v>
      </c>
      <c r="E217">
        <v>12</v>
      </c>
      <c r="F217">
        <v>0</v>
      </c>
      <c r="G217">
        <v>0</v>
      </c>
      <c r="H217">
        <v>9</v>
      </c>
      <c r="I217">
        <v>0</v>
      </c>
      <c r="J217">
        <v>9</v>
      </c>
      <c r="K217">
        <v>15</v>
      </c>
      <c r="L217">
        <v>11</v>
      </c>
      <c r="M217">
        <v>11</v>
      </c>
      <c r="N217">
        <v>0</v>
      </c>
      <c r="O217">
        <v>0</v>
      </c>
      <c r="P217">
        <v>0</v>
      </c>
      <c r="Q217">
        <v>0</v>
      </c>
      <c r="R217">
        <v>0</v>
      </c>
      <c r="S217">
        <v>0</v>
      </c>
      <c r="T217">
        <v>0</v>
      </c>
      <c r="U217">
        <v>14</v>
      </c>
      <c r="V217">
        <v>0</v>
      </c>
      <c r="W217">
        <v>0</v>
      </c>
      <c r="X217">
        <v>0</v>
      </c>
      <c r="Y217">
        <v>0</v>
      </c>
      <c r="Z217">
        <v>0</v>
      </c>
      <c r="AA217">
        <v>0</v>
      </c>
      <c r="AB217">
        <v>0</v>
      </c>
      <c r="AC217">
        <v>0</v>
      </c>
      <c r="AD217">
        <v>0</v>
      </c>
      <c r="AE217">
        <v>0</v>
      </c>
      <c r="AF217">
        <v>0</v>
      </c>
      <c r="AG217">
        <v>0</v>
      </c>
      <c r="AH217">
        <f t="shared" si="2"/>
        <v>93</v>
      </c>
      <c r="AI217" s="76">
        <f t="shared" si="1"/>
        <v>2.6957771954641373E-4</v>
      </c>
    </row>
    <row r="218" spans="1:35" x14ac:dyDescent="0.2">
      <c r="A218" t="s">
        <v>747</v>
      </c>
      <c r="B218" t="s">
        <v>527</v>
      </c>
      <c r="C218">
        <v>0.99357444897531499</v>
      </c>
      <c r="D218">
        <v>11</v>
      </c>
      <c r="E218">
        <v>0</v>
      </c>
      <c r="F218">
        <v>0</v>
      </c>
      <c r="G218">
        <v>0</v>
      </c>
      <c r="H218">
        <v>0</v>
      </c>
      <c r="I218">
        <v>0</v>
      </c>
      <c r="J218">
        <v>13</v>
      </c>
      <c r="K218">
        <v>0</v>
      </c>
      <c r="L218">
        <v>15</v>
      </c>
      <c r="M218">
        <v>15</v>
      </c>
      <c r="N218">
        <v>0</v>
      </c>
      <c r="O218">
        <v>0</v>
      </c>
      <c r="P218">
        <v>8</v>
      </c>
      <c r="Q218">
        <v>0</v>
      </c>
      <c r="R218">
        <v>0</v>
      </c>
      <c r="S218">
        <v>0</v>
      </c>
      <c r="T218">
        <v>0</v>
      </c>
      <c r="U218">
        <v>22</v>
      </c>
      <c r="V218">
        <v>0</v>
      </c>
      <c r="W218">
        <v>0</v>
      </c>
      <c r="X218">
        <v>0</v>
      </c>
      <c r="Y218">
        <v>0</v>
      </c>
      <c r="Z218">
        <v>0</v>
      </c>
      <c r="AA218">
        <v>0</v>
      </c>
      <c r="AB218">
        <v>0</v>
      </c>
      <c r="AC218">
        <v>0</v>
      </c>
      <c r="AD218">
        <v>9</v>
      </c>
      <c r="AE218">
        <v>0</v>
      </c>
      <c r="AF218">
        <v>0</v>
      </c>
      <c r="AG218">
        <v>0</v>
      </c>
      <c r="AH218">
        <f t="shared" si="2"/>
        <v>93</v>
      </c>
      <c r="AI218" s="76">
        <f t="shared" si="1"/>
        <v>2.6957771954641373E-4</v>
      </c>
    </row>
    <row r="219" spans="1:35" x14ac:dyDescent="0.2">
      <c r="A219" t="s">
        <v>748</v>
      </c>
      <c r="B219" t="s">
        <v>528</v>
      </c>
      <c r="C219">
        <v>0.99902039567780998</v>
      </c>
      <c r="D219">
        <v>0</v>
      </c>
      <c r="E219">
        <v>0</v>
      </c>
      <c r="F219">
        <v>24</v>
      </c>
      <c r="G219">
        <v>0</v>
      </c>
      <c r="H219">
        <v>0</v>
      </c>
      <c r="I219">
        <v>0</v>
      </c>
      <c r="J219">
        <v>0</v>
      </c>
      <c r="K219">
        <v>0</v>
      </c>
      <c r="L219">
        <v>0</v>
      </c>
      <c r="M219">
        <v>21</v>
      </c>
      <c r="N219">
        <v>40</v>
      </c>
      <c r="O219">
        <v>0</v>
      </c>
      <c r="P219">
        <v>0</v>
      </c>
      <c r="Q219">
        <v>0</v>
      </c>
      <c r="R219">
        <v>0</v>
      </c>
      <c r="S219">
        <v>0</v>
      </c>
      <c r="T219">
        <v>0</v>
      </c>
      <c r="U219">
        <v>0</v>
      </c>
      <c r="V219">
        <v>0</v>
      </c>
      <c r="W219">
        <v>0</v>
      </c>
      <c r="X219">
        <v>0</v>
      </c>
      <c r="Y219">
        <v>8</v>
      </c>
      <c r="Z219">
        <v>0</v>
      </c>
      <c r="AA219">
        <v>0</v>
      </c>
      <c r="AB219">
        <v>0</v>
      </c>
      <c r="AC219">
        <v>0</v>
      </c>
      <c r="AD219">
        <v>0</v>
      </c>
      <c r="AE219">
        <v>0</v>
      </c>
      <c r="AF219">
        <v>0</v>
      </c>
      <c r="AG219">
        <v>0</v>
      </c>
      <c r="AH219">
        <f t="shared" si="2"/>
        <v>93</v>
      </c>
      <c r="AI219" s="76">
        <f t="shared" si="1"/>
        <v>2.6957771954641373E-4</v>
      </c>
    </row>
    <row r="220" spans="1:35" x14ac:dyDescent="0.2">
      <c r="A220" t="s">
        <v>749</v>
      </c>
      <c r="B220" t="s">
        <v>527</v>
      </c>
      <c r="C220">
        <v>0.99632872573589604</v>
      </c>
      <c r="D220">
        <v>25</v>
      </c>
      <c r="E220">
        <v>0</v>
      </c>
      <c r="F220">
        <v>0</v>
      </c>
      <c r="G220">
        <v>0</v>
      </c>
      <c r="H220">
        <v>0</v>
      </c>
      <c r="I220">
        <v>0</v>
      </c>
      <c r="J220">
        <v>17</v>
      </c>
      <c r="K220">
        <v>0</v>
      </c>
      <c r="L220">
        <v>0</v>
      </c>
      <c r="M220">
        <v>25</v>
      </c>
      <c r="N220">
        <v>0</v>
      </c>
      <c r="O220">
        <v>0</v>
      </c>
      <c r="P220">
        <v>0</v>
      </c>
      <c r="Q220">
        <v>0</v>
      </c>
      <c r="R220">
        <v>0</v>
      </c>
      <c r="S220">
        <v>0</v>
      </c>
      <c r="T220">
        <v>0</v>
      </c>
      <c r="U220">
        <v>16</v>
      </c>
      <c r="V220">
        <v>0</v>
      </c>
      <c r="W220">
        <v>0</v>
      </c>
      <c r="X220">
        <v>0</v>
      </c>
      <c r="Y220">
        <v>0</v>
      </c>
      <c r="Z220">
        <v>0</v>
      </c>
      <c r="AA220">
        <v>0</v>
      </c>
      <c r="AB220">
        <v>0</v>
      </c>
      <c r="AC220">
        <v>0</v>
      </c>
      <c r="AD220">
        <v>0</v>
      </c>
      <c r="AE220">
        <v>0</v>
      </c>
      <c r="AF220">
        <v>0</v>
      </c>
      <c r="AG220">
        <v>8</v>
      </c>
      <c r="AH220">
        <f t="shared" si="2"/>
        <v>91</v>
      </c>
      <c r="AI220" s="76">
        <f t="shared" si="1"/>
        <v>2.6378034923358766E-4</v>
      </c>
    </row>
    <row r="221" spans="1:35" x14ac:dyDescent="0.2">
      <c r="A221" t="s">
        <v>750</v>
      </c>
      <c r="B221" t="s">
        <v>527</v>
      </c>
      <c r="C221">
        <v>0.99714909994330003</v>
      </c>
      <c r="D221">
        <v>11</v>
      </c>
      <c r="E221">
        <v>14</v>
      </c>
      <c r="F221">
        <v>0</v>
      </c>
      <c r="G221">
        <v>0</v>
      </c>
      <c r="H221">
        <v>17</v>
      </c>
      <c r="I221">
        <v>0</v>
      </c>
      <c r="J221">
        <v>11</v>
      </c>
      <c r="K221">
        <v>14</v>
      </c>
      <c r="L221">
        <v>0</v>
      </c>
      <c r="M221">
        <v>0</v>
      </c>
      <c r="N221">
        <v>10</v>
      </c>
      <c r="O221">
        <v>0</v>
      </c>
      <c r="P221">
        <v>0</v>
      </c>
      <c r="Q221">
        <v>0</v>
      </c>
      <c r="R221">
        <v>0</v>
      </c>
      <c r="S221">
        <v>0</v>
      </c>
      <c r="T221">
        <v>0</v>
      </c>
      <c r="U221">
        <v>12</v>
      </c>
      <c r="V221">
        <v>0</v>
      </c>
      <c r="W221">
        <v>0</v>
      </c>
      <c r="X221">
        <v>0</v>
      </c>
      <c r="Y221">
        <v>0</v>
      </c>
      <c r="Z221">
        <v>0</v>
      </c>
      <c r="AA221">
        <v>0</v>
      </c>
      <c r="AB221">
        <v>0</v>
      </c>
      <c r="AC221">
        <v>0</v>
      </c>
      <c r="AD221">
        <v>0</v>
      </c>
      <c r="AE221">
        <v>0</v>
      </c>
      <c r="AF221">
        <v>0</v>
      </c>
      <c r="AG221">
        <v>0</v>
      </c>
      <c r="AH221">
        <f t="shared" si="2"/>
        <v>89</v>
      </c>
      <c r="AI221" s="76">
        <f t="shared" si="1"/>
        <v>2.5798297892076153E-4</v>
      </c>
    </row>
    <row r="222" spans="1:35" x14ac:dyDescent="0.2">
      <c r="A222" t="s">
        <v>554</v>
      </c>
      <c r="B222" t="s">
        <v>527</v>
      </c>
      <c r="C222">
        <v>0.99328828633338895</v>
      </c>
      <c r="D222">
        <v>11</v>
      </c>
      <c r="E222">
        <v>10</v>
      </c>
      <c r="F222">
        <v>0</v>
      </c>
      <c r="G222">
        <v>0</v>
      </c>
      <c r="H222">
        <v>11</v>
      </c>
      <c r="I222">
        <v>9</v>
      </c>
      <c r="J222">
        <v>8</v>
      </c>
      <c r="K222">
        <v>0</v>
      </c>
      <c r="L222">
        <v>11</v>
      </c>
      <c r="M222">
        <v>16</v>
      </c>
      <c r="N222">
        <v>0</v>
      </c>
      <c r="O222">
        <v>0</v>
      </c>
      <c r="P222">
        <v>0</v>
      </c>
      <c r="Q222">
        <v>0</v>
      </c>
      <c r="R222">
        <v>0</v>
      </c>
      <c r="S222">
        <v>0</v>
      </c>
      <c r="T222">
        <v>0</v>
      </c>
      <c r="U222">
        <v>0</v>
      </c>
      <c r="V222">
        <v>0</v>
      </c>
      <c r="W222">
        <v>0</v>
      </c>
      <c r="X222">
        <v>0</v>
      </c>
      <c r="Y222">
        <v>0</v>
      </c>
      <c r="Z222">
        <v>0</v>
      </c>
      <c r="AA222">
        <v>0</v>
      </c>
      <c r="AB222">
        <v>9</v>
      </c>
      <c r="AC222">
        <v>0</v>
      </c>
      <c r="AD222">
        <v>0</v>
      </c>
      <c r="AE222">
        <v>0</v>
      </c>
      <c r="AF222">
        <v>0</v>
      </c>
      <c r="AG222">
        <v>0</v>
      </c>
      <c r="AH222">
        <f t="shared" si="2"/>
        <v>85</v>
      </c>
      <c r="AI222" s="76">
        <f t="shared" ref="AI222:AI285" si="3">AH222/SUM($AH$2:$AH$154)</f>
        <v>2.4638823829510934E-4</v>
      </c>
    </row>
    <row r="223" spans="1:35" x14ac:dyDescent="0.2">
      <c r="A223" t="s">
        <v>751</v>
      </c>
      <c r="B223" t="s">
        <v>561</v>
      </c>
      <c r="C223">
        <v>0.99999907381374997</v>
      </c>
      <c r="D223">
        <v>0</v>
      </c>
      <c r="E223">
        <v>0</v>
      </c>
      <c r="F223">
        <v>0</v>
      </c>
      <c r="G223">
        <v>0</v>
      </c>
      <c r="H223">
        <v>0</v>
      </c>
      <c r="I223">
        <v>0</v>
      </c>
      <c r="J223">
        <v>0</v>
      </c>
      <c r="K223">
        <v>0</v>
      </c>
      <c r="L223">
        <v>0</v>
      </c>
      <c r="M223">
        <v>0</v>
      </c>
      <c r="N223">
        <v>0</v>
      </c>
      <c r="O223">
        <v>0</v>
      </c>
      <c r="P223">
        <v>0</v>
      </c>
      <c r="Q223">
        <v>49</v>
      </c>
      <c r="R223">
        <v>0</v>
      </c>
      <c r="S223">
        <v>0</v>
      </c>
      <c r="T223">
        <v>0</v>
      </c>
      <c r="U223">
        <v>36</v>
      </c>
      <c r="V223">
        <v>0</v>
      </c>
      <c r="W223">
        <v>0</v>
      </c>
      <c r="X223">
        <v>0</v>
      </c>
      <c r="Y223">
        <v>0</v>
      </c>
      <c r="Z223">
        <v>0</v>
      </c>
      <c r="AA223">
        <v>0</v>
      </c>
      <c r="AB223">
        <v>0</v>
      </c>
      <c r="AC223">
        <v>0</v>
      </c>
      <c r="AD223">
        <v>0</v>
      </c>
      <c r="AE223">
        <v>0</v>
      </c>
      <c r="AF223">
        <v>0</v>
      </c>
      <c r="AG223">
        <v>0</v>
      </c>
      <c r="AH223">
        <f t="shared" si="2"/>
        <v>85</v>
      </c>
      <c r="AI223" s="76">
        <f t="shared" si="3"/>
        <v>2.4638823829510934E-4</v>
      </c>
    </row>
    <row r="224" spans="1:35" x14ac:dyDescent="0.2">
      <c r="A224" t="s">
        <v>752</v>
      </c>
      <c r="B224" t="s">
        <v>567</v>
      </c>
      <c r="C224">
        <v>0.99989928294665198</v>
      </c>
      <c r="D224">
        <v>0</v>
      </c>
      <c r="E224">
        <v>0</v>
      </c>
      <c r="F224">
        <v>0</v>
      </c>
      <c r="G224">
        <v>0</v>
      </c>
      <c r="H224">
        <v>0</v>
      </c>
      <c r="I224">
        <v>0</v>
      </c>
      <c r="J224">
        <v>0</v>
      </c>
      <c r="K224">
        <v>0</v>
      </c>
      <c r="L224">
        <v>0</v>
      </c>
      <c r="M224">
        <v>0</v>
      </c>
      <c r="N224">
        <v>0</v>
      </c>
      <c r="O224">
        <v>0</v>
      </c>
      <c r="P224">
        <v>0</v>
      </c>
      <c r="Q224">
        <v>0</v>
      </c>
      <c r="R224">
        <v>0</v>
      </c>
      <c r="S224">
        <v>0</v>
      </c>
      <c r="T224">
        <v>0</v>
      </c>
      <c r="U224">
        <v>0</v>
      </c>
      <c r="V224">
        <v>67</v>
      </c>
      <c r="W224">
        <v>12</v>
      </c>
      <c r="X224">
        <v>0</v>
      </c>
      <c r="Y224">
        <v>0</v>
      </c>
      <c r="Z224">
        <v>0</v>
      </c>
      <c r="AA224">
        <v>0</v>
      </c>
      <c r="AB224">
        <v>0</v>
      </c>
      <c r="AC224">
        <v>0</v>
      </c>
      <c r="AD224">
        <v>0</v>
      </c>
      <c r="AE224">
        <v>0</v>
      </c>
      <c r="AF224">
        <v>0</v>
      </c>
      <c r="AG224">
        <v>0</v>
      </c>
      <c r="AH224">
        <f t="shared" si="2"/>
        <v>79</v>
      </c>
      <c r="AI224" s="76">
        <f t="shared" si="3"/>
        <v>2.2899612735663102E-4</v>
      </c>
    </row>
    <row r="225" spans="1:35" x14ac:dyDescent="0.2">
      <c r="A225" t="s">
        <v>753</v>
      </c>
      <c r="B225" t="s">
        <v>527</v>
      </c>
      <c r="C225">
        <v>0.99854438521422595</v>
      </c>
      <c r="D225">
        <v>0</v>
      </c>
      <c r="E225">
        <v>9</v>
      </c>
      <c r="F225">
        <v>0</v>
      </c>
      <c r="G225">
        <v>0</v>
      </c>
      <c r="H225">
        <v>12</v>
      </c>
      <c r="I225">
        <v>0</v>
      </c>
      <c r="J225">
        <v>0</v>
      </c>
      <c r="K225">
        <v>0</v>
      </c>
      <c r="L225">
        <v>14</v>
      </c>
      <c r="M225">
        <v>15</v>
      </c>
      <c r="N225">
        <v>0</v>
      </c>
      <c r="O225">
        <v>0</v>
      </c>
      <c r="P225">
        <v>0</v>
      </c>
      <c r="Q225">
        <v>0</v>
      </c>
      <c r="R225">
        <v>0</v>
      </c>
      <c r="S225">
        <v>0</v>
      </c>
      <c r="T225">
        <v>9</v>
      </c>
      <c r="U225">
        <v>8</v>
      </c>
      <c r="V225">
        <v>0</v>
      </c>
      <c r="W225">
        <v>0</v>
      </c>
      <c r="X225">
        <v>0</v>
      </c>
      <c r="Y225">
        <v>0</v>
      </c>
      <c r="Z225">
        <v>0</v>
      </c>
      <c r="AA225">
        <v>0</v>
      </c>
      <c r="AB225">
        <v>0</v>
      </c>
      <c r="AC225">
        <v>0</v>
      </c>
      <c r="AD225">
        <v>10</v>
      </c>
      <c r="AE225">
        <v>0</v>
      </c>
      <c r="AF225">
        <v>0</v>
      </c>
      <c r="AG225">
        <v>0</v>
      </c>
      <c r="AH225">
        <f t="shared" si="2"/>
        <v>77</v>
      </c>
      <c r="AI225" s="76">
        <f t="shared" si="3"/>
        <v>2.2319875704380492E-4</v>
      </c>
    </row>
    <row r="226" spans="1:35" x14ac:dyDescent="0.2">
      <c r="A226" t="s">
        <v>703</v>
      </c>
      <c r="B226" t="s">
        <v>754</v>
      </c>
      <c r="C226">
        <v>0.82074673803820997</v>
      </c>
      <c r="D226">
        <v>0</v>
      </c>
      <c r="E226">
        <v>0</v>
      </c>
      <c r="F226">
        <v>11</v>
      </c>
      <c r="G226">
        <v>0</v>
      </c>
      <c r="H226">
        <v>14</v>
      </c>
      <c r="I226">
        <v>0</v>
      </c>
      <c r="J226">
        <v>0</v>
      </c>
      <c r="K226">
        <v>0</v>
      </c>
      <c r="L226">
        <v>0</v>
      </c>
      <c r="M226">
        <v>0</v>
      </c>
      <c r="N226">
        <v>0</v>
      </c>
      <c r="O226">
        <v>0</v>
      </c>
      <c r="P226">
        <v>0</v>
      </c>
      <c r="Q226">
        <v>7</v>
      </c>
      <c r="R226">
        <v>11</v>
      </c>
      <c r="S226">
        <v>0</v>
      </c>
      <c r="T226">
        <v>0</v>
      </c>
      <c r="U226">
        <v>0</v>
      </c>
      <c r="V226">
        <v>0</v>
      </c>
      <c r="W226">
        <v>0</v>
      </c>
      <c r="X226">
        <v>12</v>
      </c>
      <c r="Y226">
        <v>11</v>
      </c>
      <c r="Z226">
        <v>0</v>
      </c>
      <c r="AA226">
        <v>0</v>
      </c>
      <c r="AB226">
        <v>0</v>
      </c>
      <c r="AC226">
        <v>0</v>
      </c>
      <c r="AD226">
        <v>0</v>
      </c>
      <c r="AE226">
        <v>7</v>
      </c>
      <c r="AF226">
        <v>0</v>
      </c>
      <c r="AG226">
        <v>0</v>
      </c>
      <c r="AH226">
        <f t="shared" si="2"/>
        <v>73</v>
      </c>
      <c r="AI226" s="76">
        <f t="shared" si="3"/>
        <v>2.1160401641815273E-4</v>
      </c>
    </row>
    <row r="227" spans="1:35" x14ac:dyDescent="0.2">
      <c r="A227" t="s">
        <v>622</v>
      </c>
      <c r="B227" t="s">
        <v>755</v>
      </c>
      <c r="C227">
        <v>0.73064769748812497</v>
      </c>
      <c r="D227">
        <v>0</v>
      </c>
      <c r="E227">
        <v>0</v>
      </c>
      <c r="F227">
        <v>0</v>
      </c>
      <c r="G227">
        <v>0</v>
      </c>
      <c r="H227">
        <v>30</v>
      </c>
      <c r="I227">
        <v>0</v>
      </c>
      <c r="J227">
        <v>0</v>
      </c>
      <c r="K227">
        <v>0</v>
      </c>
      <c r="L227">
        <v>0</v>
      </c>
      <c r="M227">
        <v>0</v>
      </c>
      <c r="N227">
        <v>0</v>
      </c>
      <c r="O227">
        <v>0</v>
      </c>
      <c r="P227">
        <v>0</v>
      </c>
      <c r="Q227">
        <v>0</v>
      </c>
      <c r="R227">
        <v>15</v>
      </c>
      <c r="S227">
        <v>15</v>
      </c>
      <c r="T227">
        <v>11</v>
      </c>
      <c r="U227">
        <v>0</v>
      </c>
      <c r="V227">
        <v>0</v>
      </c>
      <c r="W227">
        <v>0</v>
      </c>
      <c r="X227">
        <v>0</v>
      </c>
      <c r="Y227">
        <v>0</v>
      </c>
      <c r="Z227">
        <v>0</v>
      </c>
      <c r="AA227">
        <v>0</v>
      </c>
      <c r="AB227">
        <v>0</v>
      </c>
      <c r="AC227">
        <v>0</v>
      </c>
      <c r="AD227">
        <v>0</v>
      </c>
      <c r="AE227">
        <v>0</v>
      </c>
      <c r="AF227">
        <v>0</v>
      </c>
      <c r="AG227">
        <v>0</v>
      </c>
      <c r="AH227">
        <f t="shared" si="2"/>
        <v>71</v>
      </c>
      <c r="AI227" s="76">
        <f t="shared" si="3"/>
        <v>2.0580664610532663E-4</v>
      </c>
    </row>
    <row r="228" spans="1:35" x14ac:dyDescent="0.2">
      <c r="A228" t="s">
        <v>756</v>
      </c>
      <c r="B228" t="s">
        <v>710</v>
      </c>
      <c r="C228">
        <v>0.81938923569597999</v>
      </c>
      <c r="D228">
        <v>0</v>
      </c>
      <c r="E228">
        <v>0</v>
      </c>
      <c r="F228">
        <v>0</v>
      </c>
      <c r="G228">
        <v>0</v>
      </c>
      <c r="H228">
        <v>0</v>
      </c>
      <c r="I228">
        <v>14</v>
      </c>
      <c r="J228">
        <v>0</v>
      </c>
      <c r="K228">
        <v>0</v>
      </c>
      <c r="L228">
        <v>0</v>
      </c>
      <c r="M228">
        <v>0</v>
      </c>
      <c r="N228">
        <v>0</v>
      </c>
      <c r="O228">
        <v>0</v>
      </c>
      <c r="P228">
        <v>0</v>
      </c>
      <c r="Q228">
        <v>0</v>
      </c>
      <c r="R228">
        <v>0</v>
      </c>
      <c r="S228">
        <v>0</v>
      </c>
      <c r="T228">
        <v>0</v>
      </c>
      <c r="U228">
        <v>0</v>
      </c>
      <c r="V228">
        <v>28</v>
      </c>
      <c r="W228">
        <v>0</v>
      </c>
      <c r="X228">
        <v>0</v>
      </c>
      <c r="Y228">
        <v>0</v>
      </c>
      <c r="Z228">
        <v>22</v>
      </c>
      <c r="AA228">
        <v>0</v>
      </c>
      <c r="AB228">
        <v>0</v>
      </c>
      <c r="AC228">
        <v>0</v>
      </c>
      <c r="AD228">
        <v>0</v>
      </c>
      <c r="AE228">
        <v>0</v>
      </c>
      <c r="AF228">
        <v>0</v>
      </c>
      <c r="AG228">
        <v>0</v>
      </c>
      <c r="AH228">
        <f t="shared" si="2"/>
        <v>64</v>
      </c>
      <c r="AI228" s="76">
        <f t="shared" si="3"/>
        <v>1.8551585001043528E-4</v>
      </c>
    </row>
    <row r="229" spans="1:35" x14ac:dyDescent="0.2">
      <c r="A229" s="77" t="s">
        <v>757</v>
      </c>
      <c r="B229" t="s">
        <v>711</v>
      </c>
      <c r="C229">
        <v>0.83062866334091501</v>
      </c>
      <c r="D229">
        <v>0</v>
      </c>
      <c r="E229">
        <v>0</v>
      </c>
      <c r="F229">
        <v>0</v>
      </c>
      <c r="G229">
        <v>0</v>
      </c>
      <c r="H229">
        <v>0</v>
      </c>
      <c r="I229">
        <v>0</v>
      </c>
      <c r="J229">
        <v>0</v>
      </c>
      <c r="K229">
        <v>0</v>
      </c>
      <c r="L229">
        <v>0</v>
      </c>
      <c r="M229">
        <v>0</v>
      </c>
      <c r="N229">
        <v>30</v>
      </c>
      <c r="O229">
        <v>0</v>
      </c>
      <c r="P229">
        <v>0</v>
      </c>
      <c r="Q229">
        <v>0</v>
      </c>
      <c r="R229">
        <v>0</v>
      </c>
      <c r="S229">
        <v>0</v>
      </c>
      <c r="T229">
        <v>0</v>
      </c>
      <c r="U229">
        <v>0</v>
      </c>
      <c r="V229">
        <v>0</v>
      </c>
      <c r="W229">
        <v>0</v>
      </c>
      <c r="X229">
        <v>0</v>
      </c>
      <c r="Y229">
        <v>34</v>
      </c>
      <c r="Z229">
        <v>0</v>
      </c>
      <c r="AA229">
        <v>0</v>
      </c>
      <c r="AB229">
        <v>0</v>
      </c>
      <c r="AC229">
        <v>0</v>
      </c>
      <c r="AD229">
        <v>0</v>
      </c>
      <c r="AE229">
        <v>0</v>
      </c>
      <c r="AF229">
        <v>0</v>
      </c>
      <c r="AG229">
        <v>0</v>
      </c>
      <c r="AH229">
        <f t="shared" si="2"/>
        <v>64</v>
      </c>
      <c r="AI229" s="76">
        <f t="shared" si="3"/>
        <v>1.8551585001043528E-4</v>
      </c>
    </row>
    <row r="230" spans="1:35" x14ac:dyDescent="0.2">
      <c r="A230" t="s">
        <v>758</v>
      </c>
      <c r="B230" t="s">
        <v>527</v>
      </c>
      <c r="C230">
        <v>0.998269480962653</v>
      </c>
      <c r="D230">
        <v>12</v>
      </c>
      <c r="E230">
        <v>0</v>
      </c>
      <c r="F230">
        <v>0</v>
      </c>
      <c r="G230">
        <v>0</v>
      </c>
      <c r="H230">
        <v>0</v>
      </c>
      <c r="I230">
        <v>0</v>
      </c>
      <c r="J230">
        <v>0</v>
      </c>
      <c r="K230">
        <v>15</v>
      </c>
      <c r="L230">
        <v>19</v>
      </c>
      <c r="M230">
        <v>0</v>
      </c>
      <c r="N230">
        <v>8</v>
      </c>
      <c r="O230">
        <v>0</v>
      </c>
      <c r="P230">
        <v>0</v>
      </c>
      <c r="Q230">
        <v>0</v>
      </c>
      <c r="R230">
        <v>0</v>
      </c>
      <c r="S230">
        <v>0</v>
      </c>
      <c r="T230">
        <v>0</v>
      </c>
      <c r="U230">
        <v>9</v>
      </c>
      <c r="V230">
        <v>0</v>
      </c>
      <c r="W230">
        <v>0</v>
      </c>
      <c r="X230">
        <v>0</v>
      </c>
      <c r="Y230">
        <v>0</v>
      </c>
      <c r="Z230">
        <v>0</v>
      </c>
      <c r="AA230">
        <v>0</v>
      </c>
      <c r="AB230">
        <v>0</v>
      </c>
      <c r="AC230">
        <v>0</v>
      </c>
      <c r="AD230">
        <v>0</v>
      </c>
      <c r="AE230">
        <v>0</v>
      </c>
      <c r="AF230">
        <v>0</v>
      </c>
      <c r="AG230">
        <v>0</v>
      </c>
      <c r="AH230">
        <f t="shared" si="2"/>
        <v>63</v>
      </c>
      <c r="AI230" s="76">
        <f t="shared" si="3"/>
        <v>1.8261716485402221E-4</v>
      </c>
    </row>
    <row r="231" spans="1:35" x14ac:dyDescent="0.2">
      <c r="A231" t="s">
        <v>759</v>
      </c>
      <c r="B231" t="s">
        <v>527</v>
      </c>
      <c r="C231">
        <v>0.99821539567204998</v>
      </c>
      <c r="D231">
        <v>11</v>
      </c>
      <c r="E231">
        <v>9</v>
      </c>
      <c r="F231">
        <v>0</v>
      </c>
      <c r="G231">
        <v>0</v>
      </c>
      <c r="H231">
        <v>0</v>
      </c>
      <c r="I231">
        <v>0</v>
      </c>
      <c r="J231">
        <v>10</v>
      </c>
      <c r="K231">
        <v>10</v>
      </c>
      <c r="L231">
        <v>9</v>
      </c>
      <c r="M231">
        <v>0</v>
      </c>
      <c r="N231">
        <v>0</v>
      </c>
      <c r="O231">
        <v>0</v>
      </c>
      <c r="P231">
        <v>0</v>
      </c>
      <c r="Q231">
        <v>0</v>
      </c>
      <c r="R231">
        <v>0</v>
      </c>
      <c r="S231">
        <v>0</v>
      </c>
      <c r="T231">
        <v>0</v>
      </c>
      <c r="U231">
        <v>10</v>
      </c>
      <c r="V231">
        <v>0</v>
      </c>
      <c r="W231">
        <v>0</v>
      </c>
      <c r="X231">
        <v>0</v>
      </c>
      <c r="Y231">
        <v>0</v>
      </c>
      <c r="Z231">
        <v>0</v>
      </c>
      <c r="AA231">
        <v>0</v>
      </c>
      <c r="AB231">
        <v>0</v>
      </c>
      <c r="AC231">
        <v>0</v>
      </c>
      <c r="AD231">
        <v>0</v>
      </c>
      <c r="AE231">
        <v>0</v>
      </c>
      <c r="AF231">
        <v>0</v>
      </c>
      <c r="AG231">
        <v>0</v>
      </c>
      <c r="AH231">
        <f t="shared" si="2"/>
        <v>59</v>
      </c>
      <c r="AI231" s="76">
        <f t="shared" si="3"/>
        <v>1.7102242422837002E-4</v>
      </c>
    </row>
    <row r="232" spans="1:35" x14ac:dyDescent="0.2">
      <c r="A232" t="s">
        <v>675</v>
      </c>
      <c r="B232" t="s">
        <v>710</v>
      </c>
      <c r="C232">
        <v>0.79998850970312396</v>
      </c>
      <c r="D232">
        <v>0</v>
      </c>
      <c r="E232">
        <v>13</v>
      </c>
      <c r="F232">
        <v>8</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14</v>
      </c>
      <c r="AF232">
        <v>19</v>
      </c>
      <c r="AG232">
        <v>0</v>
      </c>
      <c r="AH232">
        <f t="shared" si="2"/>
        <v>54</v>
      </c>
      <c r="AI232" s="76">
        <f t="shared" si="3"/>
        <v>1.5652899844630476E-4</v>
      </c>
    </row>
    <row r="233" spans="1:35" x14ac:dyDescent="0.2">
      <c r="A233" t="s">
        <v>760</v>
      </c>
      <c r="B233" t="s">
        <v>527</v>
      </c>
      <c r="C233">
        <v>0.99776410602337695</v>
      </c>
      <c r="D233">
        <v>10</v>
      </c>
      <c r="E233">
        <v>12</v>
      </c>
      <c r="F233">
        <v>0</v>
      </c>
      <c r="G233">
        <v>0</v>
      </c>
      <c r="H233">
        <v>0</v>
      </c>
      <c r="I233">
        <v>0</v>
      </c>
      <c r="J233">
        <v>0</v>
      </c>
      <c r="K233">
        <v>9</v>
      </c>
      <c r="L233">
        <v>9</v>
      </c>
      <c r="M233">
        <v>0</v>
      </c>
      <c r="N233">
        <v>0</v>
      </c>
      <c r="O233">
        <v>0</v>
      </c>
      <c r="P233">
        <v>0</v>
      </c>
      <c r="Q233">
        <v>0</v>
      </c>
      <c r="R233">
        <v>0</v>
      </c>
      <c r="S233">
        <v>0</v>
      </c>
      <c r="T233">
        <v>0</v>
      </c>
      <c r="U233">
        <v>10</v>
      </c>
      <c r="V233">
        <v>0</v>
      </c>
      <c r="W233">
        <v>0</v>
      </c>
      <c r="X233">
        <v>0</v>
      </c>
      <c r="Y233">
        <v>0</v>
      </c>
      <c r="Z233">
        <v>0</v>
      </c>
      <c r="AA233">
        <v>0</v>
      </c>
      <c r="AB233">
        <v>0</v>
      </c>
      <c r="AC233">
        <v>0</v>
      </c>
      <c r="AD233">
        <v>0</v>
      </c>
      <c r="AE233">
        <v>0</v>
      </c>
      <c r="AF233">
        <v>0</v>
      </c>
      <c r="AG233">
        <v>0</v>
      </c>
      <c r="AH233">
        <f t="shared" si="2"/>
        <v>50</v>
      </c>
      <c r="AI233" s="76">
        <f t="shared" si="3"/>
        <v>1.4493425782065254E-4</v>
      </c>
    </row>
    <row r="234" spans="1:35" x14ac:dyDescent="0.2">
      <c r="A234" t="s">
        <v>761</v>
      </c>
      <c r="B234" t="s">
        <v>532</v>
      </c>
      <c r="C234">
        <v>0.99939546901272402</v>
      </c>
      <c r="D234">
        <v>0</v>
      </c>
      <c r="E234">
        <v>0</v>
      </c>
      <c r="F234">
        <v>0</v>
      </c>
      <c r="G234">
        <v>0</v>
      </c>
      <c r="H234">
        <v>0</v>
      </c>
      <c r="I234">
        <v>0</v>
      </c>
      <c r="J234">
        <v>0</v>
      </c>
      <c r="K234">
        <v>0</v>
      </c>
      <c r="L234">
        <v>0</v>
      </c>
      <c r="M234">
        <v>0</v>
      </c>
      <c r="N234">
        <v>0</v>
      </c>
      <c r="O234">
        <v>0</v>
      </c>
      <c r="P234">
        <v>0</v>
      </c>
      <c r="Q234">
        <v>0</v>
      </c>
      <c r="R234">
        <v>0</v>
      </c>
      <c r="S234">
        <v>15</v>
      </c>
      <c r="T234">
        <v>0</v>
      </c>
      <c r="U234">
        <v>0</v>
      </c>
      <c r="V234">
        <v>0</v>
      </c>
      <c r="W234">
        <v>0</v>
      </c>
      <c r="X234">
        <v>0</v>
      </c>
      <c r="Y234">
        <v>15</v>
      </c>
      <c r="Z234">
        <v>0</v>
      </c>
      <c r="AA234">
        <v>0</v>
      </c>
      <c r="AB234">
        <v>0</v>
      </c>
      <c r="AC234">
        <v>19</v>
      </c>
      <c r="AD234">
        <v>0</v>
      </c>
      <c r="AE234">
        <v>0</v>
      </c>
      <c r="AF234">
        <v>0</v>
      </c>
      <c r="AG234">
        <v>0</v>
      </c>
      <c r="AH234">
        <f t="shared" si="2"/>
        <v>49</v>
      </c>
      <c r="AI234" s="76">
        <f t="shared" si="3"/>
        <v>1.4203557266423951E-4</v>
      </c>
    </row>
    <row r="235" spans="1:35" x14ac:dyDescent="0.2">
      <c r="A235" t="s">
        <v>613</v>
      </c>
      <c r="B235" t="s">
        <v>527</v>
      </c>
      <c r="C235">
        <v>0.99745085646540999</v>
      </c>
      <c r="D235">
        <v>0</v>
      </c>
      <c r="E235">
        <v>9</v>
      </c>
      <c r="F235">
        <v>0</v>
      </c>
      <c r="G235">
        <v>0</v>
      </c>
      <c r="H235">
        <v>12</v>
      </c>
      <c r="I235">
        <v>0</v>
      </c>
      <c r="J235">
        <v>9</v>
      </c>
      <c r="K235">
        <v>18</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f t="shared" si="2"/>
        <v>48</v>
      </c>
      <c r="AI235" s="76">
        <f t="shared" si="3"/>
        <v>1.3913688750782644E-4</v>
      </c>
    </row>
    <row r="236" spans="1:35" x14ac:dyDescent="0.2">
      <c r="A236" t="s">
        <v>762</v>
      </c>
      <c r="B236" t="s">
        <v>763</v>
      </c>
      <c r="C236">
        <v>0.98031218389246899</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15</v>
      </c>
      <c r="Y236">
        <v>0</v>
      </c>
      <c r="Z236">
        <v>0</v>
      </c>
      <c r="AA236">
        <v>0</v>
      </c>
      <c r="AB236">
        <v>0</v>
      </c>
      <c r="AC236">
        <v>0</v>
      </c>
      <c r="AD236">
        <v>0</v>
      </c>
      <c r="AE236">
        <v>20</v>
      </c>
      <c r="AF236">
        <v>0</v>
      </c>
      <c r="AG236">
        <v>13</v>
      </c>
      <c r="AH236">
        <f t="shared" si="2"/>
        <v>48</v>
      </c>
      <c r="AI236" s="76">
        <f t="shared" si="3"/>
        <v>1.3913688750782644E-4</v>
      </c>
    </row>
    <row r="237" spans="1:35" x14ac:dyDescent="0.2">
      <c r="A237" t="s">
        <v>764</v>
      </c>
      <c r="B237" t="s">
        <v>527</v>
      </c>
      <c r="C237">
        <v>0.99915031856835101</v>
      </c>
      <c r="D237">
        <v>0</v>
      </c>
      <c r="E237">
        <v>0</v>
      </c>
      <c r="F237">
        <v>0</v>
      </c>
      <c r="G237">
        <v>0</v>
      </c>
      <c r="H237">
        <v>13</v>
      </c>
      <c r="I237">
        <v>0</v>
      </c>
      <c r="J237">
        <v>0</v>
      </c>
      <c r="K237">
        <v>14</v>
      </c>
      <c r="L237">
        <v>0</v>
      </c>
      <c r="M237">
        <v>0</v>
      </c>
      <c r="N237">
        <v>0</v>
      </c>
      <c r="O237">
        <v>0</v>
      </c>
      <c r="P237">
        <v>0</v>
      </c>
      <c r="Q237">
        <v>0</v>
      </c>
      <c r="R237">
        <v>0</v>
      </c>
      <c r="S237">
        <v>0</v>
      </c>
      <c r="T237">
        <v>0</v>
      </c>
      <c r="U237">
        <v>0</v>
      </c>
      <c r="V237">
        <v>0</v>
      </c>
      <c r="W237">
        <v>0</v>
      </c>
      <c r="X237">
        <v>0</v>
      </c>
      <c r="Y237">
        <v>0</v>
      </c>
      <c r="Z237">
        <v>0</v>
      </c>
      <c r="AA237">
        <v>0</v>
      </c>
      <c r="AB237">
        <v>8</v>
      </c>
      <c r="AC237">
        <v>0</v>
      </c>
      <c r="AD237">
        <v>12</v>
      </c>
      <c r="AE237">
        <v>0</v>
      </c>
      <c r="AF237">
        <v>0</v>
      </c>
      <c r="AG237">
        <v>0</v>
      </c>
      <c r="AH237">
        <f t="shared" si="2"/>
        <v>47</v>
      </c>
      <c r="AI237" s="76">
        <f t="shared" si="3"/>
        <v>1.3623820235141341E-4</v>
      </c>
    </row>
    <row r="238" spans="1:35" x14ac:dyDescent="0.2">
      <c r="A238" t="s">
        <v>765</v>
      </c>
      <c r="B238" t="s">
        <v>710</v>
      </c>
      <c r="C238">
        <v>0.89947324660003503</v>
      </c>
      <c r="D238">
        <v>0</v>
      </c>
      <c r="E238">
        <v>0</v>
      </c>
      <c r="F238">
        <v>0</v>
      </c>
      <c r="G238">
        <v>0</v>
      </c>
      <c r="H238">
        <v>0</v>
      </c>
      <c r="I238">
        <v>12</v>
      </c>
      <c r="J238">
        <v>0</v>
      </c>
      <c r="K238">
        <v>0</v>
      </c>
      <c r="L238">
        <v>0</v>
      </c>
      <c r="M238">
        <v>0</v>
      </c>
      <c r="N238">
        <v>0</v>
      </c>
      <c r="O238">
        <v>0</v>
      </c>
      <c r="P238">
        <v>0</v>
      </c>
      <c r="Q238">
        <v>0</v>
      </c>
      <c r="R238">
        <v>0</v>
      </c>
      <c r="S238">
        <v>0</v>
      </c>
      <c r="T238">
        <v>0</v>
      </c>
      <c r="U238">
        <v>0</v>
      </c>
      <c r="V238">
        <v>23</v>
      </c>
      <c r="W238">
        <v>0</v>
      </c>
      <c r="X238">
        <v>0</v>
      </c>
      <c r="Y238">
        <v>0</v>
      </c>
      <c r="Z238">
        <v>12</v>
      </c>
      <c r="AA238">
        <v>0</v>
      </c>
      <c r="AB238">
        <v>0</v>
      </c>
      <c r="AC238">
        <v>0</v>
      </c>
      <c r="AD238">
        <v>0</v>
      </c>
      <c r="AE238">
        <v>0</v>
      </c>
      <c r="AF238">
        <v>0</v>
      </c>
      <c r="AG238">
        <v>0</v>
      </c>
      <c r="AH238">
        <f t="shared" si="2"/>
        <v>47</v>
      </c>
      <c r="AI238" s="76">
        <f t="shared" si="3"/>
        <v>1.3623820235141341E-4</v>
      </c>
    </row>
    <row r="239" spans="1:35" x14ac:dyDescent="0.2">
      <c r="A239" t="s">
        <v>766</v>
      </c>
      <c r="B239" t="s">
        <v>710</v>
      </c>
      <c r="C239">
        <v>0.88200178741048396</v>
      </c>
      <c r="D239">
        <v>0</v>
      </c>
      <c r="E239">
        <v>0</v>
      </c>
      <c r="F239">
        <v>0</v>
      </c>
      <c r="G239">
        <v>0</v>
      </c>
      <c r="H239">
        <v>0</v>
      </c>
      <c r="I239">
        <v>9</v>
      </c>
      <c r="J239">
        <v>0</v>
      </c>
      <c r="K239">
        <v>0</v>
      </c>
      <c r="L239">
        <v>0</v>
      </c>
      <c r="M239">
        <v>0</v>
      </c>
      <c r="N239">
        <v>0</v>
      </c>
      <c r="O239">
        <v>0</v>
      </c>
      <c r="P239">
        <v>0</v>
      </c>
      <c r="Q239">
        <v>0</v>
      </c>
      <c r="R239">
        <v>0</v>
      </c>
      <c r="S239">
        <v>0</v>
      </c>
      <c r="T239">
        <v>0</v>
      </c>
      <c r="U239">
        <v>0</v>
      </c>
      <c r="V239">
        <v>23</v>
      </c>
      <c r="W239">
        <v>0</v>
      </c>
      <c r="X239">
        <v>0</v>
      </c>
      <c r="Y239">
        <v>0</v>
      </c>
      <c r="Z239">
        <v>15</v>
      </c>
      <c r="AA239">
        <v>0</v>
      </c>
      <c r="AB239">
        <v>0</v>
      </c>
      <c r="AC239">
        <v>0</v>
      </c>
      <c r="AD239">
        <v>0</v>
      </c>
      <c r="AE239">
        <v>0</v>
      </c>
      <c r="AF239">
        <v>0</v>
      </c>
      <c r="AG239">
        <v>0</v>
      </c>
      <c r="AH239">
        <f t="shared" si="2"/>
        <v>47</v>
      </c>
      <c r="AI239" s="76">
        <f t="shared" si="3"/>
        <v>1.3623820235141341E-4</v>
      </c>
    </row>
    <row r="240" spans="1:35" x14ac:dyDescent="0.2">
      <c r="A240" t="s">
        <v>767</v>
      </c>
      <c r="B240" t="s">
        <v>527</v>
      </c>
      <c r="C240">
        <v>0.99789466672454596</v>
      </c>
      <c r="D240">
        <v>9</v>
      </c>
      <c r="E240">
        <v>0</v>
      </c>
      <c r="F240">
        <v>0</v>
      </c>
      <c r="G240">
        <v>0</v>
      </c>
      <c r="H240">
        <v>0</v>
      </c>
      <c r="I240">
        <v>0</v>
      </c>
      <c r="J240">
        <v>0</v>
      </c>
      <c r="K240">
        <v>14</v>
      </c>
      <c r="L240">
        <v>14</v>
      </c>
      <c r="M240">
        <v>0</v>
      </c>
      <c r="N240">
        <v>0</v>
      </c>
      <c r="O240">
        <v>0</v>
      </c>
      <c r="P240">
        <v>0</v>
      </c>
      <c r="Q240">
        <v>0</v>
      </c>
      <c r="R240">
        <v>0</v>
      </c>
      <c r="S240">
        <v>0</v>
      </c>
      <c r="T240">
        <v>0</v>
      </c>
      <c r="U240">
        <v>9</v>
      </c>
      <c r="V240">
        <v>0</v>
      </c>
      <c r="W240">
        <v>0</v>
      </c>
      <c r="X240">
        <v>0</v>
      </c>
      <c r="Y240">
        <v>0</v>
      </c>
      <c r="Z240">
        <v>0</v>
      </c>
      <c r="AA240">
        <v>0</v>
      </c>
      <c r="AB240">
        <v>0</v>
      </c>
      <c r="AC240">
        <v>0</v>
      </c>
      <c r="AD240">
        <v>0</v>
      </c>
      <c r="AE240">
        <v>0</v>
      </c>
      <c r="AF240">
        <v>0</v>
      </c>
      <c r="AG240">
        <v>0</v>
      </c>
      <c r="AH240">
        <f t="shared" si="2"/>
        <v>46</v>
      </c>
      <c r="AI240" s="76">
        <f t="shared" si="3"/>
        <v>1.3333951719500035E-4</v>
      </c>
    </row>
    <row r="241" spans="1:35" x14ac:dyDescent="0.2">
      <c r="A241" t="s">
        <v>768</v>
      </c>
      <c r="B241" t="s">
        <v>710</v>
      </c>
      <c r="C241">
        <v>0.89733696617117298</v>
      </c>
      <c r="D241">
        <v>0</v>
      </c>
      <c r="E241">
        <v>0</v>
      </c>
      <c r="F241">
        <v>0</v>
      </c>
      <c r="G241">
        <v>0</v>
      </c>
      <c r="H241">
        <v>0</v>
      </c>
      <c r="I241">
        <v>10</v>
      </c>
      <c r="J241">
        <v>0</v>
      </c>
      <c r="K241">
        <v>0</v>
      </c>
      <c r="L241">
        <v>0</v>
      </c>
      <c r="M241">
        <v>0</v>
      </c>
      <c r="N241">
        <v>0</v>
      </c>
      <c r="O241">
        <v>0</v>
      </c>
      <c r="P241">
        <v>0</v>
      </c>
      <c r="Q241">
        <v>0</v>
      </c>
      <c r="R241">
        <v>0</v>
      </c>
      <c r="S241">
        <v>0</v>
      </c>
      <c r="T241">
        <v>0</v>
      </c>
      <c r="U241">
        <v>0</v>
      </c>
      <c r="V241">
        <v>16</v>
      </c>
      <c r="W241">
        <v>0</v>
      </c>
      <c r="X241">
        <v>0</v>
      </c>
      <c r="Y241">
        <v>0</v>
      </c>
      <c r="Z241">
        <v>19</v>
      </c>
      <c r="AA241">
        <v>0</v>
      </c>
      <c r="AB241">
        <v>0</v>
      </c>
      <c r="AC241">
        <v>0</v>
      </c>
      <c r="AD241">
        <v>0</v>
      </c>
      <c r="AE241">
        <v>0</v>
      </c>
      <c r="AF241">
        <v>0</v>
      </c>
      <c r="AG241">
        <v>0</v>
      </c>
      <c r="AH241">
        <f t="shared" si="2"/>
        <v>45</v>
      </c>
      <c r="AI241" s="76">
        <f t="shared" si="3"/>
        <v>1.3044083203858728E-4</v>
      </c>
    </row>
    <row r="242" spans="1:35" x14ac:dyDescent="0.2">
      <c r="A242" t="s">
        <v>769</v>
      </c>
      <c r="B242" t="s">
        <v>527</v>
      </c>
      <c r="C242">
        <v>0.99843515873856004</v>
      </c>
      <c r="D242">
        <v>0</v>
      </c>
      <c r="E242">
        <v>0</v>
      </c>
      <c r="F242">
        <v>0</v>
      </c>
      <c r="G242">
        <v>0</v>
      </c>
      <c r="H242">
        <v>10</v>
      </c>
      <c r="I242">
        <v>0</v>
      </c>
      <c r="J242">
        <v>0</v>
      </c>
      <c r="K242">
        <v>9</v>
      </c>
      <c r="L242">
        <v>0</v>
      </c>
      <c r="M242">
        <v>12</v>
      </c>
      <c r="N242">
        <v>0</v>
      </c>
      <c r="O242">
        <v>0</v>
      </c>
      <c r="P242">
        <v>0</v>
      </c>
      <c r="Q242">
        <v>0</v>
      </c>
      <c r="R242">
        <v>0</v>
      </c>
      <c r="S242">
        <v>0</v>
      </c>
      <c r="T242">
        <v>0</v>
      </c>
      <c r="U242">
        <v>13</v>
      </c>
      <c r="V242">
        <v>0</v>
      </c>
      <c r="W242">
        <v>0</v>
      </c>
      <c r="X242">
        <v>0</v>
      </c>
      <c r="Y242">
        <v>0</v>
      </c>
      <c r="Z242">
        <v>0</v>
      </c>
      <c r="AA242">
        <v>0</v>
      </c>
      <c r="AB242">
        <v>0</v>
      </c>
      <c r="AC242">
        <v>0</v>
      </c>
      <c r="AD242">
        <v>0</v>
      </c>
      <c r="AE242">
        <v>0</v>
      </c>
      <c r="AF242">
        <v>0</v>
      </c>
      <c r="AG242">
        <v>0</v>
      </c>
      <c r="AH242">
        <f t="shared" si="2"/>
        <v>44</v>
      </c>
      <c r="AI242" s="76">
        <f t="shared" si="3"/>
        <v>1.2754214688217425E-4</v>
      </c>
    </row>
    <row r="243" spans="1:35" x14ac:dyDescent="0.2">
      <c r="A243" t="s">
        <v>770</v>
      </c>
      <c r="B243" t="s">
        <v>527</v>
      </c>
      <c r="C243">
        <v>0.99805335424702402</v>
      </c>
      <c r="D243">
        <v>0</v>
      </c>
      <c r="E243">
        <v>0</v>
      </c>
      <c r="F243">
        <v>0</v>
      </c>
      <c r="G243">
        <v>0</v>
      </c>
      <c r="H243">
        <v>0</v>
      </c>
      <c r="I243">
        <v>0</v>
      </c>
      <c r="J243">
        <v>0</v>
      </c>
      <c r="K243">
        <v>10</v>
      </c>
      <c r="L243">
        <v>0</v>
      </c>
      <c r="M243">
        <v>15</v>
      </c>
      <c r="N243">
        <v>0</v>
      </c>
      <c r="O243">
        <v>0</v>
      </c>
      <c r="P243">
        <v>0</v>
      </c>
      <c r="Q243">
        <v>0</v>
      </c>
      <c r="R243">
        <v>0</v>
      </c>
      <c r="S243">
        <v>0</v>
      </c>
      <c r="T243">
        <v>0</v>
      </c>
      <c r="U243">
        <v>10</v>
      </c>
      <c r="V243">
        <v>0</v>
      </c>
      <c r="W243">
        <v>0</v>
      </c>
      <c r="X243">
        <v>0</v>
      </c>
      <c r="Y243">
        <v>0</v>
      </c>
      <c r="Z243">
        <v>0</v>
      </c>
      <c r="AA243">
        <v>0</v>
      </c>
      <c r="AB243">
        <v>0</v>
      </c>
      <c r="AC243">
        <v>0</v>
      </c>
      <c r="AD243">
        <v>9</v>
      </c>
      <c r="AE243">
        <v>0</v>
      </c>
      <c r="AF243">
        <v>0</v>
      </c>
      <c r="AG243">
        <v>0</v>
      </c>
      <c r="AH243">
        <f t="shared" si="2"/>
        <v>44</v>
      </c>
      <c r="AI243" s="76">
        <f t="shared" si="3"/>
        <v>1.2754214688217425E-4</v>
      </c>
    </row>
    <row r="244" spans="1:35" x14ac:dyDescent="0.2">
      <c r="A244" t="s">
        <v>771</v>
      </c>
      <c r="B244" t="s">
        <v>527</v>
      </c>
      <c r="C244">
        <v>0.99821804700060901</v>
      </c>
      <c r="D244">
        <v>10</v>
      </c>
      <c r="E244">
        <v>0</v>
      </c>
      <c r="F244">
        <v>0</v>
      </c>
      <c r="G244">
        <v>0</v>
      </c>
      <c r="H244">
        <v>9</v>
      </c>
      <c r="I244">
        <v>0</v>
      </c>
      <c r="J244">
        <v>0</v>
      </c>
      <c r="K244">
        <v>15</v>
      </c>
      <c r="L244">
        <v>0</v>
      </c>
      <c r="M244">
        <v>9</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f t="shared" si="2"/>
        <v>43</v>
      </c>
      <c r="AI244" s="76">
        <f t="shared" si="3"/>
        <v>1.2464346172576119E-4</v>
      </c>
    </row>
    <row r="245" spans="1:35" x14ac:dyDescent="0.2">
      <c r="A245" t="s">
        <v>772</v>
      </c>
      <c r="B245" t="s">
        <v>527</v>
      </c>
      <c r="C245">
        <v>0.99825769115113305</v>
      </c>
      <c r="D245">
        <v>0</v>
      </c>
      <c r="E245">
        <v>0</v>
      </c>
      <c r="F245">
        <v>0</v>
      </c>
      <c r="G245">
        <v>0</v>
      </c>
      <c r="H245">
        <v>10</v>
      </c>
      <c r="I245">
        <v>0</v>
      </c>
      <c r="J245">
        <v>10</v>
      </c>
      <c r="K245">
        <v>0</v>
      </c>
      <c r="L245">
        <v>12</v>
      </c>
      <c r="M245">
        <v>0</v>
      </c>
      <c r="N245">
        <v>0</v>
      </c>
      <c r="O245">
        <v>0</v>
      </c>
      <c r="P245">
        <v>0</v>
      </c>
      <c r="Q245">
        <v>0</v>
      </c>
      <c r="R245">
        <v>0</v>
      </c>
      <c r="S245">
        <v>0</v>
      </c>
      <c r="T245">
        <v>0</v>
      </c>
      <c r="U245">
        <v>11</v>
      </c>
      <c r="V245">
        <v>0</v>
      </c>
      <c r="W245">
        <v>0</v>
      </c>
      <c r="X245">
        <v>0</v>
      </c>
      <c r="Y245">
        <v>0</v>
      </c>
      <c r="Z245">
        <v>0</v>
      </c>
      <c r="AA245">
        <v>0</v>
      </c>
      <c r="AB245">
        <v>0</v>
      </c>
      <c r="AC245">
        <v>0</v>
      </c>
      <c r="AD245">
        <v>0</v>
      </c>
      <c r="AE245">
        <v>0</v>
      </c>
      <c r="AF245">
        <v>0</v>
      </c>
      <c r="AG245">
        <v>0</v>
      </c>
      <c r="AH245">
        <f t="shared" si="2"/>
        <v>43</v>
      </c>
      <c r="AI245" s="76">
        <f t="shared" si="3"/>
        <v>1.2464346172576119E-4</v>
      </c>
    </row>
    <row r="246" spans="1:35" x14ac:dyDescent="0.2">
      <c r="A246" t="s">
        <v>773</v>
      </c>
      <c r="B246" t="s">
        <v>561</v>
      </c>
      <c r="C246">
        <v>0.99999970674757399</v>
      </c>
      <c r="D246">
        <v>0</v>
      </c>
      <c r="E246">
        <v>0</v>
      </c>
      <c r="F246">
        <v>0</v>
      </c>
      <c r="G246">
        <v>0</v>
      </c>
      <c r="H246">
        <v>0</v>
      </c>
      <c r="I246">
        <v>0</v>
      </c>
      <c r="J246">
        <v>0</v>
      </c>
      <c r="K246">
        <v>0</v>
      </c>
      <c r="L246">
        <v>0</v>
      </c>
      <c r="M246">
        <v>0</v>
      </c>
      <c r="N246">
        <v>0</v>
      </c>
      <c r="O246">
        <v>0</v>
      </c>
      <c r="P246">
        <v>0</v>
      </c>
      <c r="Q246">
        <v>22</v>
      </c>
      <c r="R246">
        <v>0</v>
      </c>
      <c r="S246">
        <v>0</v>
      </c>
      <c r="T246">
        <v>0</v>
      </c>
      <c r="U246">
        <v>21</v>
      </c>
      <c r="V246">
        <v>0</v>
      </c>
      <c r="W246">
        <v>0</v>
      </c>
      <c r="X246">
        <v>0</v>
      </c>
      <c r="Y246">
        <v>0</v>
      </c>
      <c r="Z246">
        <v>0</v>
      </c>
      <c r="AA246">
        <v>0</v>
      </c>
      <c r="AB246">
        <v>0</v>
      </c>
      <c r="AC246">
        <v>0</v>
      </c>
      <c r="AD246">
        <v>0</v>
      </c>
      <c r="AE246">
        <v>0</v>
      </c>
      <c r="AF246">
        <v>0</v>
      </c>
      <c r="AG246">
        <v>0</v>
      </c>
      <c r="AH246">
        <f t="shared" si="2"/>
        <v>43</v>
      </c>
      <c r="AI246" s="76">
        <f t="shared" si="3"/>
        <v>1.2464346172576119E-4</v>
      </c>
    </row>
    <row r="247" spans="1:35" x14ac:dyDescent="0.2">
      <c r="A247" t="s">
        <v>774</v>
      </c>
      <c r="B247" t="s">
        <v>710</v>
      </c>
      <c r="C247">
        <v>0.89580585052496498</v>
      </c>
      <c r="D247">
        <v>0</v>
      </c>
      <c r="E247">
        <v>0</v>
      </c>
      <c r="F247">
        <v>0</v>
      </c>
      <c r="G247">
        <v>0</v>
      </c>
      <c r="H247">
        <v>0</v>
      </c>
      <c r="I247">
        <v>10</v>
      </c>
      <c r="J247">
        <v>0</v>
      </c>
      <c r="K247">
        <v>0</v>
      </c>
      <c r="L247">
        <v>0</v>
      </c>
      <c r="M247">
        <v>0</v>
      </c>
      <c r="N247">
        <v>0</v>
      </c>
      <c r="O247">
        <v>0</v>
      </c>
      <c r="P247">
        <v>0</v>
      </c>
      <c r="Q247">
        <v>0</v>
      </c>
      <c r="R247">
        <v>0</v>
      </c>
      <c r="S247">
        <v>0</v>
      </c>
      <c r="T247">
        <v>0</v>
      </c>
      <c r="U247">
        <v>0</v>
      </c>
      <c r="V247">
        <v>21</v>
      </c>
      <c r="W247">
        <v>0</v>
      </c>
      <c r="X247">
        <v>0</v>
      </c>
      <c r="Y247">
        <v>0</v>
      </c>
      <c r="Z247">
        <v>10</v>
      </c>
      <c r="AA247">
        <v>0</v>
      </c>
      <c r="AB247">
        <v>0</v>
      </c>
      <c r="AC247">
        <v>0</v>
      </c>
      <c r="AD247">
        <v>0</v>
      </c>
      <c r="AE247">
        <v>0</v>
      </c>
      <c r="AF247">
        <v>0</v>
      </c>
      <c r="AG247">
        <v>0</v>
      </c>
      <c r="AH247">
        <f t="shared" si="2"/>
        <v>41</v>
      </c>
      <c r="AI247" s="76">
        <f t="shared" si="3"/>
        <v>1.1884609141293509E-4</v>
      </c>
    </row>
    <row r="248" spans="1:35" x14ac:dyDescent="0.2">
      <c r="A248" t="s">
        <v>687</v>
      </c>
      <c r="B248" t="s">
        <v>527</v>
      </c>
      <c r="C248">
        <v>0.998724770857781</v>
      </c>
      <c r="D248">
        <v>9</v>
      </c>
      <c r="E248">
        <v>0</v>
      </c>
      <c r="F248">
        <v>0</v>
      </c>
      <c r="G248">
        <v>0</v>
      </c>
      <c r="H248">
        <v>0</v>
      </c>
      <c r="I248">
        <v>0</v>
      </c>
      <c r="J248">
        <v>9</v>
      </c>
      <c r="K248">
        <v>9</v>
      </c>
      <c r="L248">
        <v>0</v>
      </c>
      <c r="M248">
        <v>0</v>
      </c>
      <c r="N248">
        <v>0</v>
      </c>
      <c r="O248">
        <v>0</v>
      </c>
      <c r="P248">
        <v>0</v>
      </c>
      <c r="Q248">
        <v>0</v>
      </c>
      <c r="R248">
        <v>0</v>
      </c>
      <c r="S248">
        <v>0</v>
      </c>
      <c r="T248">
        <v>0</v>
      </c>
      <c r="U248">
        <v>13</v>
      </c>
      <c r="V248">
        <v>0</v>
      </c>
      <c r="W248">
        <v>0</v>
      </c>
      <c r="X248">
        <v>0</v>
      </c>
      <c r="Y248">
        <v>0</v>
      </c>
      <c r="Z248">
        <v>0</v>
      </c>
      <c r="AA248">
        <v>0</v>
      </c>
      <c r="AB248">
        <v>0</v>
      </c>
      <c r="AC248">
        <v>0</v>
      </c>
      <c r="AD248">
        <v>0</v>
      </c>
      <c r="AE248">
        <v>0</v>
      </c>
      <c r="AF248">
        <v>0</v>
      </c>
      <c r="AG248">
        <v>0</v>
      </c>
      <c r="AH248">
        <f t="shared" si="2"/>
        <v>40</v>
      </c>
      <c r="AI248" s="76">
        <f t="shared" si="3"/>
        <v>1.1594740625652204E-4</v>
      </c>
    </row>
    <row r="249" spans="1:35" x14ac:dyDescent="0.2">
      <c r="A249" t="s">
        <v>775</v>
      </c>
      <c r="B249" t="s">
        <v>710</v>
      </c>
      <c r="C249">
        <v>0.76328905347688203</v>
      </c>
      <c r="D249">
        <v>0</v>
      </c>
      <c r="E249">
        <v>17</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11</v>
      </c>
      <c r="AF249">
        <v>12</v>
      </c>
      <c r="AG249">
        <v>0</v>
      </c>
      <c r="AH249">
        <f t="shared" si="2"/>
        <v>40</v>
      </c>
      <c r="AI249" s="76">
        <f t="shared" si="3"/>
        <v>1.1594740625652204E-4</v>
      </c>
    </row>
    <row r="250" spans="1:35" x14ac:dyDescent="0.2">
      <c r="A250" t="s">
        <v>776</v>
      </c>
      <c r="B250" t="s">
        <v>527</v>
      </c>
      <c r="C250">
        <v>0.99652202197094097</v>
      </c>
      <c r="D250">
        <v>0</v>
      </c>
      <c r="E250">
        <v>15</v>
      </c>
      <c r="F250">
        <v>0</v>
      </c>
      <c r="G250">
        <v>0</v>
      </c>
      <c r="H250">
        <v>14</v>
      </c>
      <c r="I250">
        <v>0</v>
      </c>
      <c r="J250">
        <v>0</v>
      </c>
      <c r="K250">
        <v>0</v>
      </c>
      <c r="L250">
        <v>0</v>
      </c>
      <c r="M250">
        <v>0</v>
      </c>
      <c r="N250">
        <v>0</v>
      </c>
      <c r="O250">
        <v>0</v>
      </c>
      <c r="P250">
        <v>0</v>
      </c>
      <c r="Q250">
        <v>0</v>
      </c>
      <c r="R250">
        <v>0</v>
      </c>
      <c r="S250">
        <v>0</v>
      </c>
      <c r="T250">
        <v>0</v>
      </c>
      <c r="U250">
        <v>10</v>
      </c>
      <c r="V250">
        <v>0</v>
      </c>
      <c r="W250">
        <v>0</v>
      </c>
      <c r="X250">
        <v>0</v>
      </c>
      <c r="Y250">
        <v>0</v>
      </c>
      <c r="Z250">
        <v>0</v>
      </c>
      <c r="AA250">
        <v>0</v>
      </c>
      <c r="AB250">
        <v>0</v>
      </c>
      <c r="AC250">
        <v>0</v>
      </c>
      <c r="AD250">
        <v>0</v>
      </c>
      <c r="AE250">
        <v>0</v>
      </c>
      <c r="AF250">
        <v>0</v>
      </c>
      <c r="AG250">
        <v>0</v>
      </c>
      <c r="AH250">
        <f t="shared" si="2"/>
        <v>39</v>
      </c>
      <c r="AI250" s="76">
        <f t="shared" si="3"/>
        <v>1.1304872110010899E-4</v>
      </c>
    </row>
    <row r="251" spans="1:35" x14ac:dyDescent="0.2">
      <c r="A251" t="s">
        <v>777</v>
      </c>
      <c r="B251" t="s">
        <v>528</v>
      </c>
      <c r="C251">
        <v>0.99957771656415395</v>
      </c>
      <c r="D251">
        <v>0</v>
      </c>
      <c r="E251">
        <v>0</v>
      </c>
      <c r="F251">
        <v>23</v>
      </c>
      <c r="G251">
        <v>0</v>
      </c>
      <c r="H251">
        <v>8</v>
      </c>
      <c r="I251">
        <v>0</v>
      </c>
      <c r="J251">
        <v>0</v>
      </c>
      <c r="K251">
        <v>0</v>
      </c>
      <c r="L251">
        <v>8</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f t="shared" si="2"/>
        <v>39</v>
      </c>
      <c r="AI251" s="76">
        <f t="shared" si="3"/>
        <v>1.1304872110010899E-4</v>
      </c>
    </row>
    <row r="252" spans="1:35" x14ac:dyDescent="0.2">
      <c r="A252" t="s">
        <v>778</v>
      </c>
      <c r="B252" t="s">
        <v>710</v>
      </c>
      <c r="C252">
        <v>0.74467589598057404</v>
      </c>
      <c r="D252">
        <v>0</v>
      </c>
      <c r="E252">
        <v>18</v>
      </c>
      <c r="F252">
        <v>10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10</v>
      </c>
      <c r="AG252">
        <v>0</v>
      </c>
      <c r="AH252">
        <f t="shared" si="2"/>
        <v>38</v>
      </c>
      <c r="AI252" s="76">
        <f t="shared" si="3"/>
        <v>1.1015003594369594E-4</v>
      </c>
    </row>
    <row r="253" spans="1:35" x14ac:dyDescent="0.2">
      <c r="A253" t="s">
        <v>779</v>
      </c>
      <c r="B253" t="s">
        <v>710</v>
      </c>
      <c r="C253">
        <v>0.80095147579127202</v>
      </c>
      <c r="D253">
        <v>0</v>
      </c>
      <c r="E253">
        <v>0</v>
      </c>
      <c r="F253">
        <v>0</v>
      </c>
      <c r="G253">
        <v>0</v>
      </c>
      <c r="H253">
        <v>0</v>
      </c>
      <c r="I253">
        <v>10</v>
      </c>
      <c r="J253">
        <v>0</v>
      </c>
      <c r="K253">
        <v>0</v>
      </c>
      <c r="L253">
        <v>0</v>
      </c>
      <c r="M253">
        <v>0</v>
      </c>
      <c r="N253">
        <v>0</v>
      </c>
      <c r="O253">
        <v>0</v>
      </c>
      <c r="P253">
        <v>0</v>
      </c>
      <c r="Q253">
        <v>0</v>
      </c>
      <c r="R253">
        <v>0</v>
      </c>
      <c r="S253">
        <v>0</v>
      </c>
      <c r="T253">
        <v>0</v>
      </c>
      <c r="U253">
        <v>0</v>
      </c>
      <c r="V253">
        <v>18</v>
      </c>
      <c r="W253">
        <v>0</v>
      </c>
      <c r="X253">
        <v>0</v>
      </c>
      <c r="Y253">
        <v>0</v>
      </c>
      <c r="Z253">
        <v>9</v>
      </c>
      <c r="AA253">
        <v>0</v>
      </c>
      <c r="AB253">
        <v>0</v>
      </c>
      <c r="AC253">
        <v>0</v>
      </c>
      <c r="AD253">
        <v>0</v>
      </c>
      <c r="AE253">
        <v>0</v>
      </c>
      <c r="AF253">
        <v>0</v>
      </c>
      <c r="AG253">
        <v>0</v>
      </c>
      <c r="AH253">
        <f t="shared" si="2"/>
        <v>37</v>
      </c>
      <c r="AI253" s="76">
        <f t="shared" si="3"/>
        <v>1.072513507872829E-4</v>
      </c>
    </row>
    <row r="254" spans="1:35" x14ac:dyDescent="0.2">
      <c r="A254" t="s">
        <v>780</v>
      </c>
      <c r="B254" t="s">
        <v>561</v>
      </c>
      <c r="C254">
        <v>0.99999962714105795</v>
      </c>
      <c r="D254">
        <v>0</v>
      </c>
      <c r="E254">
        <v>0</v>
      </c>
      <c r="F254">
        <v>0</v>
      </c>
      <c r="G254">
        <v>0</v>
      </c>
      <c r="H254">
        <v>0</v>
      </c>
      <c r="I254">
        <v>0</v>
      </c>
      <c r="J254">
        <v>0</v>
      </c>
      <c r="K254">
        <v>0</v>
      </c>
      <c r="L254">
        <v>0</v>
      </c>
      <c r="M254">
        <v>0</v>
      </c>
      <c r="N254">
        <v>0</v>
      </c>
      <c r="O254">
        <v>0</v>
      </c>
      <c r="P254">
        <v>0</v>
      </c>
      <c r="Q254">
        <v>13</v>
      </c>
      <c r="R254">
        <v>0</v>
      </c>
      <c r="S254">
        <v>0</v>
      </c>
      <c r="T254">
        <v>0</v>
      </c>
      <c r="U254">
        <v>24</v>
      </c>
      <c r="V254">
        <v>0</v>
      </c>
      <c r="W254">
        <v>0</v>
      </c>
      <c r="X254">
        <v>0</v>
      </c>
      <c r="Y254">
        <v>0</v>
      </c>
      <c r="Z254">
        <v>0</v>
      </c>
      <c r="AA254">
        <v>0</v>
      </c>
      <c r="AB254">
        <v>0</v>
      </c>
      <c r="AC254">
        <v>0</v>
      </c>
      <c r="AD254">
        <v>0</v>
      </c>
      <c r="AE254">
        <v>0</v>
      </c>
      <c r="AF254">
        <v>0</v>
      </c>
      <c r="AG254">
        <v>0</v>
      </c>
      <c r="AH254">
        <f t="shared" ref="AH254:AH286" si="4">SUM(D254:AG254)</f>
        <v>37</v>
      </c>
      <c r="AI254" s="76">
        <f t="shared" si="3"/>
        <v>1.072513507872829E-4</v>
      </c>
    </row>
    <row r="255" spans="1:35" x14ac:dyDescent="0.2">
      <c r="A255" t="s">
        <v>671</v>
      </c>
      <c r="B255" t="s">
        <v>527</v>
      </c>
      <c r="C255">
        <v>0.99848732039335897</v>
      </c>
      <c r="D255">
        <v>10</v>
      </c>
      <c r="E255">
        <v>9</v>
      </c>
      <c r="F255">
        <v>0</v>
      </c>
      <c r="G255">
        <v>0</v>
      </c>
      <c r="H255">
        <v>0</v>
      </c>
      <c r="I255">
        <v>0</v>
      </c>
      <c r="J255">
        <v>0</v>
      </c>
      <c r="K255">
        <v>0</v>
      </c>
      <c r="L255">
        <v>0</v>
      </c>
      <c r="M255">
        <v>8</v>
      </c>
      <c r="N255">
        <v>0</v>
      </c>
      <c r="O255">
        <v>0</v>
      </c>
      <c r="P255">
        <v>0</v>
      </c>
      <c r="Q255">
        <v>0</v>
      </c>
      <c r="R255">
        <v>0</v>
      </c>
      <c r="S255">
        <v>0</v>
      </c>
      <c r="T255">
        <v>0</v>
      </c>
      <c r="U255">
        <v>9</v>
      </c>
      <c r="V255">
        <v>0</v>
      </c>
      <c r="W255">
        <v>0</v>
      </c>
      <c r="X255">
        <v>0</v>
      </c>
      <c r="Y255">
        <v>0</v>
      </c>
      <c r="Z255">
        <v>0</v>
      </c>
      <c r="AA255">
        <v>0</v>
      </c>
      <c r="AB255">
        <v>0</v>
      </c>
      <c r="AC255">
        <v>0</v>
      </c>
      <c r="AD255">
        <v>0</v>
      </c>
      <c r="AE255">
        <v>0</v>
      </c>
      <c r="AF255">
        <v>0</v>
      </c>
      <c r="AG255">
        <v>0</v>
      </c>
      <c r="AH255">
        <f t="shared" si="4"/>
        <v>36</v>
      </c>
      <c r="AI255" s="76">
        <f t="shared" si="3"/>
        <v>1.0435266563086983E-4</v>
      </c>
    </row>
    <row r="256" spans="1:35" x14ac:dyDescent="0.2">
      <c r="A256" t="s">
        <v>781</v>
      </c>
      <c r="B256" t="s">
        <v>527</v>
      </c>
      <c r="C256">
        <v>0.99730198654333502</v>
      </c>
      <c r="D256">
        <v>0</v>
      </c>
      <c r="E256">
        <v>9</v>
      </c>
      <c r="F256">
        <v>9</v>
      </c>
      <c r="G256">
        <v>0</v>
      </c>
      <c r="H256">
        <v>0</v>
      </c>
      <c r="I256">
        <v>0</v>
      </c>
      <c r="J256">
        <v>0</v>
      </c>
      <c r="K256">
        <v>8</v>
      </c>
      <c r="L256">
        <v>0</v>
      </c>
      <c r="M256">
        <v>0</v>
      </c>
      <c r="N256">
        <v>10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f t="shared" si="4"/>
        <v>36</v>
      </c>
      <c r="AI256" s="76">
        <f t="shared" si="3"/>
        <v>1.0435266563086983E-4</v>
      </c>
    </row>
    <row r="257" spans="1:35" x14ac:dyDescent="0.2">
      <c r="A257" t="s">
        <v>694</v>
      </c>
      <c r="B257" t="s">
        <v>527</v>
      </c>
      <c r="C257">
        <v>0.99290043630453395</v>
      </c>
      <c r="D257">
        <v>8</v>
      </c>
      <c r="E257">
        <v>0</v>
      </c>
      <c r="F257">
        <v>0</v>
      </c>
      <c r="G257">
        <v>0</v>
      </c>
      <c r="H257">
        <v>9</v>
      </c>
      <c r="I257">
        <v>0</v>
      </c>
      <c r="J257">
        <v>0</v>
      </c>
      <c r="K257">
        <v>9</v>
      </c>
      <c r="L257">
        <v>8</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f t="shared" si="4"/>
        <v>34</v>
      </c>
      <c r="AI257" s="76">
        <f t="shared" si="3"/>
        <v>9.8555295318043736E-5</v>
      </c>
    </row>
    <row r="258" spans="1:35" x14ac:dyDescent="0.2">
      <c r="A258" t="s">
        <v>668</v>
      </c>
      <c r="B258" t="s">
        <v>527</v>
      </c>
      <c r="C258">
        <v>0.99880349395091395</v>
      </c>
      <c r="D258">
        <v>0</v>
      </c>
      <c r="E258">
        <v>0</v>
      </c>
      <c r="F258">
        <v>0</v>
      </c>
      <c r="G258">
        <v>0</v>
      </c>
      <c r="H258">
        <v>0</v>
      </c>
      <c r="I258">
        <v>11</v>
      </c>
      <c r="J258">
        <v>0</v>
      </c>
      <c r="K258">
        <v>12</v>
      </c>
      <c r="L258">
        <v>0</v>
      </c>
      <c r="M258">
        <v>0</v>
      </c>
      <c r="N258">
        <v>0</v>
      </c>
      <c r="O258">
        <v>0</v>
      </c>
      <c r="P258">
        <v>0</v>
      </c>
      <c r="Q258">
        <v>0</v>
      </c>
      <c r="R258">
        <v>0</v>
      </c>
      <c r="S258">
        <v>0</v>
      </c>
      <c r="T258">
        <v>0</v>
      </c>
      <c r="U258">
        <v>11</v>
      </c>
      <c r="V258">
        <v>0</v>
      </c>
      <c r="W258">
        <v>0</v>
      </c>
      <c r="X258">
        <v>0</v>
      </c>
      <c r="Y258">
        <v>0</v>
      </c>
      <c r="Z258">
        <v>0</v>
      </c>
      <c r="AA258">
        <v>0</v>
      </c>
      <c r="AB258">
        <v>0</v>
      </c>
      <c r="AC258">
        <v>0</v>
      </c>
      <c r="AD258">
        <v>0</v>
      </c>
      <c r="AE258">
        <v>0</v>
      </c>
      <c r="AF258">
        <v>0</v>
      </c>
      <c r="AG258">
        <v>0</v>
      </c>
      <c r="AH258">
        <f t="shared" si="4"/>
        <v>34</v>
      </c>
      <c r="AI258" s="76">
        <f t="shared" si="3"/>
        <v>9.8555295318043736E-5</v>
      </c>
    </row>
    <row r="259" spans="1:35" x14ac:dyDescent="0.2">
      <c r="A259" t="s">
        <v>782</v>
      </c>
      <c r="B259" t="s">
        <v>536</v>
      </c>
      <c r="C259">
        <v>0.96783521886414603</v>
      </c>
      <c r="D259">
        <v>0</v>
      </c>
      <c r="E259">
        <v>0</v>
      </c>
      <c r="F259">
        <v>0</v>
      </c>
      <c r="G259">
        <v>0</v>
      </c>
      <c r="H259">
        <v>0</v>
      </c>
      <c r="I259">
        <v>0</v>
      </c>
      <c r="J259">
        <v>0</v>
      </c>
      <c r="K259">
        <v>0</v>
      </c>
      <c r="L259">
        <v>0</v>
      </c>
      <c r="M259">
        <v>0</v>
      </c>
      <c r="N259">
        <v>0</v>
      </c>
      <c r="O259">
        <v>0</v>
      </c>
      <c r="P259">
        <v>0</v>
      </c>
      <c r="Q259">
        <v>0</v>
      </c>
      <c r="R259">
        <v>11</v>
      </c>
      <c r="S259">
        <v>11</v>
      </c>
      <c r="T259">
        <v>0</v>
      </c>
      <c r="U259">
        <v>0</v>
      </c>
      <c r="V259">
        <v>0</v>
      </c>
      <c r="W259">
        <v>11</v>
      </c>
      <c r="X259">
        <v>0</v>
      </c>
      <c r="Y259">
        <v>0</v>
      </c>
      <c r="Z259">
        <v>0</v>
      </c>
      <c r="AA259">
        <v>0</v>
      </c>
      <c r="AB259">
        <v>0</v>
      </c>
      <c r="AC259">
        <v>0</v>
      </c>
      <c r="AD259">
        <v>0</v>
      </c>
      <c r="AE259">
        <v>0</v>
      </c>
      <c r="AF259">
        <v>0</v>
      </c>
      <c r="AG259">
        <v>0</v>
      </c>
      <c r="AH259">
        <f t="shared" si="4"/>
        <v>33</v>
      </c>
      <c r="AI259" s="76">
        <f t="shared" si="3"/>
        <v>9.5656610161630687E-5</v>
      </c>
    </row>
    <row r="260" spans="1:35" x14ac:dyDescent="0.2">
      <c r="A260" t="s">
        <v>783</v>
      </c>
      <c r="B260" t="s">
        <v>527</v>
      </c>
      <c r="C260">
        <v>0.99661405513071</v>
      </c>
      <c r="D260">
        <v>0</v>
      </c>
      <c r="E260">
        <v>0</v>
      </c>
      <c r="F260">
        <v>0</v>
      </c>
      <c r="G260">
        <v>0</v>
      </c>
      <c r="H260">
        <v>10</v>
      </c>
      <c r="I260">
        <v>0</v>
      </c>
      <c r="J260">
        <v>0</v>
      </c>
      <c r="K260">
        <v>0</v>
      </c>
      <c r="L260">
        <v>0</v>
      </c>
      <c r="M260">
        <v>0</v>
      </c>
      <c r="N260">
        <v>0</v>
      </c>
      <c r="O260">
        <v>0</v>
      </c>
      <c r="P260">
        <v>0</v>
      </c>
      <c r="Q260">
        <v>0</v>
      </c>
      <c r="R260">
        <v>0</v>
      </c>
      <c r="S260">
        <v>0</v>
      </c>
      <c r="T260">
        <v>0</v>
      </c>
      <c r="U260">
        <v>14</v>
      </c>
      <c r="V260">
        <v>0</v>
      </c>
      <c r="W260">
        <v>0</v>
      </c>
      <c r="X260">
        <v>0</v>
      </c>
      <c r="Y260">
        <v>0</v>
      </c>
      <c r="Z260">
        <v>0</v>
      </c>
      <c r="AA260">
        <v>0</v>
      </c>
      <c r="AB260">
        <v>0</v>
      </c>
      <c r="AC260">
        <v>8</v>
      </c>
      <c r="AD260">
        <v>0</v>
      </c>
      <c r="AE260">
        <v>0</v>
      </c>
      <c r="AF260">
        <v>0</v>
      </c>
      <c r="AG260">
        <v>0</v>
      </c>
      <c r="AH260">
        <f t="shared" si="4"/>
        <v>32</v>
      </c>
      <c r="AI260" s="76">
        <f t="shared" si="3"/>
        <v>9.2757925005217638E-5</v>
      </c>
    </row>
    <row r="261" spans="1:35" x14ac:dyDescent="0.2">
      <c r="A261" t="s">
        <v>546</v>
      </c>
      <c r="B261" t="s">
        <v>531</v>
      </c>
      <c r="C261">
        <v>0.99772223553628303</v>
      </c>
      <c r="D261">
        <v>0</v>
      </c>
      <c r="E261">
        <v>0</v>
      </c>
      <c r="F261">
        <v>0</v>
      </c>
      <c r="G261">
        <v>0</v>
      </c>
      <c r="H261">
        <v>0</v>
      </c>
      <c r="I261">
        <v>0</v>
      </c>
      <c r="J261">
        <v>0</v>
      </c>
      <c r="K261">
        <v>20</v>
      </c>
      <c r="L261">
        <v>0</v>
      </c>
      <c r="M261">
        <v>0</v>
      </c>
      <c r="N261">
        <v>0</v>
      </c>
      <c r="O261">
        <v>0</v>
      </c>
      <c r="P261">
        <v>0</v>
      </c>
      <c r="Q261">
        <v>0</v>
      </c>
      <c r="R261">
        <v>0</v>
      </c>
      <c r="S261">
        <v>0</v>
      </c>
      <c r="T261">
        <v>0</v>
      </c>
      <c r="U261">
        <v>0</v>
      </c>
      <c r="V261">
        <v>0</v>
      </c>
      <c r="W261">
        <v>8</v>
      </c>
      <c r="X261">
        <v>0</v>
      </c>
      <c r="Y261">
        <v>0</v>
      </c>
      <c r="Z261">
        <v>0</v>
      </c>
      <c r="AA261">
        <v>0</v>
      </c>
      <c r="AB261">
        <v>0</v>
      </c>
      <c r="AC261">
        <v>0</v>
      </c>
      <c r="AD261">
        <v>0</v>
      </c>
      <c r="AE261">
        <v>0</v>
      </c>
      <c r="AF261">
        <v>0</v>
      </c>
      <c r="AG261">
        <v>3</v>
      </c>
      <c r="AH261">
        <f t="shared" si="4"/>
        <v>31</v>
      </c>
      <c r="AI261" s="76">
        <f t="shared" si="3"/>
        <v>8.9859239848804576E-5</v>
      </c>
    </row>
    <row r="262" spans="1:35" x14ac:dyDescent="0.2">
      <c r="A262" t="s">
        <v>784</v>
      </c>
      <c r="B262" t="s">
        <v>527</v>
      </c>
      <c r="C262">
        <v>0.99829831129192603</v>
      </c>
      <c r="D262">
        <v>0</v>
      </c>
      <c r="E262">
        <v>0</v>
      </c>
      <c r="F262">
        <v>0</v>
      </c>
      <c r="G262">
        <v>0</v>
      </c>
      <c r="H262">
        <v>0</v>
      </c>
      <c r="I262">
        <v>0</v>
      </c>
      <c r="J262">
        <v>11</v>
      </c>
      <c r="K262">
        <v>0</v>
      </c>
      <c r="L262">
        <v>0</v>
      </c>
      <c r="M262">
        <v>0</v>
      </c>
      <c r="N262">
        <v>0</v>
      </c>
      <c r="O262">
        <v>0</v>
      </c>
      <c r="P262">
        <v>0</v>
      </c>
      <c r="Q262">
        <v>0</v>
      </c>
      <c r="R262">
        <v>0</v>
      </c>
      <c r="S262">
        <v>0</v>
      </c>
      <c r="T262">
        <v>0</v>
      </c>
      <c r="U262">
        <v>10</v>
      </c>
      <c r="V262">
        <v>0</v>
      </c>
      <c r="W262">
        <v>0</v>
      </c>
      <c r="X262">
        <v>0</v>
      </c>
      <c r="Y262">
        <v>0</v>
      </c>
      <c r="Z262">
        <v>0</v>
      </c>
      <c r="AA262">
        <v>0</v>
      </c>
      <c r="AB262">
        <v>0</v>
      </c>
      <c r="AC262">
        <v>0</v>
      </c>
      <c r="AD262">
        <v>9</v>
      </c>
      <c r="AE262">
        <v>0</v>
      </c>
      <c r="AF262">
        <v>0</v>
      </c>
      <c r="AG262">
        <v>0</v>
      </c>
      <c r="AH262">
        <f t="shared" si="4"/>
        <v>30</v>
      </c>
      <c r="AI262" s="76">
        <f t="shared" si="3"/>
        <v>8.6960554692391527E-5</v>
      </c>
    </row>
    <row r="263" spans="1:35" x14ac:dyDescent="0.2">
      <c r="A263" t="s">
        <v>785</v>
      </c>
      <c r="B263" t="s">
        <v>701</v>
      </c>
      <c r="C263">
        <v>0.91240436092691801</v>
      </c>
      <c r="D263">
        <v>0</v>
      </c>
      <c r="E263">
        <v>0</v>
      </c>
      <c r="F263">
        <v>0</v>
      </c>
      <c r="G263">
        <v>0</v>
      </c>
      <c r="H263">
        <v>0</v>
      </c>
      <c r="I263">
        <v>0</v>
      </c>
      <c r="J263">
        <v>0</v>
      </c>
      <c r="K263">
        <v>0</v>
      </c>
      <c r="L263">
        <v>0</v>
      </c>
      <c r="M263">
        <v>0</v>
      </c>
      <c r="N263">
        <v>0</v>
      </c>
      <c r="O263">
        <v>15</v>
      </c>
      <c r="P263">
        <v>0</v>
      </c>
      <c r="Q263">
        <v>0</v>
      </c>
      <c r="R263">
        <v>0</v>
      </c>
      <c r="S263">
        <v>0</v>
      </c>
      <c r="T263">
        <v>0</v>
      </c>
      <c r="U263">
        <v>0</v>
      </c>
      <c r="V263">
        <v>0</v>
      </c>
      <c r="W263">
        <v>0</v>
      </c>
      <c r="X263">
        <v>0</v>
      </c>
      <c r="Y263">
        <v>0</v>
      </c>
      <c r="Z263">
        <v>15</v>
      </c>
      <c r="AA263">
        <v>0</v>
      </c>
      <c r="AB263">
        <v>0</v>
      </c>
      <c r="AC263">
        <v>0</v>
      </c>
      <c r="AD263">
        <v>0</v>
      </c>
      <c r="AE263">
        <v>0</v>
      </c>
      <c r="AF263">
        <v>0</v>
      </c>
      <c r="AG263">
        <v>0</v>
      </c>
      <c r="AH263">
        <f t="shared" si="4"/>
        <v>30</v>
      </c>
      <c r="AI263" s="76">
        <f t="shared" si="3"/>
        <v>8.6960554692391527E-5</v>
      </c>
    </row>
    <row r="264" spans="1:35" x14ac:dyDescent="0.2">
      <c r="A264" s="77" t="s">
        <v>786</v>
      </c>
      <c r="B264" t="s">
        <v>710</v>
      </c>
      <c r="C264">
        <v>0.78263055995444997</v>
      </c>
      <c r="D264">
        <v>0</v>
      </c>
      <c r="E264">
        <v>9</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9</v>
      </c>
      <c r="AF264">
        <v>12</v>
      </c>
      <c r="AG264">
        <v>0</v>
      </c>
      <c r="AH264">
        <f t="shared" si="4"/>
        <v>30</v>
      </c>
      <c r="AI264" s="76">
        <f t="shared" si="3"/>
        <v>8.6960554692391527E-5</v>
      </c>
    </row>
    <row r="265" spans="1:35" x14ac:dyDescent="0.2">
      <c r="A265" s="77" t="s">
        <v>787</v>
      </c>
      <c r="B265" t="s">
        <v>536</v>
      </c>
      <c r="C265">
        <v>0.98074927668676504</v>
      </c>
      <c r="D265">
        <v>0</v>
      </c>
      <c r="E265">
        <v>0</v>
      </c>
      <c r="F265">
        <v>0</v>
      </c>
      <c r="G265">
        <v>0</v>
      </c>
      <c r="H265">
        <v>0</v>
      </c>
      <c r="I265">
        <v>0</v>
      </c>
      <c r="J265">
        <v>0</v>
      </c>
      <c r="K265">
        <v>0</v>
      </c>
      <c r="L265">
        <v>0</v>
      </c>
      <c r="M265">
        <v>0</v>
      </c>
      <c r="N265">
        <v>0</v>
      </c>
      <c r="O265">
        <v>0</v>
      </c>
      <c r="P265">
        <v>0</v>
      </c>
      <c r="Q265">
        <v>0</v>
      </c>
      <c r="R265">
        <v>9</v>
      </c>
      <c r="S265">
        <v>9</v>
      </c>
      <c r="T265">
        <v>0</v>
      </c>
      <c r="U265">
        <v>0</v>
      </c>
      <c r="V265">
        <v>0</v>
      </c>
      <c r="W265">
        <v>11</v>
      </c>
      <c r="X265">
        <v>0</v>
      </c>
      <c r="Y265">
        <v>0</v>
      </c>
      <c r="Z265">
        <v>0</v>
      </c>
      <c r="AA265">
        <v>0</v>
      </c>
      <c r="AB265">
        <v>0</v>
      </c>
      <c r="AC265">
        <v>0</v>
      </c>
      <c r="AD265">
        <v>0</v>
      </c>
      <c r="AE265">
        <v>0</v>
      </c>
      <c r="AF265">
        <v>0</v>
      </c>
      <c r="AG265">
        <v>0</v>
      </c>
      <c r="AH265">
        <f t="shared" si="4"/>
        <v>29</v>
      </c>
      <c r="AI265" s="76">
        <f t="shared" si="3"/>
        <v>8.4061869535978479E-5</v>
      </c>
    </row>
    <row r="266" spans="1:35" x14ac:dyDescent="0.2">
      <c r="A266" t="s">
        <v>788</v>
      </c>
      <c r="B266" t="s">
        <v>527</v>
      </c>
      <c r="C266">
        <v>0.99832494184653897</v>
      </c>
      <c r="D266">
        <v>0</v>
      </c>
      <c r="E266">
        <v>9</v>
      </c>
      <c r="F266">
        <v>0</v>
      </c>
      <c r="G266">
        <v>0</v>
      </c>
      <c r="H266">
        <v>0</v>
      </c>
      <c r="I266">
        <v>0</v>
      </c>
      <c r="J266">
        <v>0</v>
      </c>
      <c r="K266">
        <v>0</v>
      </c>
      <c r="L266">
        <v>10</v>
      </c>
      <c r="M266">
        <v>0</v>
      </c>
      <c r="N266">
        <v>0</v>
      </c>
      <c r="O266">
        <v>0</v>
      </c>
      <c r="P266">
        <v>0</v>
      </c>
      <c r="Q266">
        <v>0</v>
      </c>
      <c r="R266">
        <v>0</v>
      </c>
      <c r="S266">
        <v>0</v>
      </c>
      <c r="T266">
        <v>0</v>
      </c>
      <c r="U266">
        <v>9</v>
      </c>
      <c r="V266">
        <v>0</v>
      </c>
      <c r="W266">
        <v>0</v>
      </c>
      <c r="X266">
        <v>0</v>
      </c>
      <c r="Y266">
        <v>0</v>
      </c>
      <c r="Z266">
        <v>0</v>
      </c>
      <c r="AA266">
        <v>0</v>
      </c>
      <c r="AB266">
        <v>0</v>
      </c>
      <c r="AC266">
        <v>0</v>
      </c>
      <c r="AD266">
        <v>0</v>
      </c>
      <c r="AE266">
        <v>0</v>
      </c>
      <c r="AF266">
        <v>0</v>
      </c>
      <c r="AG266">
        <v>0</v>
      </c>
      <c r="AH266">
        <f t="shared" si="4"/>
        <v>28</v>
      </c>
      <c r="AI266" s="76">
        <f t="shared" si="3"/>
        <v>8.116318437956543E-5</v>
      </c>
    </row>
    <row r="267" spans="1:35" x14ac:dyDescent="0.2">
      <c r="A267" t="s">
        <v>789</v>
      </c>
      <c r="B267" t="s">
        <v>561</v>
      </c>
      <c r="C267">
        <v>0.99999969698545899</v>
      </c>
      <c r="D267">
        <v>0</v>
      </c>
      <c r="E267">
        <v>0</v>
      </c>
      <c r="F267">
        <v>0</v>
      </c>
      <c r="G267">
        <v>0</v>
      </c>
      <c r="H267">
        <v>0</v>
      </c>
      <c r="I267">
        <v>0</v>
      </c>
      <c r="J267">
        <v>0</v>
      </c>
      <c r="K267">
        <v>0</v>
      </c>
      <c r="L267">
        <v>0</v>
      </c>
      <c r="M267">
        <v>0</v>
      </c>
      <c r="N267">
        <v>0</v>
      </c>
      <c r="O267">
        <v>0</v>
      </c>
      <c r="P267">
        <v>0</v>
      </c>
      <c r="Q267">
        <v>17</v>
      </c>
      <c r="R267">
        <v>0</v>
      </c>
      <c r="S267">
        <v>0</v>
      </c>
      <c r="T267">
        <v>0</v>
      </c>
      <c r="U267">
        <v>11</v>
      </c>
      <c r="V267">
        <v>0</v>
      </c>
      <c r="W267">
        <v>0</v>
      </c>
      <c r="X267">
        <v>0</v>
      </c>
      <c r="Y267">
        <v>0</v>
      </c>
      <c r="Z267">
        <v>0</v>
      </c>
      <c r="AA267">
        <v>0</v>
      </c>
      <c r="AB267">
        <v>0</v>
      </c>
      <c r="AC267">
        <v>0</v>
      </c>
      <c r="AD267">
        <v>0</v>
      </c>
      <c r="AE267">
        <v>0</v>
      </c>
      <c r="AF267">
        <v>0</v>
      </c>
      <c r="AG267">
        <v>0</v>
      </c>
      <c r="AH267">
        <f t="shared" si="4"/>
        <v>28</v>
      </c>
      <c r="AI267" s="76">
        <f t="shared" si="3"/>
        <v>8.116318437956543E-5</v>
      </c>
    </row>
    <row r="268" spans="1:35" x14ac:dyDescent="0.2">
      <c r="A268" t="s">
        <v>790</v>
      </c>
      <c r="B268" t="s">
        <v>561</v>
      </c>
      <c r="C268">
        <v>0.99999927289394597</v>
      </c>
      <c r="D268">
        <v>0</v>
      </c>
      <c r="E268">
        <v>0</v>
      </c>
      <c r="F268">
        <v>0</v>
      </c>
      <c r="G268">
        <v>0</v>
      </c>
      <c r="H268">
        <v>0</v>
      </c>
      <c r="I268">
        <v>0</v>
      </c>
      <c r="J268">
        <v>0</v>
      </c>
      <c r="K268">
        <v>0</v>
      </c>
      <c r="L268">
        <v>0</v>
      </c>
      <c r="M268">
        <v>0</v>
      </c>
      <c r="N268">
        <v>0</v>
      </c>
      <c r="O268">
        <v>0</v>
      </c>
      <c r="P268">
        <v>0</v>
      </c>
      <c r="Q268">
        <v>12</v>
      </c>
      <c r="R268">
        <v>0</v>
      </c>
      <c r="S268">
        <v>0</v>
      </c>
      <c r="T268">
        <v>0</v>
      </c>
      <c r="U268">
        <v>16</v>
      </c>
      <c r="V268">
        <v>0</v>
      </c>
      <c r="W268">
        <v>0</v>
      </c>
      <c r="X268">
        <v>0</v>
      </c>
      <c r="Y268">
        <v>0</v>
      </c>
      <c r="Z268">
        <v>0</v>
      </c>
      <c r="AA268">
        <v>0</v>
      </c>
      <c r="AB268">
        <v>0</v>
      </c>
      <c r="AC268">
        <v>0</v>
      </c>
      <c r="AD268">
        <v>0</v>
      </c>
      <c r="AE268">
        <v>0</v>
      </c>
      <c r="AF268">
        <v>0</v>
      </c>
      <c r="AG268">
        <v>0</v>
      </c>
      <c r="AH268">
        <f t="shared" si="4"/>
        <v>28</v>
      </c>
      <c r="AI268" s="76">
        <f t="shared" si="3"/>
        <v>8.116318437956543E-5</v>
      </c>
    </row>
    <row r="269" spans="1:35" x14ac:dyDescent="0.2">
      <c r="A269" t="s">
        <v>791</v>
      </c>
      <c r="B269" t="s">
        <v>527</v>
      </c>
      <c r="C269">
        <v>0.99779249177597296</v>
      </c>
      <c r="D269">
        <v>0</v>
      </c>
      <c r="E269">
        <v>0</v>
      </c>
      <c r="F269">
        <v>8</v>
      </c>
      <c r="G269">
        <v>0</v>
      </c>
      <c r="H269">
        <v>0</v>
      </c>
      <c r="I269">
        <v>9</v>
      </c>
      <c r="J269">
        <v>0</v>
      </c>
      <c r="K269">
        <v>0</v>
      </c>
      <c r="L269">
        <v>0</v>
      </c>
      <c r="M269">
        <v>0</v>
      </c>
      <c r="N269">
        <v>0</v>
      </c>
      <c r="O269">
        <v>0</v>
      </c>
      <c r="P269">
        <v>0</v>
      </c>
      <c r="Q269">
        <v>0</v>
      </c>
      <c r="R269">
        <v>0</v>
      </c>
      <c r="S269">
        <v>0</v>
      </c>
      <c r="T269">
        <v>0</v>
      </c>
      <c r="U269">
        <v>10</v>
      </c>
      <c r="V269">
        <v>0</v>
      </c>
      <c r="W269">
        <v>0</v>
      </c>
      <c r="X269">
        <v>0</v>
      </c>
      <c r="Y269">
        <v>0</v>
      </c>
      <c r="Z269">
        <v>0</v>
      </c>
      <c r="AA269">
        <v>0</v>
      </c>
      <c r="AB269">
        <v>0</v>
      </c>
      <c r="AC269">
        <v>0</v>
      </c>
      <c r="AD269">
        <v>0</v>
      </c>
      <c r="AE269">
        <v>0</v>
      </c>
      <c r="AF269">
        <v>0</v>
      </c>
      <c r="AG269">
        <v>0</v>
      </c>
      <c r="AH269">
        <f t="shared" si="4"/>
        <v>27</v>
      </c>
      <c r="AI269" s="76">
        <f t="shared" si="3"/>
        <v>7.8264499223152382E-5</v>
      </c>
    </row>
    <row r="270" spans="1:35" x14ac:dyDescent="0.2">
      <c r="A270" t="s">
        <v>792</v>
      </c>
      <c r="B270" t="s">
        <v>710</v>
      </c>
      <c r="C270">
        <v>0.78500000030915396</v>
      </c>
      <c r="D270">
        <v>0</v>
      </c>
      <c r="E270">
        <v>16</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10</v>
      </c>
      <c r="AG270">
        <v>0</v>
      </c>
      <c r="AH270">
        <f t="shared" si="4"/>
        <v>26</v>
      </c>
      <c r="AI270" s="76">
        <f t="shared" si="3"/>
        <v>7.5365814066739333E-5</v>
      </c>
    </row>
    <row r="271" spans="1:35" x14ac:dyDescent="0.2">
      <c r="A271" t="s">
        <v>793</v>
      </c>
      <c r="B271" t="s">
        <v>710</v>
      </c>
      <c r="C271">
        <v>0.890682775282992</v>
      </c>
      <c r="D271">
        <v>0</v>
      </c>
      <c r="E271">
        <v>0</v>
      </c>
      <c r="F271">
        <v>0</v>
      </c>
      <c r="G271">
        <v>0</v>
      </c>
      <c r="H271">
        <v>0</v>
      </c>
      <c r="I271">
        <v>0</v>
      </c>
      <c r="J271">
        <v>0</v>
      </c>
      <c r="K271">
        <v>0</v>
      </c>
      <c r="L271">
        <v>0</v>
      </c>
      <c r="M271">
        <v>0</v>
      </c>
      <c r="N271">
        <v>0</v>
      </c>
      <c r="O271">
        <v>0</v>
      </c>
      <c r="P271">
        <v>0</v>
      </c>
      <c r="Q271">
        <v>0</v>
      </c>
      <c r="R271">
        <v>0</v>
      </c>
      <c r="S271">
        <v>0</v>
      </c>
      <c r="T271">
        <v>0</v>
      </c>
      <c r="U271">
        <v>0</v>
      </c>
      <c r="V271">
        <v>16</v>
      </c>
      <c r="W271">
        <v>0</v>
      </c>
      <c r="X271">
        <v>0</v>
      </c>
      <c r="Y271">
        <v>0</v>
      </c>
      <c r="Z271">
        <v>9</v>
      </c>
      <c r="AA271">
        <v>0</v>
      </c>
      <c r="AB271">
        <v>0</v>
      </c>
      <c r="AC271">
        <v>0</v>
      </c>
      <c r="AD271">
        <v>0</v>
      </c>
      <c r="AE271">
        <v>0</v>
      </c>
      <c r="AF271">
        <v>0</v>
      </c>
      <c r="AG271">
        <v>0</v>
      </c>
      <c r="AH271">
        <f t="shared" si="4"/>
        <v>25</v>
      </c>
      <c r="AI271" s="76">
        <f t="shared" si="3"/>
        <v>7.2467128910326271E-5</v>
      </c>
    </row>
    <row r="272" spans="1:35" x14ac:dyDescent="0.2">
      <c r="A272" t="s">
        <v>794</v>
      </c>
      <c r="B272" t="s">
        <v>710</v>
      </c>
      <c r="C272">
        <v>0.88891527066481402</v>
      </c>
      <c r="D272">
        <v>0</v>
      </c>
      <c r="E272">
        <v>0</v>
      </c>
      <c r="F272">
        <v>0</v>
      </c>
      <c r="G272">
        <v>0</v>
      </c>
      <c r="H272">
        <v>0</v>
      </c>
      <c r="I272">
        <v>0</v>
      </c>
      <c r="J272">
        <v>0</v>
      </c>
      <c r="K272">
        <v>0</v>
      </c>
      <c r="L272">
        <v>0</v>
      </c>
      <c r="M272">
        <v>0</v>
      </c>
      <c r="N272">
        <v>0</v>
      </c>
      <c r="O272">
        <v>0</v>
      </c>
      <c r="P272">
        <v>0</v>
      </c>
      <c r="Q272">
        <v>0</v>
      </c>
      <c r="R272">
        <v>0</v>
      </c>
      <c r="S272">
        <v>0</v>
      </c>
      <c r="T272">
        <v>0</v>
      </c>
      <c r="U272">
        <v>0</v>
      </c>
      <c r="V272">
        <v>13</v>
      </c>
      <c r="W272">
        <v>0</v>
      </c>
      <c r="X272">
        <v>0</v>
      </c>
      <c r="Y272">
        <v>0</v>
      </c>
      <c r="Z272">
        <v>11</v>
      </c>
      <c r="AA272">
        <v>0</v>
      </c>
      <c r="AB272">
        <v>0</v>
      </c>
      <c r="AC272">
        <v>0</v>
      </c>
      <c r="AD272">
        <v>0</v>
      </c>
      <c r="AE272">
        <v>0</v>
      </c>
      <c r="AF272">
        <v>0</v>
      </c>
      <c r="AG272">
        <v>0</v>
      </c>
      <c r="AH272">
        <f t="shared" si="4"/>
        <v>24</v>
      </c>
      <c r="AI272" s="76">
        <f t="shared" si="3"/>
        <v>6.9568443753913222E-5</v>
      </c>
    </row>
    <row r="273" spans="1:35" x14ac:dyDescent="0.2">
      <c r="A273" t="s">
        <v>795</v>
      </c>
      <c r="B273" t="s">
        <v>527</v>
      </c>
      <c r="C273">
        <v>0.99755788527221101</v>
      </c>
      <c r="D273">
        <v>0</v>
      </c>
      <c r="E273">
        <v>0</v>
      </c>
      <c r="F273">
        <v>0</v>
      </c>
      <c r="G273">
        <v>0</v>
      </c>
      <c r="H273">
        <v>13</v>
      </c>
      <c r="I273">
        <v>0</v>
      </c>
      <c r="J273">
        <v>0</v>
      </c>
      <c r="K273">
        <v>10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f t="shared" si="4"/>
        <v>23</v>
      </c>
      <c r="AI273" s="76">
        <f t="shared" si="3"/>
        <v>6.6669758597500173E-5</v>
      </c>
    </row>
    <row r="274" spans="1:35" x14ac:dyDescent="0.2">
      <c r="A274" t="s">
        <v>796</v>
      </c>
      <c r="B274" t="s">
        <v>527</v>
      </c>
      <c r="C274">
        <v>0.998333406553358</v>
      </c>
      <c r="D274">
        <v>0</v>
      </c>
      <c r="E274">
        <v>0</v>
      </c>
      <c r="F274">
        <v>0</v>
      </c>
      <c r="G274">
        <v>0</v>
      </c>
      <c r="H274">
        <v>0</v>
      </c>
      <c r="I274">
        <v>0</v>
      </c>
      <c r="J274">
        <v>10</v>
      </c>
      <c r="K274">
        <v>0</v>
      </c>
      <c r="L274">
        <v>0</v>
      </c>
      <c r="M274">
        <v>0</v>
      </c>
      <c r="N274">
        <v>0</v>
      </c>
      <c r="O274">
        <v>0</v>
      </c>
      <c r="P274">
        <v>0</v>
      </c>
      <c r="Q274">
        <v>0</v>
      </c>
      <c r="R274">
        <v>0</v>
      </c>
      <c r="S274">
        <v>0</v>
      </c>
      <c r="T274">
        <v>0</v>
      </c>
      <c r="U274">
        <v>13</v>
      </c>
      <c r="V274">
        <v>0</v>
      </c>
      <c r="W274">
        <v>0</v>
      </c>
      <c r="X274">
        <v>0</v>
      </c>
      <c r="Y274">
        <v>0</v>
      </c>
      <c r="Z274">
        <v>0</v>
      </c>
      <c r="AA274">
        <v>0</v>
      </c>
      <c r="AB274">
        <v>0</v>
      </c>
      <c r="AC274">
        <v>0</v>
      </c>
      <c r="AD274">
        <v>0</v>
      </c>
      <c r="AE274">
        <v>0</v>
      </c>
      <c r="AF274">
        <v>0</v>
      </c>
      <c r="AG274">
        <v>0</v>
      </c>
      <c r="AH274">
        <f t="shared" si="4"/>
        <v>23</v>
      </c>
      <c r="AI274" s="76">
        <f t="shared" si="3"/>
        <v>6.6669758597500173E-5</v>
      </c>
    </row>
    <row r="275" spans="1:35" x14ac:dyDescent="0.2">
      <c r="A275" t="s">
        <v>797</v>
      </c>
      <c r="B275" t="s">
        <v>710</v>
      </c>
      <c r="C275">
        <v>0.890315936171857</v>
      </c>
      <c r="D275">
        <v>0</v>
      </c>
      <c r="E275">
        <v>0</v>
      </c>
      <c r="F275">
        <v>0</v>
      </c>
      <c r="G275">
        <v>0</v>
      </c>
      <c r="H275">
        <v>0</v>
      </c>
      <c r="I275">
        <v>13</v>
      </c>
      <c r="J275">
        <v>0</v>
      </c>
      <c r="K275">
        <v>0</v>
      </c>
      <c r="L275">
        <v>0</v>
      </c>
      <c r="M275">
        <v>0</v>
      </c>
      <c r="N275">
        <v>0</v>
      </c>
      <c r="O275">
        <v>0</v>
      </c>
      <c r="P275">
        <v>0</v>
      </c>
      <c r="Q275">
        <v>0</v>
      </c>
      <c r="R275">
        <v>0</v>
      </c>
      <c r="S275">
        <v>0</v>
      </c>
      <c r="T275">
        <v>0</v>
      </c>
      <c r="U275">
        <v>0</v>
      </c>
      <c r="V275">
        <v>10</v>
      </c>
      <c r="W275">
        <v>0</v>
      </c>
      <c r="X275">
        <v>0</v>
      </c>
      <c r="Y275">
        <v>0</v>
      </c>
      <c r="Z275">
        <v>0</v>
      </c>
      <c r="AA275">
        <v>0</v>
      </c>
      <c r="AB275">
        <v>0</v>
      </c>
      <c r="AC275">
        <v>0</v>
      </c>
      <c r="AD275">
        <v>0</v>
      </c>
      <c r="AE275">
        <v>0</v>
      </c>
      <c r="AF275">
        <v>0</v>
      </c>
      <c r="AG275">
        <v>0</v>
      </c>
      <c r="AH275">
        <f t="shared" si="4"/>
        <v>23</v>
      </c>
      <c r="AI275" s="76">
        <f t="shared" si="3"/>
        <v>6.6669758597500173E-5</v>
      </c>
    </row>
    <row r="276" spans="1:35" x14ac:dyDescent="0.2">
      <c r="A276" t="s">
        <v>798</v>
      </c>
      <c r="B276" t="s">
        <v>561</v>
      </c>
      <c r="C276">
        <v>0.99999971226245898</v>
      </c>
      <c r="D276">
        <v>0</v>
      </c>
      <c r="E276">
        <v>0</v>
      </c>
      <c r="F276">
        <v>0</v>
      </c>
      <c r="G276">
        <v>0</v>
      </c>
      <c r="H276">
        <v>0</v>
      </c>
      <c r="I276">
        <v>0</v>
      </c>
      <c r="J276">
        <v>0</v>
      </c>
      <c r="K276">
        <v>0</v>
      </c>
      <c r="L276">
        <v>0</v>
      </c>
      <c r="M276">
        <v>0</v>
      </c>
      <c r="N276">
        <v>0</v>
      </c>
      <c r="O276">
        <v>0</v>
      </c>
      <c r="P276">
        <v>0</v>
      </c>
      <c r="Q276">
        <v>10</v>
      </c>
      <c r="R276">
        <v>0</v>
      </c>
      <c r="S276">
        <v>0</v>
      </c>
      <c r="T276">
        <v>0</v>
      </c>
      <c r="U276">
        <v>13</v>
      </c>
      <c r="V276">
        <v>0</v>
      </c>
      <c r="W276">
        <v>0</v>
      </c>
      <c r="X276">
        <v>0</v>
      </c>
      <c r="Y276">
        <v>0</v>
      </c>
      <c r="Z276">
        <v>0</v>
      </c>
      <c r="AA276">
        <v>0</v>
      </c>
      <c r="AB276">
        <v>0</v>
      </c>
      <c r="AC276">
        <v>0</v>
      </c>
      <c r="AD276">
        <v>0</v>
      </c>
      <c r="AE276">
        <v>0</v>
      </c>
      <c r="AF276">
        <v>0</v>
      </c>
      <c r="AG276">
        <v>0</v>
      </c>
      <c r="AH276">
        <f t="shared" si="4"/>
        <v>23</v>
      </c>
      <c r="AI276" s="76">
        <f t="shared" si="3"/>
        <v>6.6669758597500173E-5</v>
      </c>
    </row>
    <row r="277" spans="1:35" x14ac:dyDescent="0.2">
      <c r="A277" t="s">
        <v>799</v>
      </c>
      <c r="B277" t="s">
        <v>710</v>
      </c>
      <c r="C277">
        <v>0.90538880424633905</v>
      </c>
      <c r="D277">
        <v>0</v>
      </c>
      <c r="E277">
        <v>0</v>
      </c>
      <c r="F277">
        <v>0</v>
      </c>
      <c r="G277">
        <v>0</v>
      </c>
      <c r="H277">
        <v>0</v>
      </c>
      <c r="I277">
        <v>10</v>
      </c>
      <c r="J277">
        <v>0</v>
      </c>
      <c r="K277">
        <v>0</v>
      </c>
      <c r="L277">
        <v>0</v>
      </c>
      <c r="M277">
        <v>0</v>
      </c>
      <c r="N277">
        <v>0</v>
      </c>
      <c r="O277">
        <v>0</v>
      </c>
      <c r="P277">
        <v>0</v>
      </c>
      <c r="Q277">
        <v>0</v>
      </c>
      <c r="R277">
        <v>0</v>
      </c>
      <c r="S277">
        <v>0</v>
      </c>
      <c r="T277">
        <v>0</v>
      </c>
      <c r="U277">
        <v>0</v>
      </c>
      <c r="V277">
        <v>12</v>
      </c>
      <c r="W277">
        <v>0</v>
      </c>
      <c r="X277">
        <v>0</v>
      </c>
      <c r="Y277">
        <v>0</v>
      </c>
      <c r="Z277">
        <v>0</v>
      </c>
      <c r="AA277">
        <v>0</v>
      </c>
      <c r="AB277">
        <v>0</v>
      </c>
      <c r="AC277">
        <v>0</v>
      </c>
      <c r="AD277">
        <v>0</v>
      </c>
      <c r="AE277">
        <v>0</v>
      </c>
      <c r="AF277">
        <v>0</v>
      </c>
      <c r="AG277">
        <v>0</v>
      </c>
      <c r="AH277">
        <f t="shared" si="4"/>
        <v>22</v>
      </c>
      <c r="AI277" s="76">
        <f t="shared" si="3"/>
        <v>6.3771073441087125E-5</v>
      </c>
    </row>
    <row r="278" spans="1:35" x14ac:dyDescent="0.2">
      <c r="A278" t="s">
        <v>800</v>
      </c>
      <c r="B278" t="s">
        <v>527</v>
      </c>
      <c r="C278">
        <v>0.99850469606230896</v>
      </c>
      <c r="D278">
        <v>0</v>
      </c>
      <c r="E278">
        <v>0</v>
      </c>
      <c r="F278">
        <v>0</v>
      </c>
      <c r="G278">
        <v>0</v>
      </c>
      <c r="H278">
        <v>12</v>
      </c>
      <c r="I278">
        <v>0</v>
      </c>
      <c r="J278">
        <v>0</v>
      </c>
      <c r="K278">
        <v>0</v>
      </c>
      <c r="L278">
        <v>0</v>
      </c>
      <c r="M278">
        <v>0</v>
      </c>
      <c r="N278">
        <v>0</v>
      </c>
      <c r="O278">
        <v>0</v>
      </c>
      <c r="P278">
        <v>0</v>
      </c>
      <c r="Q278">
        <v>0</v>
      </c>
      <c r="R278">
        <v>0</v>
      </c>
      <c r="S278">
        <v>0</v>
      </c>
      <c r="T278">
        <v>0</v>
      </c>
      <c r="U278">
        <v>9</v>
      </c>
      <c r="V278">
        <v>0</v>
      </c>
      <c r="W278">
        <v>0</v>
      </c>
      <c r="X278">
        <v>0</v>
      </c>
      <c r="Y278">
        <v>0</v>
      </c>
      <c r="Z278">
        <v>0</v>
      </c>
      <c r="AA278">
        <v>0</v>
      </c>
      <c r="AB278">
        <v>0</v>
      </c>
      <c r="AC278">
        <v>0</v>
      </c>
      <c r="AD278">
        <v>0</v>
      </c>
      <c r="AE278">
        <v>0</v>
      </c>
      <c r="AF278">
        <v>0</v>
      </c>
      <c r="AG278">
        <v>0</v>
      </c>
      <c r="AH278">
        <f t="shared" si="4"/>
        <v>21</v>
      </c>
      <c r="AI278" s="76">
        <f t="shared" si="3"/>
        <v>6.0872388284674069E-5</v>
      </c>
    </row>
    <row r="279" spans="1:35" x14ac:dyDescent="0.2">
      <c r="A279" t="s">
        <v>801</v>
      </c>
      <c r="B279" t="s">
        <v>710</v>
      </c>
      <c r="C279">
        <v>0.91075918018763002</v>
      </c>
      <c r="D279">
        <v>0</v>
      </c>
      <c r="E279">
        <v>0</v>
      </c>
      <c r="F279">
        <v>0</v>
      </c>
      <c r="G279">
        <v>0</v>
      </c>
      <c r="H279">
        <v>0</v>
      </c>
      <c r="I279">
        <v>12</v>
      </c>
      <c r="J279">
        <v>0</v>
      </c>
      <c r="K279">
        <v>0</v>
      </c>
      <c r="L279">
        <v>0</v>
      </c>
      <c r="M279">
        <v>0</v>
      </c>
      <c r="N279">
        <v>0</v>
      </c>
      <c r="O279">
        <v>0</v>
      </c>
      <c r="P279">
        <v>0</v>
      </c>
      <c r="Q279">
        <v>0</v>
      </c>
      <c r="R279">
        <v>0</v>
      </c>
      <c r="S279">
        <v>0</v>
      </c>
      <c r="T279">
        <v>0</v>
      </c>
      <c r="U279">
        <v>0</v>
      </c>
      <c r="V279">
        <v>0</v>
      </c>
      <c r="W279">
        <v>0</v>
      </c>
      <c r="X279">
        <v>0</v>
      </c>
      <c r="Y279">
        <v>0</v>
      </c>
      <c r="Z279">
        <v>9</v>
      </c>
      <c r="AA279">
        <v>0</v>
      </c>
      <c r="AB279">
        <v>0</v>
      </c>
      <c r="AC279">
        <v>0</v>
      </c>
      <c r="AD279">
        <v>0</v>
      </c>
      <c r="AE279">
        <v>0</v>
      </c>
      <c r="AF279">
        <v>0</v>
      </c>
      <c r="AG279">
        <v>0</v>
      </c>
      <c r="AH279">
        <f t="shared" si="4"/>
        <v>21</v>
      </c>
      <c r="AI279" s="76">
        <f t="shared" si="3"/>
        <v>6.0872388284674069E-5</v>
      </c>
    </row>
    <row r="280" spans="1:35" x14ac:dyDescent="0.2">
      <c r="A280" t="s">
        <v>802</v>
      </c>
      <c r="B280" t="s">
        <v>527</v>
      </c>
      <c r="C280">
        <v>0.99861486888575202</v>
      </c>
      <c r="D280">
        <v>0</v>
      </c>
      <c r="E280">
        <v>0</v>
      </c>
      <c r="F280">
        <v>0</v>
      </c>
      <c r="G280">
        <v>0</v>
      </c>
      <c r="H280">
        <v>10</v>
      </c>
      <c r="I280">
        <v>0</v>
      </c>
      <c r="J280">
        <v>0</v>
      </c>
      <c r="K280">
        <v>0</v>
      </c>
      <c r="L280">
        <v>0</v>
      </c>
      <c r="M280">
        <v>0</v>
      </c>
      <c r="N280">
        <v>0</v>
      </c>
      <c r="O280">
        <v>0</v>
      </c>
      <c r="P280">
        <v>0</v>
      </c>
      <c r="Q280">
        <v>0</v>
      </c>
      <c r="R280">
        <v>0</v>
      </c>
      <c r="S280">
        <v>0</v>
      </c>
      <c r="T280">
        <v>0</v>
      </c>
      <c r="U280">
        <v>10</v>
      </c>
      <c r="V280">
        <v>0</v>
      </c>
      <c r="W280">
        <v>0</v>
      </c>
      <c r="X280">
        <v>0</v>
      </c>
      <c r="Y280">
        <v>0</v>
      </c>
      <c r="Z280">
        <v>0</v>
      </c>
      <c r="AA280">
        <v>0</v>
      </c>
      <c r="AB280">
        <v>0</v>
      </c>
      <c r="AC280">
        <v>0</v>
      </c>
      <c r="AD280">
        <v>0</v>
      </c>
      <c r="AE280">
        <v>0</v>
      </c>
      <c r="AF280">
        <v>0</v>
      </c>
      <c r="AG280">
        <v>0</v>
      </c>
      <c r="AH280">
        <f t="shared" si="4"/>
        <v>20</v>
      </c>
      <c r="AI280" s="76">
        <f t="shared" si="3"/>
        <v>5.7973703128261021E-5</v>
      </c>
    </row>
    <row r="281" spans="1:35" x14ac:dyDescent="0.2">
      <c r="A281" t="s">
        <v>803</v>
      </c>
      <c r="B281" t="s">
        <v>710</v>
      </c>
      <c r="C281">
        <v>0.80236785319166704</v>
      </c>
      <c r="D281">
        <v>0</v>
      </c>
      <c r="E281">
        <v>11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9</v>
      </c>
      <c r="AG281">
        <v>0</v>
      </c>
      <c r="AH281">
        <f t="shared" si="4"/>
        <v>20</v>
      </c>
      <c r="AI281" s="76">
        <f t="shared" si="3"/>
        <v>5.7973703128261021E-5</v>
      </c>
    </row>
    <row r="282" spans="1:35" x14ac:dyDescent="0.2">
      <c r="A282" t="s">
        <v>804</v>
      </c>
      <c r="B282" t="s">
        <v>527</v>
      </c>
      <c r="C282">
        <v>0.99807414168673003</v>
      </c>
      <c r="D282">
        <v>0</v>
      </c>
      <c r="E282">
        <v>10</v>
      </c>
      <c r="F282">
        <v>0</v>
      </c>
      <c r="G282">
        <v>0</v>
      </c>
      <c r="H282">
        <v>0</v>
      </c>
      <c r="I282">
        <v>0</v>
      </c>
      <c r="J282">
        <v>0</v>
      </c>
      <c r="K282">
        <v>0</v>
      </c>
      <c r="L282">
        <v>0</v>
      </c>
      <c r="M282">
        <v>0</v>
      </c>
      <c r="N282">
        <v>0</v>
      </c>
      <c r="O282">
        <v>0</v>
      </c>
      <c r="P282">
        <v>0</v>
      </c>
      <c r="Q282">
        <v>0</v>
      </c>
      <c r="R282">
        <v>0</v>
      </c>
      <c r="S282">
        <v>0</v>
      </c>
      <c r="T282">
        <v>0</v>
      </c>
      <c r="U282">
        <v>9</v>
      </c>
      <c r="V282">
        <v>0</v>
      </c>
      <c r="W282">
        <v>0</v>
      </c>
      <c r="X282">
        <v>0</v>
      </c>
      <c r="Y282">
        <v>0</v>
      </c>
      <c r="Z282">
        <v>0</v>
      </c>
      <c r="AA282">
        <v>0</v>
      </c>
      <c r="AB282">
        <v>0</v>
      </c>
      <c r="AC282">
        <v>0</v>
      </c>
      <c r="AD282">
        <v>0</v>
      </c>
      <c r="AE282">
        <v>0</v>
      </c>
      <c r="AF282">
        <v>0</v>
      </c>
      <c r="AG282">
        <v>0</v>
      </c>
      <c r="AH282">
        <f t="shared" si="4"/>
        <v>19</v>
      </c>
      <c r="AI282" s="76">
        <f t="shared" si="3"/>
        <v>5.5075017971847972E-5</v>
      </c>
    </row>
    <row r="283" spans="1:35" x14ac:dyDescent="0.2">
      <c r="A283" t="s">
        <v>805</v>
      </c>
      <c r="B283" t="s">
        <v>527</v>
      </c>
      <c r="C283">
        <v>0.99823507201554096</v>
      </c>
      <c r="D283">
        <v>0</v>
      </c>
      <c r="E283">
        <v>9</v>
      </c>
      <c r="F283">
        <v>0</v>
      </c>
      <c r="G283">
        <v>0</v>
      </c>
      <c r="H283">
        <v>0</v>
      </c>
      <c r="I283">
        <v>0</v>
      </c>
      <c r="J283">
        <v>10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f t="shared" si="4"/>
        <v>19</v>
      </c>
      <c r="AI283" s="76">
        <f t="shared" si="3"/>
        <v>5.5075017971847972E-5</v>
      </c>
    </row>
    <row r="284" spans="1:35" x14ac:dyDescent="0.2">
      <c r="A284" t="s">
        <v>638</v>
      </c>
      <c r="B284" t="s">
        <v>527</v>
      </c>
      <c r="C284">
        <v>0.99813448449958297</v>
      </c>
      <c r="D284">
        <v>0</v>
      </c>
      <c r="E284">
        <v>0</v>
      </c>
      <c r="F284">
        <v>0</v>
      </c>
      <c r="G284">
        <v>0</v>
      </c>
      <c r="H284">
        <v>9</v>
      </c>
      <c r="I284">
        <v>0</v>
      </c>
      <c r="J284">
        <v>9</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f t="shared" si="4"/>
        <v>18</v>
      </c>
      <c r="AI284" s="76">
        <f t="shared" si="3"/>
        <v>5.2176332815434916E-5</v>
      </c>
    </row>
    <row r="285" spans="1:35" x14ac:dyDescent="0.2">
      <c r="A285" t="s">
        <v>806</v>
      </c>
      <c r="B285" t="s">
        <v>527</v>
      </c>
      <c r="C285">
        <v>0.99767053131700301</v>
      </c>
      <c r="D285">
        <v>0</v>
      </c>
      <c r="E285">
        <v>0</v>
      </c>
      <c r="F285">
        <v>0</v>
      </c>
      <c r="G285">
        <v>0</v>
      </c>
      <c r="H285">
        <v>9</v>
      </c>
      <c r="I285">
        <v>0</v>
      </c>
      <c r="J285">
        <v>0</v>
      </c>
      <c r="K285">
        <v>9</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f t="shared" si="4"/>
        <v>18</v>
      </c>
      <c r="AI285" s="76">
        <f t="shared" si="3"/>
        <v>5.2176332815434916E-5</v>
      </c>
    </row>
    <row r="286" spans="1:35" x14ac:dyDescent="0.2">
      <c r="A286" t="s">
        <v>807</v>
      </c>
      <c r="B286" t="s">
        <v>710</v>
      </c>
      <c r="C286">
        <v>0.90127666460808298</v>
      </c>
      <c r="D286">
        <v>0</v>
      </c>
      <c r="E286">
        <v>0</v>
      </c>
      <c r="F286">
        <v>0</v>
      </c>
      <c r="G286">
        <v>0</v>
      </c>
      <c r="H286">
        <v>0</v>
      </c>
      <c r="I286">
        <v>9</v>
      </c>
      <c r="J286">
        <v>0</v>
      </c>
      <c r="K286">
        <v>0</v>
      </c>
      <c r="L286">
        <v>0</v>
      </c>
      <c r="M286">
        <v>0</v>
      </c>
      <c r="N286">
        <v>0</v>
      </c>
      <c r="O286">
        <v>0</v>
      </c>
      <c r="P286">
        <v>0</v>
      </c>
      <c r="Q286">
        <v>0</v>
      </c>
      <c r="R286">
        <v>0</v>
      </c>
      <c r="S286">
        <v>0</v>
      </c>
      <c r="T286">
        <v>0</v>
      </c>
      <c r="U286">
        <v>0</v>
      </c>
      <c r="V286">
        <v>0</v>
      </c>
      <c r="W286">
        <v>0</v>
      </c>
      <c r="X286">
        <v>0</v>
      </c>
      <c r="Y286">
        <v>0</v>
      </c>
      <c r="Z286">
        <v>8</v>
      </c>
      <c r="AA286">
        <v>0</v>
      </c>
      <c r="AB286">
        <v>0</v>
      </c>
      <c r="AC286">
        <v>0</v>
      </c>
      <c r="AD286">
        <v>0</v>
      </c>
      <c r="AE286">
        <v>0</v>
      </c>
      <c r="AF286">
        <v>0</v>
      </c>
      <c r="AG286">
        <v>0</v>
      </c>
      <c r="AH286">
        <f t="shared" si="4"/>
        <v>17</v>
      </c>
      <c r="AI286" s="76">
        <f t="shared" ref="AI286" si="5">AH286/SUM($AH$2:$AH$154)</f>
        <v>4.9277647659021868E-5</v>
      </c>
    </row>
    <row r="288" spans="1:35" x14ac:dyDescent="0.2">
      <c r="A288" s="15" t="s">
        <v>808</v>
      </c>
    </row>
    <row r="289" spans="1:4" x14ac:dyDescent="0.2">
      <c r="A289" t="s">
        <v>809</v>
      </c>
      <c r="B289" t="s">
        <v>388</v>
      </c>
      <c r="C289" t="s">
        <v>810</v>
      </c>
    </row>
    <row r="290" spans="1:4" x14ac:dyDescent="0.2">
      <c r="A290">
        <v>2021</v>
      </c>
      <c r="B290">
        <v>153</v>
      </c>
      <c r="C290" s="80">
        <v>344992</v>
      </c>
    </row>
    <row r="291" spans="1:4" x14ac:dyDescent="0.2">
      <c r="A291">
        <v>2022</v>
      </c>
      <c r="B291">
        <v>129</v>
      </c>
      <c r="C291" s="80">
        <v>212630</v>
      </c>
    </row>
    <row r="293" spans="1:4" x14ac:dyDescent="0.2">
      <c r="A293" t="s">
        <v>813</v>
      </c>
    </row>
    <row r="295" spans="1:4" x14ac:dyDescent="0.2">
      <c r="A295" t="s">
        <v>809</v>
      </c>
      <c r="B295" t="s">
        <v>388</v>
      </c>
      <c r="C295" t="s">
        <v>810</v>
      </c>
      <c r="D295" t="s">
        <v>811</v>
      </c>
    </row>
    <row r="296" spans="1:4" x14ac:dyDescent="0.2">
      <c r="A296">
        <v>2021</v>
      </c>
      <c r="B296">
        <v>27</v>
      </c>
      <c r="C296">
        <v>129133</v>
      </c>
      <c r="D296" s="76">
        <f>C296/C290</f>
        <v>0.37430723031258695</v>
      </c>
    </row>
    <row r="297" spans="1:4" x14ac:dyDescent="0.2">
      <c r="A297">
        <v>2022</v>
      </c>
      <c r="B297">
        <v>56</v>
      </c>
      <c r="C297">
        <v>105848</v>
      </c>
      <c r="D297" s="76">
        <f>C297/C291</f>
        <v>0.49780369656210316</v>
      </c>
    </row>
    <row r="299" spans="1:4" x14ac:dyDescent="0.2">
      <c r="A299" t="s">
        <v>814</v>
      </c>
    </row>
    <row r="300" spans="1:4" x14ac:dyDescent="0.2">
      <c r="A300" t="s">
        <v>809</v>
      </c>
      <c r="B300" t="s">
        <v>388</v>
      </c>
      <c r="C300" t="s">
        <v>810</v>
      </c>
      <c r="D300" t="s">
        <v>811</v>
      </c>
    </row>
    <row r="301" spans="1:4" x14ac:dyDescent="0.2">
      <c r="A301">
        <v>2021</v>
      </c>
      <c r="B301">
        <v>11</v>
      </c>
      <c r="C301">
        <v>23567</v>
      </c>
      <c r="D301" s="76">
        <f>C301/C290</f>
        <v>6.831172896762823E-2</v>
      </c>
    </row>
    <row r="302" spans="1:4" x14ac:dyDescent="0.2">
      <c r="A302">
        <v>2022</v>
      </c>
      <c r="B302">
        <v>2</v>
      </c>
      <c r="C302">
        <v>1720</v>
      </c>
      <c r="D302" s="76">
        <f>C302/C291</f>
        <v>8.0891689789775664E-3</v>
      </c>
    </row>
    <row r="305" spans="1:6" x14ac:dyDescent="0.2">
      <c r="A305" t="s">
        <v>402</v>
      </c>
    </row>
    <row r="306" spans="1:6" x14ac:dyDescent="0.2">
      <c r="A306" t="s">
        <v>809</v>
      </c>
      <c r="B306" t="s">
        <v>388</v>
      </c>
      <c r="C306" t="s">
        <v>810</v>
      </c>
      <c r="D306" t="s">
        <v>811</v>
      </c>
    </row>
    <row r="307" spans="1:6" x14ac:dyDescent="0.2">
      <c r="A307">
        <v>2021</v>
      </c>
      <c r="B307">
        <v>19</v>
      </c>
      <c r="C307">
        <v>84436</v>
      </c>
      <c r="D307" s="76">
        <f>C307/C290</f>
        <v>0.24474770429459233</v>
      </c>
    </row>
    <row r="308" spans="1:6" x14ac:dyDescent="0.2">
      <c r="A308">
        <v>2022</v>
      </c>
      <c r="B308">
        <v>9</v>
      </c>
      <c r="C308">
        <v>41752</v>
      </c>
      <c r="D308" s="76">
        <f>C308/C291</f>
        <v>0.19635987395946009</v>
      </c>
    </row>
    <row r="309" spans="1:6" x14ac:dyDescent="0.2">
      <c r="B309">
        <f>SUM(B307:B308)</f>
        <v>28</v>
      </c>
      <c r="C309">
        <f>SUM(C307:C308)</f>
        <v>126188</v>
      </c>
    </row>
    <row r="311" spans="1:6" x14ac:dyDescent="0.2">
      <c r="A311" t="s">
        <v>812</v>
      </c>
    </row>
    <row r="312" spans="1:6" x14ac:dyDescent="0.2">
      <c r="A312" t="s">
        <v>809</v>
      </c>
      <c r="B312" t="s">
        <v>388</v>
      </c>
      <c r="C312" t="s">
        <v>810</v>
      </c>
      <c r="D312" t="s">
        <v>811</v>
      </c>
    </row>
    <row r="313" spans="1:6" x14ac:dyDescent="0.2">
      <c r="A313">
        <v>2021</v>
      </c>
      <c r="B313">
        <v>17</v>
      </c>
      <c r="C313">
        <v>22142</v>
      </c>
      <c r="D313" s="76">
        <f>C313/C290</f>
        <v>6.4181198404600681E-2</v>
      </c>
    </row>
    <row r="314" spans="1:6" x14ac:dyDescent="0.2">
      <c r="A314">
        <v>2022</v>
      </c>
      <c r="B314">
        <v>18</v>
      </c>
      <c r="C314">
        <v>16888</v>
      </c>
      <c r="D314" s="76">
        <f>C314/C291</f>
        <v>7.9424352161030901E-2</v>
      </c>
    </row>
    <row r="315" spans="1:6" x14ac:dyDescent="0.2">
      <c r="B315">
        <f>SUM(B313:B314)</f>
        <v>35</v>
      </c>
      <c r="C315">
        <f>SUM(C313:C314)</f>
        <v>39030</v>
      </c>
    </row>
    <row r="317" spans="1:6" x14ac:dyDescent="0.2">
      <c r="A317" s="15" t="s">
        <v>815</v>
      </c>
    </row>
    <row r="319" spans="1:6" x14ac:dyDescent="0.2">
      <c r="A319" s="75" t="s">
        <v>816</v>
      </c>
      <c r="B319" s="75"/>
      <c r="C319" s="75" t="s">
        <v>817</v>
      </c>
      <c r="D319" s="75" t="s">
        <v>818</v>
      </c>
      <c r="E319" s="75" t="s">
        <v>819</v>
      </c>
      <c r="F319" s="75" t="s">
        <v>820</v>
      </c>
    </row>
    <row r="320" spans="1:6" x14ac:dyDescent="0.2">
      <c r="A320" s="74" t="s">
        <v>821</v>
      </c>
      <c r="B320" s="74"/>
      <c r="C320" s="74" t="s">
        <v>1</v>
      </c>
      <c r="D320" s="74" t="s">
        <v>31</v>
      </c>
      <c r="E320" s="81">
        <v>44803</v>
      </c>
      <c r="F320" s="74" t="s">
        <v>822</v>
      </c>
    </row>
    <row r="321" spans="1:6" x14ac:dyDescent="0.2">
      <c r="A321" s="74" t="s">
        <v>823</v>
      </c>
      <c r="B321" s="74"/>
      <c r="C321" s="74" t="s">
        <v>1</v>
      </c>
      <c r="D321" s="74" t="s">
        <v>31</v>
      </c>
      <c r="E321" s="81">
        <v>44803</v>
      </c>
      <c r="F321" s="74" t="s">
        <v>822</v>
      </c>
    </row>
    <row r="322" spans="1:6" x14ac:dyDescent="0.2">
      <c r="A322" s="74" t="s">
        <v>824</v>
      </c>
      <c r="B322" s="74"/>
      <c r="C322" s="74" t="s">
        <v>1</v>
      </c>
      <c r="D322" s="74" t="s">
        <v>31</v>
      </c>
      <c r="E322" s="81">
        <v>44803</v>
      </c>
      <c r="F322" s="74" t="s">
        <v>822</v>
      </c>
    </row>
    <row r="323" spans="1:6" x14ac:dyDescent="0.2">
      <c r="A323" s="74" t="s">
        <v>825</v>
      </c>
      <c r="B323" s="74"/>
      <c r="C323" s="74" t="s">
        <v>1</v>
      </c>
      <c r="D323" s="74" t="s">
        <v>31</v>
      </c>
      <c r="E323" s="81">
        <v>44803</v>
      </c>
      <c r="F323" s="74" t="s">
        <v>822</v>
      </c>
    </row>
    <row r="324" spans="1:6" x14ac:dyDescent="0.2">
      <c r="A324" s="74" t="s">
        <v>826</v>
      </c>
      <c r="B324" s="74"/>
      <c r="C324" s="74" t="s">
        <v>1</v>
      </c>
      <c r="D324" s="74" t="s">
        <v>31</v>
      </c>
      <c r="E324" s="81">
        <v>44803</v>
      </c>
      <c r="F324" s="74" t="s">
        <v>822</v>
      </c>
    </row>
    <row r="325" spans="1:6" x14ac:dyDescent="0.2">
      <c r="A325" s="74" t="s">
        <v>827</v>
      </c>
      <c r="B325" s="74"/>
      <c r="C325" s="74" t="s">
        <v>4</v>
      </c>
      <c r="D325" s="74" t="s">
        <v>47</v>
      </c>
      <c r="E325" s="81">
        <v>44795</v>
      </c>
      <c r="F325" s="74" t="s">
        <v>822</v>
      </c>
    </row>
    <row r="326" spans="1:6" x14ac:dyDescent="0.2">
      <c r="A326" s="74" t="s">
        <v>828</v>
      </c>
      <c r="B326" s="74"/>
      <c r="C326" s="74" t="s">
        <v>4</v>
      </c>
      <c r="D326" s="74" t="s">
        <v>47</v>
      </c>
      <c r="E326" s="81">
        <v>44795</v>
      </c>
      <c r="F326" s="74" t="s">
        <v>822</v>
      </c>
    </row>
    <row r="327" spans="1:6" x14ac:dyDescent="0.2">
      <c r="A327" s="74" t="s">
        <v>829</v>
      </c>
      <c r="B327" s="74"/>
      <c r="C327" s="74" t="s">
        <v>4</v>
      </c>
      <c r="D327" s="74" t="s">
        <v>47</v>
      </c>
      <c r="E327" s="81">
        <v>44795</v>
      </c>
      <c r="F327" s="74" t="s">
        <v>822</v>
      </c>
    </row>
    <row r="328" spans="1:6" x14ac:dyDescent="0.2">
      <c r="A328" s="74" t="s">
        <v>830</v>
      </c>
      <c r="B328" s="74"/>
      <c r="C328" s="74" t="s">
        <v>4</v>
      </c>
      <c r="D328" s="74" t="s">
        <v>47</v>
      </c>
      <c r="E328" s="81">
        <v>44795</v>
      </c>
      <c r="F328" s="74" t="s">
        <v>822</v>
      </c>
    </row>
    <row r="329" spans="1:6" x14ac:dyDescent="0.2">
      <c r="A329" s="74" t="s">
        <v>831</v>
      </c>
      <c r="B329" s="74"/>
      <c r="C329" s="74" t="s">
        <v>4</v>
      </c>
      <c r="D329" s="74" t="s">
        <v>47</v>
      </c>
      <c r="E329" s="81">
        <v>44795</v>
      </c>
      <c r="F329" s="74" t="s">
        <v>822</v>
      </c>
    </row>
    <row r="330" spans="1:6" x14ac:dyDescent="0.2">
      <c r="A330" s="74" t="s">
        <v>832</v>
      </c>
      <c r="B330" s="74"/>
      <c r="C330" s="74" t="s">
        <v>833</v>
      </c>
      <c r="D330" s="74" t="s">
        <v>55</v>
      </c>
      <c r="E330" s="81">
        <v>44785</v>
      </c>
      <c r="F330" s="74" t="s">
        <v>822</v>
      </c>
    </row>
    <row r="331" spans="1:6" x14ac:dyDescent="0.2">
      <c r="A331" s="74" t="s">
        <v>834</v>
      </c>
      <c r="B331" s="74"/>
      <c r="C331" s="74" t="s">
        <v>833</v>
      </c>
      <c r="D331" s="74" t="s">
        <v>55</v>
      </c>
      <c r="E331" s="81">
        <v>44785</v>
      </c>
      <c r="F331" s="74" t="s">
        <v>822</v>
      </c>
    </row>
    <row r="332" spans="1:6" x14ac:dyDescent="0.2">
      <c r="A332" s="74" t="s">
        <v>835</v>
      </c>
      <c r="B332" s="74"/>
      <c r="C332" s="74" t="s">
        <v>833</v>
      </c>
      <c r="D332" s="74" t="s">
        <v>55</v>
      </c>
      <c r="E332" s="81">
        <v>44785</v>
      </c>
      <c r="F332" s="74" t="s">
        <v>822</v>
      </c>
    </row>
    <row r="333" spans="1:6" x14ac:dyDescent="0.2">
      <c r="A333" s="74" t="s">
        <v>836</v>
      </c>
      <c r="B333" s="74"/>
      <c r="C333" s="74" t="s">
        <v>833</v>
      </c>
      <c r="D333" s="74" t="s">
        <v>55</v>
      </c>
      <c r="E333" s="81">
        <v>44785</v>
      </c>
      <c r="F333" s="74" t="s">
        <v>822</v>
      </c>
    </row>
    <row r="334" spans="1:6" x14ac:dyDescent="0.2">
      <c r="A334" s="74" t="s">
        <v>837</v>
      </c>
      <c r="B334" s="74"/>
      <c r="C334" s="74" t="s">
        <v>833</v>
      </c>
      <c r="D334" s="74" t="s">
        <v>55</v>
      </c>
      <c r="E334" s="81">
        <v>44785</v>
      </c>
      <c r="F334" s="74" t="s">
        <v>822</v>
      </c>
    </row>
    <row r="335" spans="1:6" x14ac:dyDescent="0.2">
      <c r="A335" s="74" t="s">
        <v>838</v>
      </c>
      <c r="B335" s="74"/>
      <c r="C335" s="74" t="s">
        <v>1</v>
      </c>
      <c r="D335" s="74" t="s">
        <v>35</v>
      </c>
      <c r="E335" s="81">
        <v>44733</v>
      </c>
      <c r="F335" s="74" t="s">
        <v>822</v>
      </c>
    </row>
    <row r="336" spans="1:6" x14ac:dyDescent="0.2">
      <c r="A336" s="74" t="s">
        <v>839</v>
      </c>
      <c r="B336" s="74"/>
      <c r="C336" s="74" t="s">
        <v>1</v>
      </c>
      <c r="D336" s="74" t="s">
        <v>35</v>
      </c>
      <c r="E336" s="81">
        <v>44733</v>
      </c>
      <c r="F336" s="74" t="s">
        <v>822</v>
      </c>
    </row>
    <row r="337" spans="1:8" x14ac:dyDescent="0.2">
      <c r="A337" s="74" t="s">
        <v>840</v>
      </c>
      <c r="B337" s="74"/>
      <c r="C337" s="74" t="s">
        <v>1</v>
      </c>
      <c r="D337" s="74" t="s">
        <v>35</v>
      </c>
      <c r="E337" s="81">
        <v>44733</v>
      </c>
      <c r="F337" s="74" t="s">
        <v>822</v>
      </c>
    </row>
    <row r="338" spans="1:8" x14ac:dyDescent="0.2">
      <c r="A338" s="74" t="s">
        <v>841</v>
      </c>
      <c r="B338" s="74"/>
      <c r="C338" s="74" t="s">
        <v>1</v>
      </c>
      <c r="D338" s="74" t="s">
        <v>35</v>
      </c>
      <c r="E338" s="81">
        <v>44733</v>
      </c>
      <c r="F338" s="74" t="s">
        <v>822</v>
      </c>
    </row>
    <row r="339" spans="1:8" x14ac:dyDescent="0.2">
      <c r="A339" s="74" t="s">
        <v>842</v>
      </c>
      <c r="B339" s="74"/>
      <c r="C339" s="74" t="s">
        <v>1</v>
      </c>
      <c r="D339" s="74" t="s">
        <v>35</v>
      </c>
      <c r="E339" s="81">
        <v>44733</v>
      </c>
      <c r="F339" s="74" t="s">
        <v>822</v>
      </c>
    </row>
    <row r="340" spans="1:8" x14ac:dyDescent="0.2">
      <c r="A340" s="74" t="s">
        <v>843</v>
      </c>
      <c r="B340" s="74"/>
      <c r="C340" s="74" t="s">
        <v>4</v>
      </c>
      <c r="D340" s="74" t="s">
        <v>47</v>
      </c>
      <c r="E340" s="81">
        <v>44725</v>
      </c>
      <c r="F340" s="74" t="s">
        <v>822</v>
      </c>
    </row>
    <row r="341" spans="1:8" x14ac:dyDescent="0.2">
      <c r="A341" s="74" t="s">
        <v>844</v>
      </c>
      <c r="B341" s="74"/>
      <c r="C341" s="74" t="s">
        <v>4</v>
      </c>
      <c r="D341" s="74" t="s">
        <v>47</v>
      </c>
      <c r="E341" s="81">
        <v>44725</v>
      </c>
      <c r="F341" s="74" t="s">
        <v>822</v>
      </c>
    </row>
    <row r="342" spans="1:8" x14ac:dyDescent="0.2">
      <c r="A342" s="74" t="s">
        <v>845</v>
      </c>
      <c r="B342" s="74"/>
      <c r="C342" s="74" t="s">
        <v>4</v>
      </c>
      <c r="D342" s="74" t="s">
        <v>47</v>
      </c>
      <c r="E342" s="81">
        <v>44725</v>
      </c>
      <c r="F342" s="74" t="s">
        <v>822</v>
      </c>
    </row>
    <row r="343" spans="1:8" x14ac:dyDescent="0.2">
      <c r="A343" s="74" t="s">
        <v>846</v>
      </c>
      <c r="B343" s="74"/>
      <c r="C343" s="74" t="s">
        <v>4</v>
      </c>
      <c r="D343" s="74" t="s">
        <v>47</v>
      </c>
      <c r="E343" s="81">
        <v>44725</v>
      </c>
      <c r="F343" s="74" t="s">
        <v>822</v>
      </c>
    </row>
    <row r="344" spans="1:8" x14ac:dyDescent="0.2">
      <c r="A344" s="74" t="s">
        <v>847</v>
      </c>
      <c r="B344" s="74"/>
      <c r="C344" s="74" t="s">
        <v>4</v>
      </c>
      <c r="D344" s="74" t="s">
        <v>47</v>
      </c>
      <c r="E344" s="81">
        <v>44725</v>
      </c>
      <c r="F344" s="74" t="s">
        <v>822</v>
      </c>
    </row>
    <row r="345" spans="1:8" x14ac:dyDescent="0.2">
      <c r="A345" s="74" t="s">
        <v>848</v>
      </c>
      <c r="B345" s="74"/>
      <c r="C345" s="74" t="s">
        <v>833</v>
      </c>
      <c r="D345" s="74" t="s">
        <v>51</v>
      </c>
      <c r="E345" s="81">
        <v>44725</v>
      </c>
      <c r="F345" s="74" t="s">
        <v>822</v>
      </c>
    </row>
    <row r="346" spans="1:8" x14ac:dyDescent="0.2">
      <c r="A346" s="74" t="s">
        <v>849</v>
      </c>
      <c r="B346" s="74"/>
      <c r="C346" s="74" t="s">
        <v>833</v>
      </c>
      <c r="D346" s="74" t="s">
        <v>51</v>
      </c>
      <c r="E346" s="81">
        <v>44725</v>
      </c>
      <c r="F346" s="74" t="s">
        <v>822</v>
      </c>
    </row>
    <row r="347" spans="1:8" x14ac:dyDescent="0.2">
      <c r="A347" s="74" t="s">
        <v>850</v>
      </c>
      <c r="B347" s="74"/>
      <c r="C347" s="74" t="s">
        <v>833</v>
      </c>
      <c r="D347" s="74" t="s">
        <v>51</v>
      </c>
      <c r="E347" s="81">
        <v>44725</v>
      </c>
      <c r="F347" s="74" t="s">
        <v>822</v>
      </c>
    </row>
    <row r="348" spans="1:8" x14ac:dyDescent="0.2">
      <c r="A348" s="74" t="s">
        <v>851</v>
      </c>
      <c r="B348" s="74"/>
      <c r="C348" s="74" t="s">
        <v>833</v>
      </c>
      <c r="D348" s="74" t="s">
        <v>51</v>
      </c>
      <c r="E348" s="81">
        <v>44725</v>
      </c>
      <c r="F348" s="74" t="s">
        <v>822</v>
      </c>
    </row>
    <row r="349" spans="1:8" x14ac:dyDescent="0.2">
      <c r="A349" s="74" t="s">
        <v>852</v>
      </c>
      <c r="B349" s="74"/>
      <c r="C349" s="74" t="s">
        <v>833</v>
      </c>
      <c r="D349" s="74" t="s">
        <v>51</v>
      </c>
      <c r="E349" s="81">
        <v>44725</v>
      </c>
      <c r="F349" s="74" t="s">
        <v>822</v>
      </c>
    </row>
    <row r="350" spans="1:8" x14ac:dyDescent="0.2">
      <c r="A350" s="74" t="s">
        <v>519</v>
      </c>
      <c r="B350" s="74"/>
      <c r="C350" s="74" t="s">
        <v>4</v>
      </c>
      <c r="D350" s="74" t="s">
        <v>47</v>
      </c>
      <c r="E350" s="81">
        <v>44431</v>
      </c>
      <c r="F350" s="74" t="s">
        <v>822</v>
      </c>
      <c r="H350" s="74"/>
    </row>
    <row r="351" spans="1:8" x14ac:dyDescent="0.2">
      <c r="A351" s="74" t="s">
        <v>520</v>
      </c>
      <c r="B351" s="74"/>
      <c r="C351" s="74" t="s">
        <v>1</v>
      </c>
      <c r="D351" s="74" t="s">
        <v>38</v>
      </c>
      <c r="E351" s="81">
        <v>44426</v>
      </c>
      <c r="F351" s="74" t="s">
        <v>822</v>
      </c>
      <c r="H351" s="74"/>
    </row>
    <row r="352" spans="1:8" x14ac:dyDescent="0.2">
      <c r="A352" s="74" t="s">
        <v>521</v>
      </c>
      <c r="B352" s="74"/>
      <c r="C352" s="74" t="s">
        <v>853</v>
      </c>
      <c r="D352" s="74" t="s">
        <v>55</v>
      </c>
      <c r="E352" s="81">
        <v>44431</v>
      </c>
      <c r="F352" s="74" t="s">
        <v>822</v>
      </c>
      <c r="H352" s="74"/>
    </row>
    <row r="353" spans="1:8" x14ac:dyDescent="0.2">
      <c r="A353" s="74" t="s">
        <v>522</v>
      </c>
      <c r="B353" s="74"/>
      <c r="C353" s="74" t="s">
        <v>853</v>
      </c>
      <c r="D353" s="74" t="s">
        <v>51</v>
      </c>
      <c r="E353" s="81">
        <v>44375</v>
      </c>
      <c r="F353" s="74" t="s">
        <v>822</v>
      </c>
      <c r="H353" s="74"/>
    </row>
    <row r="354" spans="1:8" x14ac:dyDescent="0.2">
      <c r="A354" s="74" t="s">
        <v>524</v>
      </c>
      <c r="B354" s="74"/>
      <c r="C354" s="74" t="s">
        <v>4</v>
      </c>
      <c r="D354" s="74" t="s">
        <v>47</v>
      </c>
      <c r="E354" s="81">
        <v>44375</v>
      </c>
      <c r="F354" s="74" t="s">
        <v>822</v>
      </c>
      <c r="H354" s="74"/>
    </row>
    <row r="355" spans="1:8" x14ac:dyDescent="0.2">
      <c r="A355" s="74" t="s">
        <v>523</v>
      </c>
      <c r="B355" s="74"/>
      <c r="C355" s="74" t="s">
        <v>1</v>
      </c>
      <c r="D355" s="74" t="s">
        <v>31</v>
      </c>
      <c r="E355" s="81">
        <v>44377</v>
      </c>
      <c r="F355" s="74" t="s">
        <v>822</v>
      </c>
      <c r="H355" s="74"/>
    </row>
    <row r="356" spans="1:8" x14ac:dyDescent="0.2">
      <c r="A356" s="74" t="s">
        <v>495</v>
      </c>
      <c r="B356" s="74"/>
      <c r="C356" s="74" t="s">
        <v>853</v>
      </c>
      <c r="D356" s="74" t="s">
        <v>51</v>
      </c>
      <c r="E356" s="81">
        <v>44375</v>
      </c>
      <c r="F356" s="74" t="s">
        <v>822</v>
      </c>
      <c r="H356" s="74"/>
    </row>
    <row r="357" spans="1:8" x14ac:dyDescent="0.2">
      <c r="A357" s="74" t="s">
        <v>496</v>
      </c>
      <c r="B357" s="74"/>
      <c r="C357" s="74" t="s">
        <v>853</v>
      </c>
      <c r="D357" s="74" t="s">
        <v>51</v>
      </c>
      <c r="E357" s="81">
        <v>44375</v>
      </c>
      <c r="F357" s="74" t="s">
        <v>822</v>
      </c>
      <c r="H357" s="74"/>
    </row>
    <row r="358" spans="1:8" x14ac:dyDescent="0.2">
      <c r="A358" s="74" t="s">
        <v>497</v>
      </c>
      <c r="B358" s="74"/>
      <c r="C358" s="74" t="s">
        <v>853</v>
      </c>
      <c r="D358" s="74" t="s">
        <v>51</v>
      </c>
      <c r="E358" s="81">
        <v>44375</v>
      </c>
      <c r="F358" s="74" t="s">
        <v>822</v>
      </c>
      <c r="H358" s="74"/>
    </row>
    <row r="359" spans="1:8" x14ac:dyDescent="0.2">
      <c r="A359" s="74" t="s">
        <v>498</v>
      </c>
      <c r="B359" s="74"/>
      <c r="C359" s="74" t="s">
        <v>853</v>
      </c>
      <c r="D359" s="74" t="s">
        <v>51</v>
      </c>
      <c r="E359" s="81">
        <v>44375</v>
      </c>
      <c r="F359" s="74" t="s">
        <v>822</v>
      </c>
      <c r="H359" s="74"/>
    </row>
    <row r="360" spans="1:8" x14ac:dyDescent="0.2">
      <c r="A360" s="74" t="s">
        <v>499</v>
      </c>
      <c r="B360" s="74"/>
      <c r="C360" s="74" t="s">
        <v>4</v>
      </c>
      <c r="D360" s="74" t="s">
        <v>47</v>
      </c>
      <c r="E360" s="81">
        <v>44375</v>
      </c>
      <c r="F360" s="74" t="s">
        <v>822</v>
      </c>
      <c r="H360" s="74"/>
    </row>
    <row r="361" spans="1:8" x14ac:dyDescent="0.2">
      <c r="A361" s="74" t="s">
        <v>500</v>
      </c>
      <c r="B361" s="74"/>
      <c r="C361" s="74" t="s">
        <v>4</v>
      </c>
      <c r="D361" s="74" t="s">
        <v>47</v>
      </c>
      <c r="E361" s="81">
        <v>44375</v>
      </c>
      <c r="F361" s="74" t="s">
        <v>822</v>
      </c>
      <c r="H361" s="74"/>
    </row>
    <row r="362" spans="1:8" x14ac:dyDescent="0.2">
      <c r="A362" s="74" t="s">
        <v>501</v>
      </c>
      <c r="B362" s="74"/>
      <c r="C362" s="74" t="s">
        <v>4</v>
      </c>
      <c r="D362" s="74" t="s">
        <v>47</v>
      </c>
      <c r="E362" s="81">
        <v>44375</v>
      </c>
      <c r="F362" s="74" t="s">
        <v>822</v>
      </c>
      <c r="H362" s="74"/>
    </row>
    <row r="363" spans="1:8" x14ac:dyDescent="0.2">
      <c r="A363" s="74" t="s">
        <v>502</v>
      </c>
      <c r="B363" s="74"/>
      <c r="C363" s="74" t="s">
        <v>4</v>
      </c>
      <c r="D363" s="74" t="s">
        <v>47</v>
      </c>
      <c r="E363" s="81">
        <v>44375</v>
      </c>
      <c r="F363" s="74" t="s">
        <v>822</v>
      </c>
      <c r="H363" s="74"/>
    </row>
    <row r="364" spans="1:8" x14ac:dyDescent="0.2">
      <c r="A364" s="74" t="s">
        <v>503</v>
      </c>
      <c r="B364" s="74"/>
      <c r="C364" s="74" t="s">
        <v>1</v>
      </c>
      <c r="D364" s="74" t="s">
        <v>31</v>
      </c>
      <c r="E364" s="81">
        <v>44377</v>
      </c>
      <c r="F364" s="74" t="s">
        <v>822</v>
      </c>
      <c r="H364" s="74"/>
    </row>
    <row r="365" spans="1:8" x14ac:dyDescent="0.2">
      <c r="A365" s="74" t="s">
        <v>504</v>
      </c>
      <c r="B365" s="74"/>
      <c r="C365" s="74" t="s">
        <v>1</v>
      </c>
      <c r="D365" s="74" t="s">
        <v>31</v>
      </c>
      <c r="E365" s="81">
        <v>44377</v>
      </c>
      <c r="F365" s="74" t="s">
        <v>822</v>
      </c>
      <c r="H365" s="74"/>
    </row>
    <row r="366" spans="1:8" x14ac:dyDescent="0.2">
      <c r="A366" s="74" t="s">
        <v>505</v>
      </c>
      <c r="B366" s="74"/>
      <c r="C366" s="74" t="s">
        <v>1</v>
      </c>
      <c r="D366" s="74" t="s">
        <v>31</v>
      </c>
      <c r="E366" s="81">
        <v>44377</v>
      </c>
      <c r="F366" s="74" t="s">
        <v>822</v>
      </c>
      <c r="H366" s="74"/>
    </row>
    <row r="367" spans="1:8" x14ac:dyDescent="0.2">
      <c r="A367" s="74" t="s">
        <v>506</v>
      </c>
      <c r="B367" s="74"/>
      <c r="C367" s="74" t="s">
        <v>1</v>
      </c>
      <c r="D367" s="74" t="s">
        <v>31</v>
      </c>
      <c r="E367" s="81">
        <v>44377</v>
      </c>
      <c r="F367" s="74" t="s">
        <v>822</v>
      </c>
      <c r="H367" s="74"/>
    </row>
    <row r="368" spans="1:8" x14ac:dyDescent="0.2">
      <c r="A368" s="74" t="s">
        <v>507</v>
      </c>
      <c r="B368" s="74"/>
      <c r="C368" s="74" t="s">
        <v>853</v>
      </c>
      <c r="D368" s="74" t="s">
        <v>55</v>
      </c>
      <c r="E368" s="81">
        <v>44427</v>
      </c>
      <c r="F368" s="74" t="s">
        <v>822</v>
      </c>
      <c r="H368" s="74"/>
    </row>
    <row r="369" spans="1:8" x14ac:dyDescent="0.2">
      <c r="A369" s="74" t="s">
        <v>508</v>
      </c>
      <c r="B369" s="74"/>
      <c r="C369" s="74" t="s">
        <v>853</v>
      </c>
      <c r="D369" s="74" t="s">
        <v>55</v>
      </c>
      <c r="E369" s="81">
        <v>44428</v>
      </c>
      <c r="F369" s="74" t="s">
        <v>822</v>
      </c>
      <c r="H369" s="74"/>
    </row>
    <row r="370" spans="1:8" x14ac:dyDescent="0.2">
      <c r="A370" s="74" t="s">
        <v>509</v>
      </c>
      <c r="B370" s="74"/>
      <c r="C370" s="74" t="s">
        <v>853</v>
      </c>
      <c r="D370" s="74" t="s">
        <v>55</v>
      </c>
      <c r="E370" s="81">
        <v>44429</v>
      </c>
      <c r="F370" s="74" t="s">
        <v>822</v>
      </c>
      <c r="H370" s="74"/>
    </row>
    <row r="371" spans="1:8" x14ac:dyDescent="0.2">
      <c r="A371" s="74" t="s">
        <v>510</v>
      </c>
      <c r="B371" s="74"/>
      <c r="C371" s="74" t="s">
        <v>853</v>
      </c>
      <c r="D371" s="74" t="s">
        <v>55</v>
      </c>
      <c r="E371" s="81">
        <v>44430</v>
      </c>
      <c r="F371" s="74" t="s">
        <v>822</v>
      </c>
      <c r="H371" s="74"/>
    </row>
    <row r="372" spans="1:8" x14ac:dyDescent="0.2">
      <c r="A372" s="74" t="s">
        <v>511</v>
      </c>
      <c r="B372" s="74"/>
      <c r="C372" s="74" t="s">
        <v>4</v>
      </c>
      <c r="D372" s="74" t="s">
        <v>47</v>
      </c>
      <c r="E372" s="81">
        <v>44431</v>
      </c>
      <c r="F372" s="74" t="s">
        <v>822</v>
      </c>
      <c r="H372" s="74"/>
    </row>
    <row r="373" spans="1:8" x14ac:dyDescent="0.2">
      <c r="A373" s="74" t="s">
        <v>512</v>
      </c>
      <c r="B373" s="74"/>
      <c r="C373" s="74" t="s">
        <v>4</v>
      </c>
      <c r="D373" s="74" t="s">
        <v>47</v>
      </c>
      <c r="E373" s="81">
        <v>44431</v>
      </c>
      <c r="F373" s="74" t="s">
        <v>822</v>
      </c>
      <c r="H373" s="74"/>
    </row>
    <row r="374" spans="1:8" x14ac:dyDescent="0.2">
      <c r="A374" s="74" t="s">
        <v>513</v>
      </c>
      <c r="B374" s="74"/>
      <c r="C374" s="74" t="s">
        <v>4</v>
      </c>
      <c r="D374" s="74" t="s">
        <v>47</v>
      </c>
      <c r="E374" s="81">
        <v>44431</v>
      </c>
      <c r="F374" s="74" t="s">
        <v>822</v>
      </c>
      <c r="H374" s="74"/>
    </row>
    <row r="375" spans="1:8" x14ac:dyDescent="0.2">
      <c r="A375" s="74" t="s">
        <v>514</v>
      </c>
      <c r="B375" s="74"/>
      <c r="C375" s="74" t="s">
        <v>4</v>
      </c>
      <c r="D375" s="74" t="s">
        <v>47</v>
      </c>
      <c r="E375" s="81">
        <v>44431</v>
      </c>
      <c r="F375" s="74" t="s">
        <v>822</v>
      </c>
      <c r="H375" s="74"/>
    </row>
    <row r="376" spans="1:8" x14ac:dyDescent="0.2">
      <c r="A376" s="74" t="s">
        <v>515</v>
      </c>
      <c r="B376" s="74"/>
      <c r="C376" s="74" t="s">
        <v>1</v>
      </c>
      <c r="D376" s="74" t="s">
        <v>38</v>
      </c>
      <c r="E376" s="81">
        <v>44426</v>
      </c>
      <c r="F376" s="74" t="s">
        <v>822</v>
      </c>
      <c r="H376" s="74"/>
    </row>
    <row r="377" spans="1:8" x14ac:dyDescent="0.2">
      <c r="A377" s="74" t="s">
        <v>516</v>
      </c>
      <c r="B377" s="74"/>
      <c r="C377" s="74" t="s">
        <v>1</v>
      </c>
      <c r="D377" s="74" t="s">
        <v>38</v>
      </c>
      <c r="E377" s="81">
        <v>44426</v>
      </c>
      <c r="F377" s="74" t="s">
        <v>822</v>
      </c>
      <c r="H377" s="74"/>
    </row>
    <row r="378" spans="1:8" x14ac:dyDescent="0.2">
      <c r="A378" s="74" t="s">
        <v>517</v>
      </c>
      <c r="B378" s="74"/>
      <c r="C378" s="74" t="s">
        <v>1</v>
      </c>
      <c r="D378" s="74" t="s">
        <v>38</v>
      </c>
      <c r="E378" s="81">
        <v>44426</v>
      </c>
      <c r="F378" s="74" t="s">
        <v>822</v>
      </c>
      <c r="H378" s="74"/>
    </row>
    <row r="379" spans="1:8" x14ac:dyDescent="0.2">
      <c r="A379" s="74" t="s">
        <v>518</v>
      </c>
      <c r="B379" s="74"/>
      <c r="C379" s="74" t="s">
        <v>1</v>
      </c>
      <c r="D379" s="74" t="s">
        <v>38</v>
      </c>
      <c r="E379" s="81">
        <v>44426</v>
      </c>
      <c r="F379" s="74" t="s">
        <v>822</v>
      </c>
      <c r="H379" s="74"/>
    </row>
    <row r="380" spans="1:8" x14ac:dyDescent="0.2">
      <c r="H380" s="74"/>
    </row>
    <row r="381" spans="1:8" x14ac:dyDescent="0.2">
      <c r="A381" s="74"/>
      <c r="B381" s="74"/>
      <c r="C381" s="74"/>
      <c r="D381" s="74"/>
      <c r="E381" s="74"/>
      <c r="F381" s="74"/>
      <c r="G381" s="74"/>
      <c r="H381" s="7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33921-D147-C648-8B1C-52C5F4BB9F6F}">
  <dimension ref="B1:K56"/>
  <sheetViews>
    <sheetView workbookViewId="0">
      <selection activeCell="E24" sqref="E24"/>
    </sheetView>
  </sheetViews>
  <sheetFormatPr baseColWidth="10" defaultRowHeight="16" x14ac:dyDescent="0.2"/>
  <cols>
    <col min="2" max="2" width="39.83203125" customWidth="1"/>
    <col min="3" max="3" width="10.83203125" customWidth="1"/>
    <col min="4" max="4" width="30" customWidth="1"/>
    <col min="5" max="5" width="22" customWidth="1"/>
    <col min="6" max="6" width="31" customWidth="1"/>
    <col min="7" max="7" width="23" customWidth="1"/>
    <col min="8" max="8" width="27.33203125" customWidth="1"/>
    <col min="9" max="9" width="20.5" customWidth="1"/>
    <col min="10" max="10" width="21.1640625" customWidth="1"/>
  </cols>
  <sheetData>
    <row r="1" spans="2:11" x14ac:dyDescent="0.2">
      <c r="B1" s="15" t="s">
        <v>1005</v>
      </c>
    </row>
    <row r="2" spans="2:11" x14ac:dyDescent="0.2">
      <c r="B2" s="15" t="s">
        <v>379</v>
      </c>
    </row>
    <row r="4" spans="2:11" x14ac:dyDescent="0.2">
      <c r="B4" s="74"/>
      <c r="C4" s="75" t="s">
        <v>380</v>
      </c>
      <c r="D4" s="75" t="s">
        <v>381</v>
      </c>
      <c r="E4" s="75" t="s">
        <v>382</v>
      </c>
      <c r="F4" s="75" t="s">
        <v>383</v>
      </c>
      <c r="G4" s="75" t="s">
        <v>384</v>
      </c>
      <c r="H4" s="75" t="s">
        <v>385</v>
      </c>
      <c r="I4" s="75" t="s">
        <v>386</v>
      </c>
      <c r="J4" s="75" t="s">
        <v>387</v>
      </c>
      <c r="K4" s="75" t="s">
        <v>388</v>
      </c>
    </row>
    <row r="5" spans="2:11" x14ac:dyDescent="0.2">
      <c r="B5" s="74" t="s">
        <v>389</v>
      </c>
      <c r="C5" s="74" t="s">
        <v>390</v>
      </c>
      <c r="D5" s="74" t="s">
        <v>391</v>
      </c>
      <c r="E5" s="74" t="s">
        <v>392</v>
      </c>
      <c r="F5" s="74" t="s">
        <v>393</v>
      </c>
      <c r="G5" s="74" t="s">
        <v>394</v>
      </c>
      <c r="H5" s="74" t="s">
        <v>395</v>
      </c>
      <c r="I5" s="74" t="s">
        <v>396</v>
      </c>
      <c r="J5" s="74" t="s">
        <v>395</v>
      </c>
      <c r="K5" s="74" t="s">
        <v>389</v>
      </c>
    </row>
    <row r="6" spans="2:11" x14ac:dyDescent="0.2">
      <c r="B6" s="74" t="s">
        <v>397</v>
      </c>
      <c r="C6" s="74" t="s">
        <v>390</v>
      </c>
      <c r="D6" s="74" t="s">
        <v>398</v>
      </c>
      <c r="E6" s="74" t="s">
        <v>399</v>
      </c>
      <c r="F6" s="74" t="s">
        <v>400</v>
      </c>
      <c r="G6" s="74" t="s">
        <v>401</v>
      </c>
      <c r="H6" s="74" t="s">
        <v>402</v>
      </c>
      <c r="I6" s="74" t="s">
        <v>403</v>
      </c>
      <c r="J6" s="74" t="s">
        <v>402</v>
      </c>
      <c r="K6" s="74" t="s">
        <v>397</v>
      </c>
    </row>
    <row r="7" spans="2:11" x14ac:dyDescent="0.2">
      <c r="B7" s="74" t="s">
        <v>404</v>
      </c>
      <c r="C7" s="74" t="s">
        <v>390</v>
      </c>
      <c r="D7" s="74" t="s">
        <v>398</v>
      </c>
      <c r="E7" s="74" t="s">
        <v>399</v>
      </c>
      <c r="F7" s="74" t="s">
        <v>400</v>
      </c>
      <c r="G7" s="74" t="s">
        <v>401</v>
      </c>
      <c r="H7" s="74" t="s">
        <v>402</v>
      </c>
      <c r="I7" s="74" t="s">
        <v>403</v>
      </c>
      <c r="J7" s="74" t="s">
        <v>402</v>
      </c>
      <c r="K7" s="74" t="s">
        <v>404</v>
      </c>
    </row>
    <row r="8" spans="2:11" x14ac:dyDescent="0.2">
      <c r="B8" s="74" t="s">
        <v>405</v>
      </c>
      <c r="C8" s="74" t="s">
        <v>390</v>
      </c>
      <c r="D8" s="74" t="s">
        <v>398</v>
      </c>
      <c r="E8" s="74" t="s">
        <v>399</v>
      </c>
      <c r="F8" s="74" t="s">
        <v>400</v>
      </c>
      <c r="G8" s="74" t="s">
        <v>401</v>
      </c>
      <c r="H8" s="74" t="s">
        <v>402</v>
      </c>
      <c r="I8" s="74" t="s">
        <v>403</v>
      </c>
      <c r="J8" s="74" t="s">
        <v>402</v>
      </c>
      <c r="K8" s="74" t="s">
        <v>405</v>
      </c>
    </row>
    <row r="9" spans="2:11" x14ac:dyDescent="0.2">
      <c r="B9" s="74" t="s">
        <v>406</v>
      </c>
      <c r="C9" s="74" t="s">
        <v>390</v>
      </c>
      <c r="D9" s="74" t="s">
        <v>398</v>
      </c>
      <c r="E9" s="74" t="s">
        <v>399</v>
      </c>
      <c r="F9" s="74" t="s">
        <v>407</v>
      </c>
      <c r="G9" s="74" t="s">
        <v>408</v>
      </c>
      <c r="H9" s="74" t="s">
        <v>409</v>
      </c>
      <c r="I9" s="74" t="s">
        <v>410</v>
      </c>
      <c r="J9" s="74" t="s">
        <v>409</v>
      </c>
      <c r="K9" s="74" t="s">
        <v>406</v>
      </c>
    </row>
    <row r="10" spans="2:11" x14ac:dyDescent="0.2">
      <c r="B10" s="74" t="s">
        <v>411</v>
      </c>
      <c r="C10" s="74" t="s">
        <v>390</v>
      </c>
      <c r="D10" s="74" t="s">
        <v>391</v>
      </c>
      <c r="E10" s="74" t="s">
        <v>392</v>
      </c>
      <c r="F10" s="74" t="s">
        <v>412</v>
      </c>
      <c r="G10" s="74" t="s">
        <v>413</v>
      </c>
      <c r="H10" s="74" t="s">
        <v>414</v>
      </c>
      <c r="I10" s="74" t="s">
        <v>403</v>
      </c>
      <c r="J10" s="74" t="s">
        <v>414</v>
      </c>
      <c r="K10" s="74" t="s">
        <v>411</v>
      </c>
    </row>
    <row r="11" spans="2:11" x14ac:dyDescent="0.2">
      <c r="B11" s="74" t="s">
        <v>415</v>
      </c>
      <c r="C11" s="74" t="s">
        <v>390</v>
      </c>
      <c r="D11" s="74" t="s">
        <v>391</v>
      </c>
      <c r="E11" s="74" t="s">
        <v>392</v>
      </c>
      <c r="F11" s="74" t="s">
        <v>393</v>
      </c>
      <c r="G11" s="74" t="s">
        <v>394</v>
      </c>
      <c r="H11" s="74" t="s">
        <v>395</v>
      </c>
      <c r="I11" s="74" t="s">
        <v>396</v>
      </c>
      <c r="J11" s="74" t="s">
        <v>395</v>
      </c>
      <c r="K11" s="74" t="s">
        <v>415</v>
      </c>
    </row>
    <row r="12" spans="2:11" x14ac:dyDescent="0.2">
      <c r="B12" s="74"/>
      <c r="C12" s="74"/>
      <c r="D12" s="74"/>
      <c r="E12" s="74"/>
      <c r="F12" s="74"/>
      <c r="G12" s="74"/>
      <c r="H12" s="74"/>
      <c r="I12" s="74"/>
      <c r="J12" s="74"/>
      <c r="K12" s="74"/>
    </row>
    <row r="13" spans="2:11" x14ac:dyDescent="0.2">
      <c r="B13" s="74" t="s">
        <v>416</v>
      </c>
      <c r="C13" s="74"/>
      <c r="D13" s="74"/>
      <c r="E13" s="74"/>
      <c r="F13" s="74"/>
      <c r="G13" s="74"/>
      <c r="H13" s="74"/>
      <c r="I13" s="74"/>
      <c r="J13" s="74"/>
      <c r="K13" s="74"/>
    </row>
    <row r="14" spans="2:11" x14ac:dyDescent="0.2">
      <c r="B14" s="74" t="s">
        <v>417</v>
      </c>
      <c r="C14" s="74"/>
      <c r="D14" s="74"/>
      <c r="E14" s="74"/>
      <c r="F14" s="74"/>
      <c r="G14" s="74"/>
      <c r="H14" s="74"/>
      <c r="I14" s="74"/>
      <c r="J14" s="74"/>
      <c r="K14" s="74"/>
    </row>
    <row r="15" spans="2:11" x14ac:dyDescent="0.2">
      <c r="B15" s="74" t="s">
        <v>418</v>
      </c>
      <c r="C15" s="74"/>
      <c r="D15" s="74"/>
      <c r="E15" s="74"/>
      <c r="F15" s="74"/>
      <c r="G15" s="74" t="s">
        <v>398</v>
      </c>
      <c r="H15" s="74"/>
      <c r="I15" s="74"/>
      <c r="J15" s="74"/>
      <c r="K15" s="74"/>
    </row>
    <row r="16" spans="2:11" x14ac:dyDescent="0.2">
      <c r="B16" s="74" t="s">
        <v>419</v>
      </c>
      <c r="C16" s="74"/>
      <c r="D16" s="74"/>
      <c r="E16" s="74"/>
      <c r="F16" s="74"/>
      <c r="G16" s="74" t="s">
        <v>391</v>
      </c>
      <c r="H16" s="74"/>
      <c r="I16" s="74"/>
      <c r="J16" s="74"/>
      <c r="K16" s="74"/>
    </row>
    <row r="17" spans="2:11" x14ac:dyDescent="0.2">
      <c r="B17" s="74"/>
      <c r="C17" s="74"/>
      <c r="D17" s="74"/>
      <c r="E17" s="74"/>
      <c r="F17" s="74"/>
      <c r="G17" s="74" t="s">
        <v>420</v>
      </c>
      <c r="H17" s="74"/>
      <c r="I17" s="74"/>
      <c r="J17" s="74"/>
      <c r="K17" s="74"/>
    </row>
    <row r="18" spans="2:11" x14ac:dyDescent="0.2">
      <c r="B18" s="74" t="s">
        <v>421</v>
      </c>
      <c r="C18" s="74"/>
      <c r="D18" s="74"/>
      <c r="E18" s="74"/>
      <c r="F18" s="74"/>
      <c r="G18" s="74"/>
      <c r="H18" s="74"/>
      <c r="I18" s="74"/>
      <c r="J18" s="74"/>
      <c r="K18" s="74"/>
    </row>
    <row r="19" spans="2:11" x14ac:dyDescent="0.2">
      <c r="B19" s="74" t="s">
        <v>422</v>
      </c>
      <c r="C19" s="74"/>
      <c r="D19" s="74"/>
      <c r="E19" s="74"/>
      <c r="F19" s="74"/>
      <c r="G19" s="74" t="s">
        <v>423</v>
      </c>
      <c r="H19" s="74"/>
      <c r="I19" s="74"/>
      <c r="J19" s="74"/>
      <c r="K19" s="74"/>
    </row>
    <row r="20" spans="2:11" x14ac:dyDescent="0.2">
      <c r="B20" s="74" t="s">
        <v>424</v>
      </c>
      <c r="C20" s="74"/>
      <c r="D20" s="74"/>
      <c r="E20" s="74"/>
      <c r="F20" s="74"/>
      <c r="G20" s="74"/>
      <c r="H20" s="74"/>
      <c r="I20" s="74"/>
      <c r="J20" s="74"/>
      <c r="K20" s="74"/>
    </row>
    <row r="21" spans="2:11" x14ac:dyDescent="0.2">
      <c r="B21" s="74"/>
      <c r="C21" s="74"/>
      <c r="D21" s="74"/>
      <c r="E21" s="74"/>
      <c r="F21" s="74"/>
      <c r="G21" s="74"/>
      <c r="H21" s="74"/>
      <c r="I21" s="74"/>
      <c r="J21" s="74"/>
      <c r="K21" s="74"/>
    </row>
    <row r="22" spans="2:11" x14ac:dyDescent="0.2">
      <c r="B22" s="74" t="s">
        <v>425</v>
      </c>
      <c r="C22" s="74"/>
      <c r="D22" s="74"/>
      <c r="E22" s="74"/>
      <c r="F22" s="74"/>
      <c r="G22" s="74"/>
      <c r="H22" s="74"/>
      <c r="I22" s="74"/>
      <c r="J22" s="74"/>
      <c r="K22" s="74"/>
    </row>
    <row r="23" spans="2:11" x14ac:dyDescent="0.2">
      <c r="B23" s="74" t="s">
        <v>426</v>
      </c>
      <c r="C23" s="74"/>
      <c r="D23" s="74"/>
      <c r="E23" s="74"/>
      <c r="F23" s="74"/>
      <c r="G23" s="74"/>
      <c r="H23" s="74"/>
      <c r="I23" s="74"/>
      <c r="J23" s="74"/>
      <c r="K23" s="74"/>
    </row>
    <row r="24" spans="2:11" x14ac:dyDescent="0.2">
      <c r="B24" s="74"/>
      <c r="C24" s="74"/>
      <c r="D24" s="74"/>
      <c r="E24" s="74"/>
      <c r="F24" s="74"/>
      <c r="G24" s="74"/>
      <c r="H24" s="74"/>
      <c r="I24" s="74"/>
      <c r="J24" s="74"/>
      <c r="K24" s="74"/>
    </row>
    <row r="25" spans="2:11" x14ac:dyDescent="0.2">
      <c r="B25" s="74" t="s">
        <v>427</v>
      </c>
      <c r="C25" s="74"/>
      <c r="D25" s="74"/>
      <c r="E25" s="74"/>
      <c r="F25" s="74"/>
      <c r="G25" s="74"/>
      <c r="H25" s="74"/>
      <c r="I25" s="74"/>
      <c r="J25" s="74"/>
      <c r="K25" s="74"/>
    </row>
    <row r="26" spans="2:11" x14ac:dyDescent="0.2">
      <c r="B26" s="74" t="s">
        <v>428</v>
      </c>
      <c r="C26" s="74"/>
      <c r="D26" s="74"/>
      <c r="E26" s="74"/>
      <c r="F26" s="74"/>
      <c r="G26" s="74"/>
      <c r="H26" s="74"/>
      <c r="I26" s="74"/>
      <c r="J26" s="74"/>
      <c r="K26" s="74"/>
    </row>
    <row r="27" spans="2:11" x14ac:dyDescent="0.2">
      <c r="B27" s="74" t="s">
        <v>429</v>
      </c>
      <c r="C27" s="74"/>
      <c r="D27" s="74"/>
      <c r="E27" s="74"/>
      <c r="F27" s="74"/>
      <c r="G27" s="74"/>
      <c r="H27" s="74"/>
      <c r="I27" s="74"/>
      <c r="J27" s="74"/>
      <c r="K27" s="74"/>
    </row>
    <row r="28" spans="2:11" x14ac:dyDescent="0.2">
      <c r="B28" s="74"/>
      <c r="C28" s="74"/>
      <c r="D28" s="74"/>
      <c r="E28" s="74"/>
      <c r="F28" s="74"/>
      <c r="G28" s="74"/>
      <c r="H28" s="74"/>
      <c r="I28" s="74"/>
      <c r="J28" s="74"/>
      <c r="K28" s="74"/>
    </row>
    <row r="29" spans="2:11" x14ac:dyDescent="0.2">
      <c r="B29" s="74" t="s">
        <v>430</v>
      </c>
      <c r="C29" s="74"/>
      <c r="D29" s="74"/>
      <c r="E29" s="74"/>
      <c r="F29" s="74"/>
      <c r="G29" s="74"/>
      <c r="H29" s="74"/>
      <c r="I29" s="74"/>
      <c r="J29" s="74"/>
      <c r="K29" s="74"/>
    </row>
    <row r="30" spans="2:11" x14ac:dyDescent="0.2">
      <c r="B30" s="74" t="s">
        <v>431</v>
      </c>
      <c r="C30" s="74"/>
      <c r="D30" s="74"/>
      <c r="E30" s="74"/>
      <c r="F30" s="74"/>
      <c r="G30" s="74"/>
      <c r="H30" s="74"/>
      <c r="I30" s="74"/>
      <c r="J30" s="74"/>
      <c r="K30" s="74"/>
    </row>
    <row r="33" spans="2:11" x14ac:dyDescent="0.2">
      <c r="B33" s="15" t="s">
        <v>432</v>
      </c>
    </row>
    <row r="35" spans="2:11" s="15" customFormat="1" x14ac:dyDescent="0.2">
      <c r="C35" s="15" t="s">
        <v>380</v>
      </c>
      <c r="D35" s="15" t="s">
        <v>381</v>
      </c>
      <c r="E35" s="15" t="s">
        <v>382</v>
      </c>
      <c r="F35" s="15" t="s">
        <v>383</v>
      </c>
      <c r="G35" s="15" t="s">
        <v>384</v>
      </c>
      <c r="H35" s="15" t="s">
        <v>385</v>
      </c>
      <c r="I35" s="15" t="s">
        <v>386</v>
      </c>
      <c r="J35" s="15" t="s">
        <v>387</v>
      </c>
      <c r="K35" s="15" t="s">
        <v>388</v>
      </c>
    </row>
    <row r="36" spans="2:11" x14ac:dyDescent="0.2">
      <c r="B36" t="s">
        <v>389</v>
      </c>
      <c r="C36" t="s">
        <v>390</v>
      </c>
      <c r="D36" t="s">
        <v>391</v>
      </c>
      <c r="E36" t="s">
        <v>392</v>
      </c>
      <c r="F36" t="s">
        <v>393</v>
      </c>
      <c r="G36" t="s">
        <v>394</v>
      </c>
      <c r="H36" t="s">
        <v>395</v>
      </c>
      <c r="I36" t="s">
        <v>396</v>
      </c>
      <c r="J36" t="s">
        <v>395</v>
      </c>
      <c r="K36" t="s">
        <v>389</v>
      </c>
    </row>
    <row r="37" spans="2:11" x14ac:dyDescent="0.2">
      <c r="B37" t="s">
        <v>397</v>
      </c>
      <c r="C37" t="s">
        <v>390</v>
      </c>
      <c r="D37" t="s">
        <v>398</v>
      </c>
      <c r="E37" t="s">
        <v>399</v>
      </c>
      <c r="F37" t="s">
        <v>400</v>
      </c>
      <c r="G37" t="s">
        <v>401</v>
      </c>
      <c r="H37" t="s">
        <v>402</v>
      </c>
      <c r="I37" t="s">
        <v>433</v>
      </c>
      <c r="J37" t="s">
        <v>402</v>
      </c>
      <c r="K37" t="s">
        <v>397</v>
      </c>
    </row>
    <row r="38" spans="2:11" x14ac:dyDescent="0.2">
      <c r="B38" t="s">
        <v>404</v>
      </c>
      <c r="C38" t="s">
        <v>390</v>
      </c>
      <c r="D38" t="s">
        <v>398</v>
      </c>
      <c r="E38" t="s">
        <v>399</v>
      </c>
      <c r="F38" t="s">
        <v>400</v>
      </c>
      <c r="G38" t="s">
        <v>401</v>
      </c>
      <c r="H38" t="s">
        <v>402</v>
      </c>
      <c r="I38" t="s">
        <v>403</v>
      </c>
      <c r="J38" t="s">
        <v>402</v>
      </c>
      <c r="K38" t="s">
        <v>404</v>
      </c>
    </row>
    <row r="39" spans="2:11" x14ac:dyDescent="0.2">
      <c r="B39" t="s">
        <v>405</v>
      </c>
      <c r="C39" t="s">
        <v>390</v>
      </c>
      <c r="D39" t="s">
        <v>398</v>
      </c>
      <c r="E39" t="s">
        <v>399</v>
      </c>
      <c r="F39" t="s">
        <v>400</v>
      </c>
      <c r="G39" t="s">
        <v>401</v>
      </c>
      <c r="H39" t="s">
        <v>402</v>
      </c>
      <c r="I39" t="s">
        <v>403</v>
      </c>
      <c r="J39" t="s">
        <v>402</v>
      </c>
      <c r="K39" t="s">
        <v>405</v>
      </c>
    </row>
    <row r="40" spans="2:11" x14ac:dyDescent="0.2">
      <c r="B40" t="s">
        <v>434</v>
      </c>
      <c r="C40" t="s">
        <v>390</v>
      </c>
      <c r="D40" t="s">
        <v>398</v>
      </c>
      <c r="E40" t="s">
        <v>399</v>
      </c>
      <c r="F40" t="s">
        <v>400</v>
      </c>
      <c r="G40" t="s">
        <v>401</v>
      </c>
      <c r="H40" t="s">
        <v>402</v>
      </c>
      <c r="I40" t="s">
        <v>435</v>
      </c>
      <c r="J40" t="s">
        <v>402</v>
      </c>
      <c r="K40" t="s">
        <v>434</v>
      </c>
    </row>
    <row r="41" spans="2:11" x14ac:dyDescent="0.2">
      <c r="B41" t="s">
        <v>411</v>
      </c>
      <c r="C41" t="s">
        <v>390</v>
      </c>
      <c r="D41" t="s">
        <v>391</v>
      </c>
      <c r="E41" t="s">
        <v>392</v>
      </c>
      <c r="F41" t="s">
        <v>412</v>
      </c>
      <c r="G41" t="s">
        <v>413</v>
      </c>
      <c r="H41" t="s">
        <v>414</v>
      </c>
      <c r="I41" t="s">
        <v>403</v>
      </c>
      <c r="J41" t="s">
        <v>414</v>
      </c>
      <c r="K41" t="s">
        <v>411</v>
      </c>
    </row>
    <row r="42" spans="2:11" x14ac:dyDescent="0.2">
      <c r="B42" t="s">
        <v>436</v>
      </c>
      <c r="C42" t="s">
        <v>390</v>
      </c>
      <c r="D42" t="s">
        <v>391</v>
      </c>
      <c r="E42" t="s">
        <v>392</v>
      </c>
      <c r="F42" t="s">
        <v>393</v>
      </c>
      <c r="G42" t="s">
        <v>394</v>
      </c>
      <c r="H42" t="s">
        <v>395</v>
      </c>
      <c r="I42" t="s">
        <v>396</v>
      </c>
      <c r="J42" t="s">
        <v>395</v>
      </c>
      <c r="K42" t="s">
        <v>436</v>
      </c>
    </row>
    <row r="43" spans="2:11" x14ac:dyDescent="0.2">
      <c r="B43" t="s">
        <v>437</v>
      </c>
      <c r="C43" t="s">
        <v>390</v>
      </c>
      <c r="D43" t="s">
        <v>391</v>
      </c>
      <c r="E43" t="s">
        <v>392</v>
      </c>
      <c r="F43" t="s">
        <v>393</v>
      </c>
      <c r="G43" t="s">
        <v>394</v>
      </c>
      <c r="H43" t="s">
        <v>395</v>
      </c>
      <c r="I43" t="s">
        <v>396</v>
      </c>
      <c r="J43" t="s">
        <v>395</v>
      </c>
      <c r="K43" t="s">
        <v>437</v>
      </c>
    </row>
    <row r="47" spans="2:11" x14ac:dyDescent="0.2">
      <c r="B47" s="15" t="s">
        <v>438</v>
      </c>
    </row>
    <row r="49" spans="2:11" s="15" customFormat="1" x14ac:dyDescent="0.2">
      <c r="C49" s="15" t="s">
        <v>380</v>
      </c>
      <c r="D49" s="15" t="s">
        <v>381</v>
      </c>
      <c r="E49" s="15" t="s">
        <v>382</v>
      </c>
      <c r="F49" s="15" t="s">
        <v>383</v>
      </c>
      <c r="G49" s="15" t="s">
        <v>384</v>
      </c>
      <c r="H49" s="15" t="s">
        <v>385</v>
      </c>
      <c r="I49" s="15" t="s">
        <v>386</v>
      </c>
      <c r="J49" s="15" t="s">
        <v>387</v>
      </c>
      <c r="K49" s="15" t="s">
        <v>388</v>
      </c>
    </row>
    <row r="50" spans="2:11" x14ac:dyDescent="0.2">
      <c r="B50" t="s">
        <v>389</v>
      </c>
      <c r="C50" t="s">
        <v>390</v>
      </c>
      <c r="D50" t="s">
        <v>391</v>
      </c>
      <c r="E50" t="s">
        <v>392</v>
      </c>
      <c r="F50" t="s">
        <v>393</v>
      </c>
      <c r="G50" t="s">
        <v>394</v>
      </c>
      <c r="H50" t="s">
        <v>395</v>
      </c>
      <c r="I50" t="s">
        <v>396</v>
      </c>
      <c r="J50" t="s">
        <v>395</v>
      </c>
      <c r="K50" t="s">
        <v>389</v>
      </c>
    </row>
    <row r="51" spans="2:11" x14ac:dyDescent="0.2">
      <c r="B51" t="s">
        <v>397</v>
      </c>
      <c r="C51" t="s">
        <v>390</v>
      </c>
      <c r="D51" t="s">
        <v>398</v>
      </c>
      <c r="E51" t="s">
        <v>399</v>
      </c>
      <c r="F51" t="s">
        <v>400</v>
      </c>
      <c r="G51" t="s">
        <v>401</v>
      </c>
      <c r="H51" t="s">
        <v>402</v>
      </c>
      <c r="I51" t="s">
        <v>403</v>
      </c>
      <c r="J51" t="s">
        <v>402</v>
      </c>
      <c r="K51" t="s">
        <v>397</v>
      </c>
    </row>
    <row r="52" spans="2:11" x14ac:dyDescent="0.2">
      <c r="B52" t="s">
        <v>404</v>
      </c>
      <c r="C52" t="s">
        <v>390</v>
      </c>
      <c r="D52" t="s">
        <v>398</v>
      </c>
      <c r="E52" t="s">
        <v>399</v>
      </c>
      <c r="F52" t="s">
        <v>400</v>
      </c>
      <c r="G52" t="s">
        <v>401</v>
      </c>
      <c r="H52" t="s">
        <v>402</v>
      </c>
      <c r="I52" t="s">
        <v>403</v>
      </c>
      <c r="J52" t="s">
        <v>402</v>
      </c>
      <c r="K52" t="s">
        <v>404</v>
      </c>
    </row>
    <row r="53" spans="2:11" x14ac:dyDescent="0.2">
      <c r="B53" t="s">
        <v>405</v>
      </c>
      <c r="C53" t="s">
        <v>390</v>
      </c>
      <c r="D53" t="s">
        <v>398</v>
      </c>
      <c r="E53" t="s">
        <v>399</v>
      </c>
      <c r="F53" t="s">
        <v>400</v>
      </c>
      <c r="G53" t="s">
        <v>401</v>
      </c>
      <c r="H53" t="s">
        <v>402</v>
      </c>
      <c r="I53" t="s">
        <v>403</v>
      </c>
      <c r="J53" t="s">
        <v>402</v>
      </c>
      <c r="K53" t="s">
        <v>405</v>
      </c>
    </row>
    <row r="54" spans="2:11" x14ac:dyDescent="0.2">
      <c r="B54" t="s">
        <v>406</v>
      </c>
      <c r="C54" t="s">
        <v>390</v>
      </c>
      <c r="D54" t="s">
        <v>398</v>
      </c>
      <c r="E54" t="s">
        <v>399</v>
      </c>
      <c r="F54" t="s">
        <v>407</v>
      </c>
      <c r="G54" t="s">
        <v>408</v>
      </c>
      <c r="H54" t="s">
        <v>409</v>
      </c>
      <c r="I54" t="s">
        <v>410</v>
      </c>
      <c r="J54" t="s">
        <v>409</v>
      </c>
      <c r="K54" t="s">
        <v>406</v>
      </c>
    </row>
    <row r="55" spans="2:11" x14ac:dyDescent="0.2">
      <c r="B55" t="s">
        <v>434</v>
      </c>
      <c r="C55" t="s">
        <v>390</v>
      </c>
      <c r="D55" t="s">
        <v>398</v>
      </c>
      <c r="E55" t="s">
        <v>399</v>
      </c>
      <c r="F55" t="s">
        <v>400</v>
      </c>
      <c r="G55" t="s">
        <v>401</v>
      </c>
      <c r="H55" t="s">
        <v>402</v>
      </c>
      <c r="I55" t="s">
        <v>403</v>
      </c>
      <c r="J55" t="s">
        <v>402</v>
      </c>
      <c r="K55" t="s">
        <v>434</v>
      </c>
    </row>
    <row r="56" spans="2:11" x14ac:dyDescent="0.2">
      <c r="B56" t="s">
        <v>411</v>
      </c>
      <c r="C56" t="s">
        <v>390</v>
      </c>
      <c r="D56" t="s">
        <v>391</v>
      </c>
      <c r="E56" t="s">
        <v>392</v>
      </c>
      <c r="F56" t="s">
        <v>412</v>
      </c>
      <c r="G56" t="s">
        <v>413</v>
      </c>
      <c r="H56" t="s">
        <v>414</v>
      </c>
      <c r="I56" t="s">
        <v>403</v>
      </c>
      <c r="J56" t="s">
        <v>414</v>
      </c>
      <c r="K56" t="s">
        <v>411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C606F-19F0-994F-8394-89B5F250A472}">
  <dimension ref="A1:H80"/>
  <sheetViews>
    <sheetView tabSelected="1" workbookViewId="0">
      <selection activeCell="T139" sqref="T139"/>
    </sheetView>
  </sheetViews>
  <sheetFormatPr baseColWidth="10" defaultRowHeight="16" x14ac:dyDescent="0.2"/>
  <sheetData>
    <row r="1" spans="1:8" x14ac:dyDescent="0.2">
      <c r="A1" s="202"/>
      <c r="B1" s="202" t="s">
        <v>1006</v>
      </c>
      <c r="C1" s="202"/>
      <c r="D1" s="202"/>
      <c r="E1" s="202"/>
      <c r="F1" s="202"/>
    </row>
    <row r="2" spans="1:8" x14ac:dyDescent="0.2">
      <c r="A2" s="202" t="s">
        <v>1007</v>
      </c>
      <c r="B2" s="202" t="s">
        <v>1008</v>
      </c>
      <c r="C2" s="202" t="s">
        <v>1009</v>
      </c>
      <c r="D2" s="202" t="s">
        <v>1010</v>
      </c>
      <c r="E2" s="202" t="s">
        <v>1011</v>
      </c>
      <c r="F2" s="202" t="s">
        <v>1012</v>
      </c>
      <c r="H2" t="s">
        <v>1129</v>
      </c>
    </row>
    <row r="3" spans="1:8" x14ac:dyDescent="0.2">
      <c r="A3" s="203" t="s">
        <v>1013</v>
      </c>
      <c r="B3" s="203" t="s">
        <v>1014</v>
      </c>
      <c r="C3" s="204">
        <v>2721.28659693287</v>
      </c>
      <c r="D3" s="204">
        <v>0</v>
      </c>
      <c r="E3" s="204">
        <v>1</v>
      </c>
      <c r="F3" s="204">
        <v>0.33713403821427002</v>
      </c>
      <c r="H3" t="s">
        <v>1130</v>
      </c>
    </row>
    <row r="4" spans="1:8" x14ac:dyDescent="0.2">
      <c r="A4" s="203" t="s">
        <v>1015</v>
      </c>
      <c r="B4" s="203" t="s">
        <v>1016</v>
      </c>
      <c r="C4" s="204">
        <v>2722.50440053903</v>
      </c>
      <c r="D4" s="204">
        <v>1.2178036061523001</v>
      </c>
      <c r="E4" s="204">
        <v>0.54394790309794805</v>
      </c>
      <c r="F4" s="204">
        <v>0.183383353149596</v>
      </c>
    </row>
    <row r="5" spans="1:8" x14ac:dyDescent="0.2">
      <c r="A5" s="203" t="s">
        <v>1017</v>
      </c>
      <c r="B5" s="203" t="s">
        <v>1018</v>
      </c>
      <c r="C5" s="204">
        <v>2722.73123439034</v>
      </c>
      <c r="D5" s="204">
        <v>1.44463745747089</v>
      </c>
      <c r="E5" s="204">
        <v>0.48562491701872901</v>
      </c>
      <c r="F5" s="204">
        <v>0.16372068933199399</v>
      </c>
    </row>
    <row r="6" spans="1:8" x14ac:dyDescent="0.2">
      <c r="A6" s="203" t="s">
        <v>1019</v>
      </c>
      <c r="B6" s="203" t="s">
        <v>1020</v>
      </c>
      <c r="C6" s="204">
        <v>2723.84758325438</v>
      </c>
      <c r="D6" s="204">
        <v>2.56098632150406</v>
      </c>
      <c r="E6" s="204">
        <v>0.27790021717383501</v>
      </c>
      <c r="F6" s="204">
        <v>9.3689622436437595E-2</v>
      </c>
    </row>
    <row r="7" spans="1:8" x14ac:dyDescent="0.2">
      <c r="A7" s="203" t="s">
        <v>1021</v>
      </c>
      <c r="B7" s="203" t="s">
        <v>1022</v>
      </c>
      <c r="C7" s="204">
        <v>2725.2135089097701</v>
      </c>
      <c r="D7" s="204">
        <v>3.9269119769001</v>
      </c>
      <c r="E7" s="204">
        <v>0.14037245607339099</v>
      </c>
      <c r="F7" s="204">
        <v>4.7324332970077501E-2</v>
      </c>
    </row>
    <row r="8" spans="1:8" x14ac:dyDescent="0.2">
      <c r="A8" s="203" t="s">
        <v>1023</v>
      </c>
      <c r="B8" s="203" t="s">
        <v>1024</v>
      </c>
      <c r="C8" s="204">
        <v>2725.2653568109899</v>
      </c>
      <c r="D8" s="204">
        <v>3.9787598781167599</v>
      </c>
      <c r="E8" s="204">
        <v>0.136780211223199</v>
      </c>
      <c r="F8" s="204">
        <v>4.6113264957477799E-2</v>
      </c>
    </row>
    <row r="9" spans="1:8" x14ac:dyDescent="0.2">
      <c r="A9" s="203" t="s">
        <v>1025</v>
      </c>
      <c r="B9" s="203" t="s">
        <v>1026</v>
      </c>
      <c r="C9" s="204">
        <v>2725.7945838815699</v>
      </c>
      <c r="D9" s="204">
        <v>4.5079869486999096</v>
      </c>
      <c r="E9" s="204">
        <v>0.104979154789269</v>
      </c>
      <c r="F9" s="204">
        <v>3.5392046382427302E-2</v>
      </c>
    </row>
    <row r="10" spans="1:8" x14ac:dyDescent="0.2">
      <c r="A10" s="203" t="s">
        <v>1027</v>
      </c>
      <c r="B10" s="203" t="s">
        <v>1028</v>
      </c>
      <c r="C10" s="204">
        <v>2726.2666278362899</v>
      </c>
      <c r="D10" s="204">
        <v>4.9800309034194497</v>
      </c>
      <c r="E10" s="204">
        <v>8.29086854843335E-2</v>
      </c>
      <c r="F10" s="204">
        <v>2.7951339940370201E-2</v>
      </c>
    </row>
    <row r="11" spans="1:8" x14ac:dyDescent="0.2">
      <c r="A11" s="203" t="s">
        <v>1029</v>
      </c>
      <c r="B11" s="203" t="s">
        <v>1030</v>
      </c>
      <c r="C11" s="204">
        <v>2726.4183813087802</v>
      </c>
      <c r="D11" s="204">
        <v>5.1317843759111401</v>
      </c>
      <c r="E11" s="204">
        <v>7.6850585679306596E-2</v>
      </c>
      <c r="F11" s="204">
        <v>2.5908948289196401E-2</v>
      </c>
    </row>
    <row r="12" spans="1:8" x14ac:dyDescent="0.2">
      <c r="A12" s="203" t="s">
        <v>1031</v>
      </c>
      <c r="B12" s="203" t="s">
        <v>1032</v>
      </c>
      <c r="C12" s="204">
        <v>2727.8959132464702</v>
      </c>
      <c r="D12" s="204">
        <v>6.6093163136001696</v>
      </c>
      <c r="E12" s="204">
        <v>3.6711759356915098E-2</v>
      </c>
      <c r="F12" s="204">
        <v>1.23767836819473E-2</v>
      </c>
    </row>
    <row r="13" spans="1:8" x14ac:dyDescent="0.2">
      <c r="A13" s="203" t="s">
        <v>1033</v>
      </c>
      <c r="B13" s="203" t="s">
        <v>1034</v>
      </c>
      <c r="C13" s="204">
        <v>2728.7746124288801</v>
      </c>
      <c r="D13" s="204">
        <v>7.4880154960060299</v>
      </c>
      <c r="E13" s="204">
        <v>2.3659093187045399E-2</v>
      </c>
      <c r="F13" s="204">
        <v>7.9762856266363501E-3</v>
      </c>
    </row>
    <row r="14" spans="1:8" x14ac:dyDescent="0.2">
      <c r="A14" s="203" t="s">
        <v>1035</v>
      </c>
      <c r="B14" s="203" t="s">
        <v>1036</v>
      </c>
      <c r="C14" s="204">
        <v>2728.8028659666802</v>
      </c>
      <c r="D14" s="204">
        <v>7.51626903380384</v>
      </c>
      <c r="E14" s="204">
        <v>2.33272163382558E-2</v>
      </c>
      <c r="F14" s="204">
        <v>7.8643986444140602E-3</v>
      </c>
    </row>
    <row r="15" spans="1:8" x14ac:dyDescent="0.2">
      <c r="A15" s="203" t="s">
        <v>1037</v>
      </c>
      <c r="B15" s="203" t="s">
        <v>1038</v>
      </c>
      <c r="C15" s="204">
        <v>2729.9884736174999</v>
      </c>
      <c r="D15" s="204">
        <v>8.7018766846267699</v>
      </c>
      <c r="E15" s="204">
        <v>1.28947072524636E-2</v>
      </c>
      <c r="F15" s="204">
        <v>4.3472447276138998E-3</v>
      </c>
    </row>
    <row r="16" spans="1:8" x14ac:dyDescent="0.2">
      <c r="A16" s="203" t="s">
        <v>1039</v>
      </c>
      <c r="B16" s="203" t="s">
        <v>1040</v>
      </c>
      <c r="C16" s="204">
        <v>2730.3074996185301</v>
      </c>
      <c r="D16" s="204">
        <v>9.0209026856582604</v>
      </c>
      <c r="E16" s="204">
        <v>1.09934972197566E-2</v>
      </c>
      <c r="F16" s="204">
        <v>3.7062821117939001E-3</v>
      </c>
    </row>
    <row r="17" spans="1:6" x14ac:dyDescent="0.2">
      <c r="A17" s="203" t="s">
        <v>1041</v>
      </c>
      <c r="B17" s="203" t="s">
        <v>1042</v>
      </c>
      <c r="C17" s="204">
        <v>2731.5397748156402</v>
      </c>
      <c r="D17" s="204">
        <v>10.253177882770199</v>
      </c>
      <c r="E17" s="204">
        <v>5.9367766679663198E-3</v>
      </c>
      <c r="F17" s="204">
        <v>2.0014894920477402E-3</v>
      </c>
    </row>
    <row r="18" spans="1:6" x14ac:dyDescent="0.2">
      <c r="A18" s="203" t="s">
        <v>1043</v>
      </c>
      <c r="B18" s="203" t="s">
        <v>1044</v>
      </c>
      <c r="C18" s="204">
        <v>2732.9885946486102</v>
      </c>
      <c r="D18" s="204">
        <v>11.701997715737001</v>
      </c>
      <c r="E18" s="204">
        <v>2.87702398433774E-3</v>
      </c>
      <c r="F18" s="204">
        <v>9.6994271387909105E-4</v>
      </c>
    </row>
    <row r="19" spans="1:6" x14ac:dyDescent="0.2">
      <c r="A19" s="203" t="s">
        <v>1045</v>
      </c>
      <c r="B19" s="203" t="s">
        <v>1046</v>
      </c>
      <c r="C19" s="204">
        <v>2737.0844069414202</v>
      </c>
      <c r="D19" s="204">
        <v>15.797810008548799</v>
      </c>
      <c r="E19" s="204">
        <v>3.7114972539598003E-4</v>
      </c>
      <c r="F19" s="204">
        <v>1.25127205704864E-4</v>
      </c>
    </row>
    <row r="20" spans="1:6" x14ac:dyDescent="0.2">
      <c r="A20" s="203" t="s">
        <v>1047</v>
      </c>
      <c r="B20" s="203" t="s">
        <v>1048</v>
      </c>
      <c r="C20" s="204">
        <v>2741.3524466546701</v>
      </c>
      <c r="D20" s="204">
        <v>20.0658497217992</v>
      </c>
      <c r="E20" s="204">
        <v>4.3929483345690897E-5</v>
      </c>
      <c r="F20" s="204">
        <v>1.48101241169993E-5</v>
      </c>
    </row>
    <row r="21" spans="1:6" x14ac:dyDescent="0.2">
      <c r="A21" s="203"/>
      <c r="B21" s="202"/>
      <c r="C21" s="203"/>
      <c r="D21" s="203"/>
      <c r="E21" s="203"/>
      <c r="F21" s="203"/>
    </row>
    <row r="22" spans="1:6" x14ac:dyDescent="0.2">
      <c r="A22" s="203"/>
      <c r="B22" s="205" t="s">
        <v>128</v>
      </c>
      <c r="C22" s="203"/>
      <c r="D22" s="203"/>
      <c r="E22" s="203"/>
      <c r="F22" s="203"/>
    </row>
    <row r="23" spans="1:6" x14ac:dyDescent="0.2">
      <c r="A23" s="203" t="s">
        <v>1007</v>
      </c>
      <c r="B23" s="203" t="s">
        <v>1008</v>
      </c>
      <c r="C23" s="203" t="s">
        <v>1009</v>
      </c>
      <c r="D23" s="203" t="s">
        <v>1010</v>
      </c>
      <c r="E23" s="203" t="s">
        <v>1011</v>
      </c>
      <c r="F23" s="203" t="s">
        <v>1012</v>
      </c>
    </row>
    <row r="24" spans="1:6" x14ac:dyDescent="0.2">
      <c r="A24" s="203" t="s">
        <v>1049</v>
      </c>
      <c r="B24" s="203" t="s">
        <v>1050</v>
      </c>
      <c r="C24" s="203">
        <v>2035.45400090932</v>
      </c>
      <c r="D24" s="203">
        <v>0</v>
      </c>
      <c r="E24" s="203">
        <v>1</v>
      </c>
      <c r="F24" s="203">
        <v>0.31456426541437599</v>
      </c>
    </row>
    <row r="25" spans="1:6" x14ac:dyDescent="0.2">
      <c r="A25" s="203" t="s">
        <v>1051</v>
      </c>
      <c r="B25" s="203" t="s">
        <v>1052</v>
      </c>
      <c r="C25" s="203">
        <v>2035.6120731507001</v>
      </c>
      <c r="D25" s="203">
        <v>0.158072241381433</v>
      </c>
      <c r="E25" s="203">
        <v>0.924006548087558</v>
      </c>
      <c r="F25" s="203">
        <v>0.29065944103723601</v>
      </c>
    </row>
    <row r="26" spans="1:6" x14ac:dyDescent="0.2">
      <c r="A26" s="203" t="s">
        <v>1053</v>
      </c>
      <c r="B26" s="203" t="s">
        <v>1054</v>
      </c>
      <c r="C26" s="203">
        <v>2036.3089322891999</v>
      </c>
      <c r="D26" s="203">
        <v>0.85493137988601098</v>
      </c>
      <c r="E26" s="203">
        <v>0.65215977725141605</v>
      </c>
      <c r="F26" s="203">
        <v>0.20514616126389501</v>
      </c>
    </row>
    <row r="27" spans="1:6" x14ac:dyDescent="0.2">
      <c r="A27" s="203" t="s">
        <v>1055</v>
      </c>
      <c r="B27" s="203" t="s">
        <v>1056</v>
      </c>
      <c r="C27" s="203">
        <v>2038.77474346232</v>
      </c>
      <c r="D27" s="203">
        <v>3.3207425530060801</v>
      </c>
      <c r="E27" s="203">
        <v>0.190068399069247</v>
      </c>
      <c r="F27" s="203">
        <v>5.9788726331703998E-2</v>
      </c>
    </row>
    <row r="28" spans="1:6" x14ac:dyDescent="0.2">
      <c r="A28" s="203" t="s">
        <v>1057</v>
      </c>
      <c r="B28" s="203" t="s">
        <v>1058</v>
      </c>
      <c r="C28" s="203">
        <v>2038.9141156372</v>
      </c>
      <c r="D28" s="203">
        <v>3.4601147278829099</v>
      </c>
      <c r="E28" s="203">
        <v>0.177274240529046</v>
      </c>
      <c r="F28" s="203">
        <v>5.5764141248910701E-2</v>
      </c>
    </row>
    <row r="29" spans="1:6" x14ac:dyDescent="0.2">
      <c r="A29" s="203" t="s">
        <v>1059</v>
      </c>
      <c r="B29" s="203" t="s">
        <v>1060</v>
      </c>
      <c r="C29" s="203">
        <v>2039.78821287137</v>
      </c>
      <c r="D29" s="203">
        <v>4.3342119620535904</v>
      </c>
      <c r="E29" s="203">
        <v>0.114508527700586</v>
      </c>
      <c r="F29" s="203">
        <v>3.6020290899816697E-2</v>
      </c>
    </row>
    <row r="30" spans="1:6" x14ac:dyDescent="0.2">
      <c r="A30" s="203" t="s">
        <v>1061</v>
      </c>
      <c r="B30" s="203" t="s">
        <v>1062</v>
      </c>
      <c r="C30" s="203">
        <v>2041.78700363024</v>
      </c>
      <c r="D30" s="203">
        <v>6.3330027209190103</v>
      </c>
      <c r="E30" s="203">
        <v>4.21508107240482E-2</v>
      </c>
      <c r="F30" s="203">
        <v>1.3259138812030599E-2</v>
      </c>
    </row>
    <row r="31" spans="1:6" x14ac:dyDescent="0.2">
      <c r="A31" s="203" t="s">
        <v>1063</v>
      </c>
      <c r="B31" s="203" t="s">
        <v>1064</v>
      </c>
      <c r="C31" s="203">
        <v>2041.8548968955499</v>
      </c>
      <c r="D31" s="203">
        <v>6.4008959862274004</v>
      </c>
      <c r="E31" s="203">
        <v>4.0743946881516897E-2</v>
      </c>
      <c r="F31" s="203">
        <v>1.2816589720866699E-2</v>
      </c>
    </row>
    <row r="32" spans="1:6" x14ac:dyDescent="0.2">
      <c r="A32" s="203" t="s">
        <v>1065</v>
      </c>
      <c r="B32" s="203" t="s">
        <v>1066</v>
      </c>
      <c r="C32" s="203">
        <v>2042.0083193973601</v>
      </c>
      <c r="D32" s="203">
        <v>6.5543184880416403</v>
      </c>
      <c r="E32" s="203">
        <v>3.7735301474590102E-2</v>
      </c>
      <c r="F32" s="203">
        <v>1.18701773885445E-2</v>
      </c>
    </row>
    <row r="33" spans="1:6" x14ac:dyDescent="0.2">
      <c r="A33" s="203" t="s">
        <v>1067</v>
      </c>
      <c r="B33" s="203" t="s">
        <v>1068</v>
      </c>
      <c r="C33" s="203">
        <v>2054.1966108975898</v>
      </c>
      <c r="D33" s="203">
        <v>18.742609988275699</v>
      </c>
      <c r="E33" s="203">
        <v>8.5132218851315106E-5</v>
      </c>
      <c r="F33" s="203">
        <v>2.6779553886059799E-5</v>
      </c>
    </row>
    <row r="34" spans="1:6" x14ac:dyDescent="0.2">
      <c r="A34" s="203" t="s">
        <v>1069</v>
      </c>
      <c r="B34" s="203" t="s">
        <v>1070</v>
      </c>
      <c r="C34" s="203">
        <v>2054.5623137134098</v>
      </c>
      <c r="D34" s="203">
        <v>19.1083128040875</v>
      </c>
      <c r="E34" s="203">
        <v>7.0905936165406005E-5</v>
      </c>
      <c r="F34" s="203">
        <v>2.2304473723389599E-5</v>
      </c>
    </row>
    <row r="35" spans="1:6" x14ac:dyDescent="0.2">
      <c r="A35" s="203" t="s">
        <v>1071</v>
      </c>
      <c r="B35" s="203" t="s">
        <v>1072</v>
      </c>
      <c r="C35" s="203">
        <v>2055.0234810362699</v>
      </c>
      <c r="D35" s="203">
        <v>19.569480126953099</v>
      </c>
      <c r="E35" s="203">
        <v>5.6304276673384603E-5</v>
      </c>
      <c r="F35" s="203">
        <v>1.7711313431451E-5</v>
      </c>
    </row>
    <row r="36" spans="1:6" x14ac:dyDescent="0.2">
      <c r="A36" s="203" t="s">
        <v>1073</v>
      </c>
      <c r="B36" s="203" t="s">
        <v>1074</v>
      </c>
      <c r="C36" s="203">
        <v>2055.1158813821498</v>
      </c>
      <c r="D36" s="203">
        <v>19.661880472833001</v>
      </c>
      <c r="E36" s="203">
        <v>5.3762184062259701E-5</v>
      </c>
      <c r="F36" s="203">
        <v>1.6911661936617201E-5</v>
      </c>
    </row>
    <row r="37" spans="1:6" x14ac:dyDescent="0.2">
      <c r="A37" s="203" t="s">
        <v>1075</v>
      </c>
      <c r="B37" s="203" t="s">
        <v>1076</v>
      </c>
      <c r="C37" s="203">
        <v>2055.4487684824499</v>
      </c>
      <c r="D37" s="203">
        <v>19.994767573128001</v>
      </c>
      <c r="E37" s="203">
        <v>4.5518861175867501E-5</v>
      </c>
      <c r="F37" s="203">
        <v>1.4318607128285699E-5</v>
      </c>
    </row>
    <row r="38" spans="1:6" x14ac:dyDescent="0.2">
      <c r="A38" s="203" t="s">
        <v>1077</v>
      </c>
      <c r="B38" s="203" t="s">
        <v>1078</v>
      </c>
      <c r="C38" s="203">
        <v>2056.4540250195701</v>
      </c>
      <c r="D38" s="203">
        <v>21.0000241102532</v>
      </c>
      <c r="E38" s="203">
        <v>2.7536117396364899E-5</v>
      </c>
      <c r="F38" s="203">
        <v>8.6618785411515494E-6</v>
      </c>
    </row>
    <row r="39" spans="1:6" x14ac:dyDescent="0.2">
      <c r="A39" s="203" t="s">
        <v>1079</v>
      </c>
      <c r="B39" s="203" t="s">
        <v>1080</v>
      </c>
      <c r="C39" s="203">
        <v>2059.61422984312</v>
      </c>
      <c r="D39" s="203">
        <v>24.160228933802301</v>
      </c>
      <c r="E39" s="203">
        <v>5.6711736601980996E-6</v>
      </c>
      <c r="F39" s="203">
        <v>1.78394857645757E-6</v>
      </c>
    </row>
    <row r="40" spans="1:6" x14ac:dyDescent="0.2">
      <c r="A40" s="203" t="s">
        <v>1081</v>
      </c>
      <c r="B40" s="203" t="s">
        <v>1082</v>
      </c>
      <c r="C40" s="203">
        <v>2059.8587083318698</v>
      </c>
      <c r="D40" s="203">
        <v>24.4047074225562</v>
      </c>
      <c r="E40" s="203">
        <v>5.0186292903424604E-6</v>
      </c>
      <c r="F40" s="203">
        <v>1.57868143610365E-6</v>
      </c>
    </row>
    <row r="41" spans="1:6" x14ac:dyDescent="0.2">
      <c r="A41" s="203" t="s">
        <v>1083</v>
      </c>
      <c r="B41" s="203" t="s">
        <v>1084</v>
      </c>
      <c r="C41" s="203">
        <v>2060.7385524542601</v>
      </c>
      <c r="D41" s="203">
        <v>25.284551544943302</v>
      </c>
      <c r="E41" s="203">
        <v>3.2324319689673799E-6</v>
      </c>
      <c r="F41" s="203">
        <v>1.01680758782017E-6</v>
      </c>
    </row>
    <row r="42" spans="1:6" x14ac:dyDescent="0.2">
      <c r="A42" s="203" t="s">
        <v>1085</v>
      </c>
      <c r="B42" s="203" t="s">
        <v>1086</v>
      </c>
      <c r="C42" s="203">
        <v>2077.4746442944302</v>
      </c>
      <c r="D42" s="203">
        <v>42.020643385112002</v>
      </c>
      <c r="E42" s="203">
        <v>7.5046980971768799E-10</v>
      </c>
      <c r="F42" s="203">
        <v>2.3607098440951101E-10</v>
      </c>
    </row>
    <row r="43" spans="1:6" x14ac:dyDescent="0.2">
      <c r="A43" s="203" t="s">
        <v>1087</v>
      </c>
      <c r="B43" s="203" t="s">
        <v>1088</v>
      </c>
      <c r="C43" s="203">
        <v>2077.9612262898299</v>
      </c>
      <c r="D43" s="203">
        <v>42.507225380516303</v>
      </c>
      <c r="E43" s="203">
        <v>5.8840084549794401E-10</v>
      </c>
      <c r="F43" s="203">
        <v>1.85089879733259E-10</v>
      </c>
    </row>
    <row r="44" spans="1:6" x14ac:dyDescent="0.2">
      <c r="A44" s="203" t="s">
        <v>1089</v>
      </c>
      <c r="B44" s="203" t="s">
        <v>1090</v>
      </c>
      <c r="C44" s="203">
        <v>2077.9699202132801</v>
      </c>
      <c r="D44" s="203">
        <v>42.515919303959699</v>
      </c>
      <c r="E44" s="203">
        <v>5.8584864073264901E-10</v>
      </c>
      <c r="F44" s="203">
        <v>1.8428704731607701E-10</v>
      </c>
    </row>
    <row r="45" spans="1:6" x14ac:dyDescent="0.2">
      <c r="A45" s="203" t="s">
        <v>1091</v>
      </c>
      <c r="B45" s="203" t="s">
        <v>1092</v>
      </c>
      <c r="C45" s="203">
        <v>2078.04361063032</v>
      </c>
      <c r="D45" s="203">
        <v>42.5896097209991</v>
      </c>
      <c r="E45" s="203">
        <v>5.6465575113596898E-10</v>
      </c>
      <c r="F45" s="203">
        <v>1.7762052156808899E-10</v>
      </c>
    </row>
    <row r="46" spans="1:6" x14ac:dyDescent="0.2">
      <c r="A46" s="203" t="s">
        <v>1093</v>
      </c>
      <c r="B46" s="203" t="s">
        <v>1094</v>
      </c>
      <c r="C46" s="203">
        <v>2078.6960906672398</v>
      </c>
      <c r="D46" s="203">
        <v>43.242089757917903</v>
      </c>
      <c r="E46" s="203">
        <v>4.0747363735041401E-10</v>
      </c>
      <c r="F46" s="203">
        <v>1.2817664540885701E-10</v>
      </c>
    </row>
    <row r="47" spans="1:6" x14ac:dyDescent="0.2">
      <c r="A47" s="203" t="s">
        <v>1095</v>
      </c>
      <c r="B47" s="203" t="s">
        <v>1096</v>
      </c>
      <c r="C47" s="203">
        <v>2080.7933775228398</v>
      </c>
      <c r="D47" s="203">
        <v>45.339376613523399</v>
      </c>
      <c r="E47" s="203">
        <v>1.42783972921983E-10</v>
      </c>
      <c r="F47" s="203">
        <v>4.4914735555149799E-11</v>
      </c>
    </row>
    <row r="48" spans="1:6" x14ac:dyDescent="0.2">
      <c r="A48" s="203" t="s">
        <v>1097</v>
      </c>
      <c r="B48" s="203" t="s">
        <v>1098</v>
      </c>
      <c r="C48" s="203">
        <v>2093.0795798965701</v>
      </c>
      <c r="D48" s="203">
        <v>57.625578987252297</v>
      </c>
      <c r="E48" s="203">
        <v>3.0673583390459801E-13</v>
      </c>
      <c r="F48" s="203">
        <v>9.6488132268465897E-14</v>
      </c>
    </row>
    <row r="49" spans="1:6" x14ac:dyDescent="0.2">
      <c r="A49" s="203" t="s">
        <v>1099</v>
      </c>
      <c r="B49" s="203" t="s">
        <v>1100</v>
      </c>
      <c r="C49" s="203">
        <v>2093.4962892550998</v>
      </c>
      <c r="D49" s="203">
        <v>58.042288345779298</v>
      </c>
      <c r="E49" s="203">
        <v>2.4904465606739299E-13</v>
      </c>
      <c r="F49" s="203">
        <v>7.8340549291215494E-14</v>
      </c>
    </row>
    <row r="50" spans="1:6" x14ac:dyDescent="0.2">
      <c r="A50" s="203" t="s">
        <v>1101</v>
      </c>
      <c r="B50" s="203" t="s">
        <v>1048</v>
      </c>
      <c r="C50" s="203">
        <v>2094.95106689366</v>
      </c>
      <c r="D50" s="203">
        <v>59.497065984342697</v>
      </c>
      <c r="E50" s="203">
        <v>1.20330653909802E-13</v>
      </c>
      <c r="F50" s="203">
        <v>3.7851723753968499E-14</v>
      </c>
    </row>
    <row r="51" spans="1:6" x14ac:dyDescent="0.2">
      <c r="A51" s="203"/>
      <c r="B51" s="203"/>
      <c r="C51" s="203"/>
      <c r="D51" s="203"/>
      <c r="E51" s="203"/>
      <c r="F51" s="203"/>
    </row>
    <row r="52" spans="1:6" x14ac:dyDescent="0.2">
      <c r="A52" s="203"/>
      <c r="B52" s="205" t="s">
        <v>127</v>
      </c>
      <c r="C52" s="203"/>
      <c r="D52" s="203"/>
      <c r="E52" s="203"/>
      <c r="F52" s="203"/>
    </row>
    <row r="53" spans="1:6" x14ac:dyDescent="0.2">
      <c r="A53" s="202" t="s">
        <v>1007</v>
      </c>
      <c r="B53" s="202" t="s">
        <v>1008</v>
      </c>
      <c r="C53" s="202" t="s">
        <v>1009</v>
      </c>
      <c r="D53" s="206" t="s">
        <v>1010</v>
      </c>
      <c r="E53" s="206" t="s">
        <v>1011</v>
      </c>
      <c r="F53" s="206" t="s">
        <v>1012</v>
      </c>
    </row>
    <row r="54" spans="1:6" x14ac:dyDescent="0.2">
      <c r="A54" s="203" t="s">
        <v>1102</v>
      </c>
      <c r="B54" s="203" t="s">
        <v>1088</v>
      </c>
      <c r="C54" s="203">
        <v>1822.97345679502</v>
      </c>
      <c r="D54" s="204">
        <v>0</v>
      </c>
      <c r="E54" s="204">
        <v>1</v>
      </c>
      <c r="F54" s="204">
        <v>0.14498933882325801</v>
      </c>
    </row>
    <row r="55" spans="1:6" x14ac:dyDescent="0.2">
      <c r="A55" s="203" t="s">
        <v>1103</v>
      </c>
      <c r="B55" s="203" t="s">
        <v>1086</v>
      </c>
      <c r="C55" s="203">
        <v>1822.9844977228699</v>
      </c>
      <c r="D55" s="204">
        <v>1.10409278518091E-2</v>
      </c>
      <c r="E55" s="204">
        <v>0.99449474583389297</v>
      </c>
      <c r="F55" s="204">
        <v>0.14419113566166</v>
      </c>
    </row>
    <row r="56" spans="1:6" x14ac:dyDescent="0.2">
      <c r="A56" s="203" t="s">
        <v>1104</v>
      </c>
      <c r="B56" s="203" t="s">
        <v>1098</v>
      </c>
      <c r="C56" s="203">
        <v>1823.1002724238499</v>
      </c>
      <c r="D56" s="204">
        <v>0.12681562882698899</v>
      </c>
      <c r="E56" s="204">
        <v>0.93856063707555604</v>
      </c>
      <c r="F56" s="204">
        <v>0.136081286215121</v>
      </c>
    </row>
    <row r="57" spans="1:6" x14ac:dyDescent="0.2">
      <c r="A57" s="203" t="s">
        <v>1105</v>
      </c>
      <c r="B57" s="203" t="s">
        <v>1100</v>
      </c>
      <c r="C57" s="203">
        <v>1823.12801120214</v>
      </c>
      <c r="D57" s="204">
        <v>0.15455440711730301</v>
      </c>
      <c r="E57" s="204">
        <v>0.92563322921439695</v>
      </c>
      <c r="F57" s="204">
        <v>0.13420694989663301</v>
      </c>
    </row>
    <row r="58" spans="1:6" x14ac:dyDescent="0.2">
      <c r="A58" s="203" t="s">
        <v>1106</v>
      </c>
      <c r="B58" s="203" t="s">
        <v>1096</v>
      </c>
      <c r="C58" s="203">
        <v>1823.2139175058201</v>
      </c>
      <c r="D58" s="204">
        <v>0.24046071080238099</v>
      </c>
      <c r="E58" s="204">
        <v>0.88671615333392695</v>
      </c>
      <c r="F58" s="204">
        <v>0.12856438879578899</v>
      </c>
    </row>
    <row r="59" spans="1:6" x14ac:dyDescent="0.2">
      <c r="A59" s="203" t="s">
        <v>1107</v>
      </c>
      <c r="B59" s="203" t="s">
        <v>1048</v>
      </c>
      <c r="C59" s="203">
        <v>1823.23459894335</v>
      </c>
      <c r="D59" s="204">
        <v>0.261142148332283</v>
      </c>
      <c r="E59" s="204">
        <v>0.87759411646204799</v>
      </c>
      <c r="F59" s="204">
        <v>0.12724179070101399</v>
      </c>
    </row>
    <row r="60" spans="1:6" x14ac:dyDescent="0.2">
      <c r="A60" s="203" t="s">
        <v>1108</v>
      </c>
      <c r="B60" s="203" t="s">
        <v>1080</v>
      </c>
      <c r="C60" s="203">
        <v>1826.2135809952799</v>
      </c>
      <c r="D60" s="204">
        <v>3.2401242002592898</v>
      </c>
      <c r="E60" s="204">
        <v>0.19788640993032799</v>
      </c>
      <c r="F60" s="204">
        <v>2.8691419737906499E-2</v>
      </c>
    </row>
    <row r="61" spans="1:6" x14ac:dyDescent="0.2">
      <c r="A61" s="203" t="s">
        <v>1109</v>
      </c>
      <c r="B61" s="203" t="s">
        <v>1082</v>
      </c>
      <c r="C61" s="203">
        <v>1826.22801006596</v>
      </c>
      <c r="D61" s="204">
        <v>3.2545532709409599</v>
      </c>
      <c r="E61" s="204">
        <v>0.19646388901624101</v>
      </c>
      <c r="F61" s="204">
        <v>2.8485169371110699E-2</v>
      </c>
    </row>
    <row r="62" spans="1:6" x14ac:dyDescent="0.2">
      <c r="A62" s="203" t="s">
        <v>1110</v>
      </c>
      <c r="B62" s="203" t="s">
        <v>1084</v>
      </c>
      <c r="C62" s="203">
        <v>1826.2964938714199</v>
      </c>
      <c r="D62" s="204">
        <v>3.3230370764010799</v>
      </c>
      <c r="E62" s="204">
        <v>0.189850465912176</v>
      </c>
      <c r="F62" s="204">
        <v>2.7526293527893798E-2</v>
      </c>
    </row>
    <row r="63" spans="1:6" x14ac:dyDescent="0.2">
      <c r="A63" s="203" t="s">
        <v>1111</v>
      </c>
      <c r="B63" s="203" t="s">
        <v>1070</v>
      </c>
      <c r="C63" s="203">
        <v>1827.5057026900899</v>
      </c>
      <c r="D63" s="204">
        <v>4.5322458950699902</v>
      </c>
      <c r="E63" s="204">
        <v>0.10371350430036901</v>
      </c>
      <c r="F63" s="204">
        <v>1.5037352415553699E-2</v>
      </c>
    </row>
    <row r="64" spans="1:6" x14ac:dyDescent="0.2">
      <c r="A64" s="203" t="s">
        <v>1112</v>
      </c>
      <c r="B64" s="203" t="s">
        <v>1068</v>
      </c>
      <c r="C64" s="203">
        <v>1827.5327246878901</v>
      </c>
      <c r="D64" s="204">
        <v>4.5592678928692303</v>
      </c>
      <c r="E64" s="204">
        <v>0.10232165506772201</v>
      </c>
      <c r="F64" s="204">
        <v>1.48355491155704E-2</v>
      </c>
    </row>
    <row r="65" spans="1:6" x14ac:dyDescent="0.2">
      <c r="A65" s="203" t="s">
        <v>1113</v>
      </c>
      <c r="B65" s="203" t="s">
        <v>1078</v>
      </c>
      <c r="C65" s="203">
        <v>1827.66757330108</v>
      </c>
      <c r="D65" s="204">
        <v>4.6941165060561598</v>
      </c>
      <c r="E65" s="204">
        <v>9.5650127221069095E-2</v>
      </c>
      <c r="F65" s="204">
        <v>1.3868248704143301E-2</v>
      </c>
    </row>
    <row r="66" spans="1:6" x14ac:dyDescent="0.2">
      <c r="A66" s="203" t="s">
        <v>1114</v>
      </c>
      <c r="B66" s="203" t="s">
        <v>1092</v>
      </c>
      <c r="C66" s="203">
        <v>1828.0039521757001</v>
      </c>
      <c r="D66" s="204">
        <v>5.0304953806789898</v>
      </c>
      <c r="E66" s="204">
        <v>8.0842885724812297E-2</v>
      </c>
      <c r="F66" s="204">
        <v>1.1721356549804701E-2</v>
      </c>
    </row>
    <row r="67" spans="1:6" x14ac:dyDescent="0.2">
      <c r="A67" s="203" t="s">
        <v>1115</v>
      </c>
      <c r="B67" s="203" t="s">
        <v>1094</v>
      </c>
      <c r="C67" s="203">
        <v>1828.0495642487299</v>
      </c>
      <c r="D67" s="204">
        <v>5.0761074537113</v>
      </c>
      <c r="E67" s="204">
        <v>7.9020044815671694E-2</v>
      </c>
      <c r="F67" s="204">
        <v>1.1457064051608399E-2</v>
      </c>
    </row>
    <row r="68" spans="1:6" x14ac:dyDescent="0.2">
      <c r="A68" s="203" t="s">
        <v>1116</v>
      </c>
      <c r="B68" s="203" t="s">
        <v>1090</v>
      </c>
      <c r="C68" s="203">
        <v>1828.2470034901201</v>
      </c>
      <c r="D68" s="204">
        <v>5.2735466951016896</v>
      </c>
      <c r="E68" s="204">
        <v>7.1591899452739E-2</v>
      </c>
      <c r="F68" s="204">
        <v>1.0380062166753801E-2</v>
      </c>
    </row>
    <row r="69" spans="1:6" x14ac:dyDescent="0.2">
      <c r="A69" s="203" t="s">
        <v>1117</v>
      </c>
      <c r="B69" s="203" t="s">
        <v>1056</v>
      </c>
      <c r="C69" s="203">
        <v>1830.2626125311999</v>
      </c>
      <c r="D69" s="204">
        <v>7.2891557361781496</v>
      </c>
      <c r="E69" s="204">
        <v>2.6132438862260399E-2</v>
      </c>
      <c r="F69" s="204">
        <v>3.7889250324783501E-3</v>
      </c>
    </row>
    <row r="70" spans="1:6" x14ac:dyDescent="0.2">
      <c r="A70" s="203" t="s">
        <v>1118</v>
      </c>
      <c r="B70" s="203" t="s">
        <v>1058</v>
      </c>
      <c r="C70" s="203">
        <v>1830.3012790881601</v>
      </c>
      <c r="D70" s="204">
        <v>7.32782229313489</v>
      </c>
      <c r="E70" s="204">
        <v>2.56320656571889E-2</v>
      </c>
      <c r="F70" s="204">
        <v>3.7163762523101502E-3</v>
      </c>
    </row>
    <row r="71" spans="1:6" x14ac:dyDescent="0.2">
      <c r="A71" s="203" t="s">
        <v>1119</v>
      </c>
      <c r="B71" s="203" t="s">
        <v>1060</v>
      </c>
      <c r="C71" s="203">
        <v>1830.68128110308</v>
      </c>
      <c r="D71" s="204">
        <v>7.7078243080582096</v>
      </c>
      <c r="E71" s="204">
        <v>2.1196649462225901E-2</v>
      </c>
      <c r="F71" s="204">
        <v>3.0732881907965001E-3</v>
      </c>
    </row>
    <row r="72" spans="1:6" x14ac:dyDescent="0.2">
      <c r="A72" s="203" t="s">
        <v>1120</v>
      </c>
      <c r="B72" s="203" t="s">
        <v>1050</v>
      </c>
      <c r="C72" s="203">
        <v>1830.9816587102</v>
      </c>
      <c r="D72" s="204">
        <v>8.0082019151775494</v>
      </c>
      <c r="E72" s="204">
        <v>1.8240681034982199E-2</v>
      </c>
      <c r="F72" s="204">
        <v>2.64470428294801E-3</v>
      </c>
    </row>
    <row r="73" spans="1:6" x14ac:dyDescent="0.2">
      <c r="A73" s="203" t="s">
        <v>1121</v>
      </c>
      <c r="B73" s="203" t="s">
        <v>1052</v>
      </c>
      <c r="C73" s="203">
        <v>1831.0011597938301</v>
      </c>
      <c r="D73" s="204">
        <v>8.0277029988078503</v>
      </c>
      <c r="E73" s="204">
        <v>1.80636887991759E-2</v>
      </c>
      <c r="F73" s="204">
        <v>2.6190422957016002E-3</v>
      </c>
    </row>
    <row r="74" spans="1:6" x14ac:dyDescent="0.2">
      <c r="A74" s="203" t="s">
        <v>1122</v>
      </c>
      <c r="B74" s="203" t="s">
        <v>1054</v>
      </c>
      <c r="C74" s="203">
        <v>1831.0795845206901</v>
      </c>
      <c r="D74" s="204">
        <v>8.1061277256703796</v>
      </c>
      <c r="E74" s="204">
        <v>1.7369076564024699E-2</v>
      </c>
      <c r="F74" s="204">
        <v>2.5183309269884899E-3</v>
      </c>
    </row>
    <row r="75" spans="1:6" x14ac:dyDescent="0.2">
      <c r="A75" s="203" t="s">
        <v>1123</v>
      </c>
      <c r="B75" s="203" t="s">
        <v>1072</v>
      </c>
      <c r="C75" s="203">
        <v>1832.6421094771399</v>
      </c>
      <c r="D75" s="204">
        <v>9.6686526821144998</v>
      </c>
      <c r="E75" s="204">
        <v>7.9520434861924394E-3</v>
      </c>
      <c r="F75" s="204">
        <v>1.1529615273568399E-3</v>
      </c>
    </row>
    <row r="76" spans="1:6" x14ac:dyDescent="0.2">
      <c r="A76" s="203" t="s">
        <v>1124</v>
      </c>
      <c r="B76" s="203" t="s">
        <v>1076</v>
      </c>
      <c r="C76" s="203">
        <v>1832.68558714752</v>
      </c>
      <c r="D76" s="204">
        <v>9.7121303524982103</v>
      </c>
      <c r="E76" s="204">
        <v>7.7810407577491598E-3</v>
      </c>
      <c r="F76" s="204">
        <v>1.1281679548228701E-3</v>
      </c>
    </row>
    <row r="77" spans="1:6" x14ac:dyDescent="0.2">
      <c r="A77" s="203" t="s">
        <v>1125</v>
      </c>
      <c r="B77" s="203" t="s">
        <v>1074</v>
      </c>
      <c r="C77" s="203">
        <v>1832.8171597641899</v>
      </c>
      <c r="D77" s="204">
        <v>9.8437029691672304</v>
      </c>
      <c r="E77" s="204">
        <v>7.2856291215270602E-3</v>
      </c>
      <c r="F77" s="204">
        <v>1.0563385492416799E-3</v>
      </c>
    </row>
    <row r="78" spans="1:6" x14ac:dyDescent="0.2">
      <c r="A78" s="203" t="s">
        <v>1126</v>
      </c>
      <c r="B78" s="203" t="s">
        <v>1062</v>
      </c>
      <c r="C78" s="203">
        <v>1834.9334485660399</v>
      </c>
      <c r="D78" s="204">
        <v>11.959991771022899</v>
      </c>
      <c r="E78" s="204">
        <v>2.5288366970774301E-3</v>
      </c>
      <c r="F78" s="204">
        <v>3.6665436070124801E-4</v>
      </c>
    </row>
    <row r="79" spans="1:6" x14ac:dyDescent="0.2">
      <c r="A79" s="203" t="s">
        <v>1127</v>
      </c>
      <c r="B79" s="203" t="s">
        <v>1066</v>
      </c>
      <c r="C79" s="203">
        <v>1834.9777369728099</v>
      </c>
      <c r="D79" s="204">
        <v>12.004280177785899</v>
      </c>
      <c r="E79" s="204">
        <v>2.4734530989359198E-3</v>
      </c>
      <c r="F79" s="204">
        <v>3.5862432942505699E-4</v>
      </c>
    </row>
    <row r="80" spans="1:6" x14ac:dyDescent="0.2">
      <c r="A80" s="203" t="s">
        <v>1128</v>
      </c>
      <c r="B80" s="203" t="s">
        <v>1064</v>
      </c>
      <c r="C80" s="203">
        <v>1835.34019321746</v>
      </c>
      <c r="D80" s="204">
        <v>12.3667364224343</v>
      </c>
      <c r="E80" s="204">
        <v>2.0634659474846502E-3</v>
      </c>
      <c r="F80" s="204">
        <v>2.9918056341010602E-4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15</vt:i4>
      </vt:variant>
    </vt:vector>
  </HeadingPairs>
  <TitlesOfParts>
    <vt:vector size="15" baseType="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Edel Lopez</cp:lastModifiedBy>
  <dcterms:created xsi:type="dcterms:W3CDTF">2022-09-27T13:15:11Z</dcterms:created>
  <dcterms:modified xsi:type="dcterms:W3CDTF">2024-01-15T19:31:56Z</dcterms:modified>
</cp:coreProperties>
</file>