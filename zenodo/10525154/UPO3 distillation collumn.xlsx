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3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4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7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nubeusc-my.sharepoint.com/personal/alejandro_moure_usc_es/Documents/Juan de la Cierva/Papers/Data in Brief/"/>
    </mc:Choice>
  </mc:AlternateContent>
  <xr:revisionPtr revIDLastSave="2" documentId="8_{45BCDAB3-D6D8-4AB6-BC4E-9B97ED3A5248}" xr6:coauthVersionLast="47" xr6:coauthVersionMax="47" xr10:uidLastSave="{FF6ECEC5-D97F-4E52-BA22-97B1ED67CE47}"/>
  <bookViews>
    <workbookView xWindow="-28920" yWindow="-120" windowWidth="29040" windowHeight="15840" activeTab="7" xr2:uid="{00000000-000D-0000-FFFF-FFFF00000000}"/>
  </bookViews>
  <sheets>
    <sheet name="Refraction Index" sheetId="1" r:id="rId1"/>
    <sheet name="Boil-up &amp; Heating" sheetId="5" r:id="rId2"/>
    <sheet name="Boil-up &amp; Heating (2)" sheetId="6" r:id="rId3"/>
    <sheet name="UNIFAC" sheetId="2" r:id="rId4"/>
    <sheet name="IDEAL" sheetId="3" r:id="rId5"/>
    <sheet name="UNIFAC_IDEAL" sheetId="7" r:id="rId6"/>
    <sheet name="METHYL-TOLUENE-UNIFAC" sheetId="4" r:id="rId7"/>
    <sheet name="Titration080623" sheetId="8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8" l="1"/>
  <c r="H23" i="8"/>
  <c r="H22" i="8"/>
  <c r="H21" i="8"/>
  <c r="I21" i="8" s="1"/>
  <c r="E19" i="8"/>
  <c r="E22" i="8" s="1"/>
  <c r="B19" i="8"/>
  <c r="B15" i="8"/>
  <c r="H14" i="8"/>
  <c r="H13" i="8"/>
  <c r="H12" i="8"/>
  <c r="I12" i="8" s="1"/>
  <c r="E10" i="8"/>
  <c r="E13" i="8" s="1"/>
  <c r="B10" i="8"/>
  <c r="B7" i="8"/>
  <c r="H6" i="8"/>
  <c r="H5" i="8"/>
  <c r="H4" i="8"/>
  <c r="I4" i="8" s="1"/>
  <c r="E2" i="8"/>
  <c r="E5" i="8" s="1"/>
  <c r="B2" i="8"/>
  <c r="G15" i="6" l="1"/>
  <c r="F15" i="6"/>
  <c r="E15" i="6"/>
  <c r="D15" i="6"/>
  <c r="C15" i="6"/>
  <c r="G2" i="6"/>
  <c r="F2" i="6"/>
  <c r="E2" i="6"/>
  <c r="D2" i="6"/>
  <c r="C2" i="6"/>
  <c r="G3" i="1"/>
  <c r="G4" i="1"/>
  <c r="G2" i="1"/>
  <c r="G25" i="6"/>
  <c r="F25" i="6"/>
  <c r="E25" i="6"/>
  <c r="D25" i="6"/>
  <c r="C25" i="6"/>
  <c r="G25" i="5"/>
  <c r="F25" i="5"/>
  <c r="E25" i="5"/>
  <c r="D25" i="5"/>
  <c r="C25" i="5"/>
  <c r="G23" i="6"/>
  <c r="F23" i="6"/>
  <c r="E23" i="6"/>
  <c r="D23" i="6"/>
  <c r="C23" i="6"/>
  <c r="G21" i="6"/>
  <c r="F21" i="6"/>
  <c r="E21" i="6"/>
  <c r="D21" i="6"/>
  <c r="C21" i="6"/>
  <c r="D12" i="6"/>
  <c r="E12" i="6"/>
  <c r="F12" i="6"/>
  <c r="C12" i="6"/>
  <c r="F10" i="6"/>
  <c r="D10" i="6"/>
  <c r="E10" i="6"/>
  <c r="C10" i="6"/>
  <c r="D8" i="6"/>
  <c r="E8" i="6"/>
  <c r="F8" i="6"/>
  <c r="C8" i="6"/>
  <c r="G16" i="6"/>
  <c r="F16" i="6"/>
  <c r="E16" i="6"/>
  <c r="D16" i="6"/>
  <c r="C16" i="6"/>
  <c r="F3" i="6"/>
  <c r="E3" i="6"/>
  <c r="D3" i="6"/>
  <c r="C3" i="6"/>
  <c r="L4" i="1"/>
  <c r="L3" i="1"/>
  <c r="L2" i="1"/>
  <c r="P3" i="1"/>
  <c r="P4" i="1"/>
  <c r="P2" i="1"/>
  <c r="O3" i="1"/>
  <c r="O4" i="1"/>
  <c r="O2" i="1"/>
  <c r="W3" i="1"/>
  <c r="W2" i="1"/>
  <c r="U3" i="1"/>
  <c r="D92" i="1"/>
  <c r="G23" i="5"/>
  <c r="G21" i="5"/>
  <c r="F23" i="5"/>
  <c r="E23" i="5"/>
  <c r="D23" i="5"/>
  <c r="C23" i="5"/>
  <c r="F21" i="5"/>
  <c r="E21" i="5"/>
  <c r="D21" i="5"/>
  <c r="C21" i="5"/>
  <c r="D12" i="5"/>
  <c r="E12" i="5"/>
  <c r="F12" i="5"/>
  <c r="C12" i="5"/>
  <c r="F10" i="5"/>
  <c r="D10" i="5"/>
  <c r="E10" i="5"/>
  <c r="C10" i="5"/>
  <c r="D8" i="5"/>
  <c r="E8" i="5"/>
  <c r="F8" i="5"/>
  <c r="C8" i="5"/>
  <c r="R3" i="1"/>
  <c r="R4" i="1"/>
  <c r="R2" i="1"/>
  <c r="Q3" i="1"/>
  <c r="Q4" i="1"/>
  <c r="Q2" i="1"/>
  <c r="E2" i="1"/>
  <c r="D3" i="1"/>
  <c r="D4" i="1"/>
  <c r="D5" i="1"/>
  <c r="D6" i="1"/>
  <c r="D7" i="1"/>
  <c r="D2" i="1"/>
  <c r="C4" i="1"/>
  <c r="C5" i="1"/>
  <c r="C6" i="1"/>
  <c r="C7" i="1"/>
  <c r="C2" i="1"/>
  <c r="C3" i="1"/>
  <c r="B4" i="1"/>
  <c r="B5" i="1"/>
  <c r="B6" i="1"/>
  <c r="B7" i="1"/>
  <c r="B3" i="1"/>
  <c r="B2" i="1"/>
  <c r="K7" i="1"/>
  <c r="K3" i="1"/>
  <c r="K4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tc={588B743E-E2DB-4A37-93DF-948B69C76A0D}</author>
    <author>tc={4A83B633-6C1D-4A31-AEC8-7D5C8EE71A82}</author>
  </authors>
  <commentList>
    <comment ref="E2" authorId="0" shapeId="0" xr:uid="{588B743E-E2DB-4A37-93DF-948B69C76A0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values measure in the ethanol from the bottle: 1.3641-1.3643 However, I consider this other value in order to prevent the calculated concentration to be above the azeotrope level</t>
      </text>
    </comment>
    <comment ref="E7" authorId="1" shapeId="0" xr:uid="{4A83B633-6C1D-4A31-AEC8-7D5C8EE71A8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values measure in the ethanol from the bottle: 1.3329 However, I consider this other value in order to prevent the calculated concentration to be above the azeotrope level</t>
      </text>
    </comment>
  </commentList>
</comments>
</file>

<file path=xl/sharedStrings.xml><?xml version="1.0" encoding="utf-8"?>
<sst xmlns="http://schemas.openxmlformats.org/spreadsheetml/2006/main" count="267" uniqueCount="122">
  <si>
    <t>vol.% ethanol</t>
  </si>
  <si>
    <t>RI</t>
  </si>
  <si>
    <t>mas% ethanol</t>
  </si>
  <si>
    <t>Last points</t>
  </si>
  <si>
    <t>First points</t>
  </si>
  <si>
    <t>PRES</t>
  </si>
  <si>
    <t>MOLEFRAC ETHAN-01</t>
  </si>
  <si>
    <t>TOTAL TEMP</t>
  </si>
  <si>
    <t>TOTAL KVL ETHAN-01</t>
  </si>
  <si>
    <t>TOTAL KVL WATER</t>
  </si>
  <si>
    <t>LIQUID1 GAMMA ETHAN-01</t>
  </si>
  <si>
    <t>LIQUID1 GAMMA WATER</t>
  </si>
  <si>
    <t>LIQUID2 GAMMA ETHAN-01</t>
  </si>
  <si>
    <t>LIQUID2 GAMMA WATER</t>
  </si>
  <si>
    <t>TOTAL KVL2 ETHAN-01</t>
  </si>
  <si>
    <t>TOTAL KVL2 WATER</t>
  </si>
  <si>
    <t>TOTAL BETA</t>
  </si>
  <si>
    <t>VAPOR MOLEFRAC ETHAN-01</t>
  </si>
  <si>
    <t>VAPOR MOLEFRAC WATER</t>
  </si>
  <si>
    <t>LIQUID1 MOLEFRAC ETHAN-01</t>
  </si>
  <si>
    <t>LIQUID1 MOLEFRAC WATER</t>
  </si>
  <si>
    <t>LIQUID2 MOLEFRAC ETHAN-01</t>
  </si>
  <si>
    <t>LIQUID2 MOLEFRAC WATER</t>
  </si>
  <si>
    <t>bar</t>
  </si>
  <si>
    <t>C</t>
  </si>
  <si>
    <t>Heater/(kW)</t>
  </si>
  <si>
    <t>T1/©</t>
  </si>
  <si>
    <t>Average/©</t>
  </si>
  <si>
    <t>T8/©</t>
  </si>
  <si>
    <t>Boil-up rate/(mL/min)</t>
  </si>
  <si>
    <t>RId</t>
  </si>
  <si>
    <t>RIb</t>
  </si>
  <si>
    <t>mol%ethanol</t>
  </si>
  <si>
    <t>MOLEFRAC METHY-01</t>
  </si>
  <si>
    <t>TOTAL KVL METHY-01</t>
  </si>
  <si>
    <t>TOTAL KVL TOLUE-01</t>
  </si>
  <si>
    <t>LIQUID1 GAMMA METHY-01</t>
  </si>
  <si>
    <t>LIQUID1 GAMMA TOLUE-01</t>
  </si>
  <si>
    <t>LIQUID2 GAMMA METHY-01</t>
  </si>
  <si>
    <t>LIQUID2 GAMMA TOLUE-01</t>
  </si>
  <si>
    <t>TOTAL KVL2 METHY-01</t>
  </si>
  <si>
    <t>TOTAL KVL2 TOLUE-01</t>
  </si>
  <si>
    <t>VAPOR MOLEFRAC METHY-01</t>
  </si>
  <si>
    <t>VAPOR MOLEFRAC TOLUE-01</t>
  </si>
  <si>
    <t>LIQUID1 MOLEFRAC METHY-01</t>
  </si>
  <si>
    <t>LIQUID1 MOLEFRAC TOLUE-01</t>
  </si>
  <si>
    <t>LIQUID2 MOLEFRAC METHY-01</t>
  </si>
  <si>
    <t>LIQUID2 MOLEFRAC TOLUE-01</t>
  </si>
  <si>
    <t>Heating/(kW)</t>
  </si>
  <si>
    <t>T9/©</t>
  </si>
  <si>
    <t>T11/©</t>
  </si>
  <si>
    <t>Cooling/(L/min)</t>
  </si>
  <si>
    <t>RI_Dproduct</t>
  </si>
  <si>
    <t>RI_Dphase</t>
  </si>
  <si>
    <t>RI_Wboiler</t>
  </si>
  <si>
    <t>Distilalte form the products tank</t>
  </si>
  <si>
    <t>Distillate from the phase separation tank</t>
  </si>
  <si>
    <t>Reflux ratio</t>
  </si>
  <si>
    <t>x_Dproduct</t>
  </si>
  <si>
    <t>x_Dphase</t>
  </si>
  <si>
    <t>x_Wboiler</t>
  </si>
  <si>
    <t>Heating up</t>
  </si>
  <si>
    <t>Heating down</t>
  </si>
  <si>
    <t>Distillate from the products tank</t>
  </si>
  <si>
    <t>mass%</t>
  </si>
  <si>
    <t>density</t>
  </si>
  <si>
    <t>g/cm3</t>
  </si>
  <si>
    <t>n</t>
  </si>
  <si>
    <t>concentration</t>
  </si>
  <si>
    <t>% w/w</t>
  </si>
  <si>
    <t>refractometer.pl/refraction-datasheet-ethanol</t>
  </si>
  <si>
    <t>azeotrope</t>
  </si>
  <si>
    <t>vol%</t>
  </si>
  <si>
    <t>actual</t>
  </si>
  <si>
    <t>Xd/(mol%)</t>
  </si>
  <si>
    <t>Xb/(mol%)</t>
  </si>
  <si>
    <t>Xd/(mass%)</t>
  </si>
  <si>
    <t>Xb/(mass%)</t>
  </si>
  <si>
    <t>MAX</t>
  </si>
  <si>
    <t>mol%</t>
  </si>
  <si>
    <t>Azeotrope ethanol-water</t>
  </si>
  <si>
    <t>REFERENCE</t>
  </si>
  <si>
    <t>https://www.hindawi.com/journals/ast/2022/8374471/</t>
  </si>
  <si>
    <t>https://pubmed.ncbi.nlm.nih.gov/36268753/#:~:text=Ethanol%20and%20water%20form%20an%20azeotropic%20mixture%20at,ethanol%20have%20been%20studied%20both%20experimentally%20and%20theoretically.</t>
  </si>
  <si>
    <t>Boil-up rate/(L/s)</t>
  </si>
  <si>
    <t>Heater/(W)</t>
  </si>
  <si>
    <t>Heating/(W)</t>
  </si>
  <si>
    <t>Top/©</t>
  </si>
  <si>
    <t>Bottom/©</t>
  </si>
  <si>
    <t>Reboiler/©</t>
  </si>
  <si>
    <t>Top column (ramp-down)</t>
  </si>
  <si>
    <t>Bottom column (ramp-down)</t>
  </si>
  <si>
    <t>Reboiler (ramp-down)</t>
  </si>
  <si>
    <t>Top column (ramp-up)</t>
  </si>
  <si>
    <t>Bottom column (ramp-up)</t>
  </si>
  <si>
    <t>Reboiler (ramp-up)</t>
  </si>
  <si>
    <t>Ramping up</t>
  </si>
  <si>
    <t>Ramping down</t>
  </si>
  <si>
    <t>UNIFAC</t>
  </si>
  <si>
    <t>IDEAL</t>
  </si>
  <si>
    <t>2 Drops Antifoam DP681</t>
  </si>
  <si>
    <t>I have tried before a single drop and did not work</t>
  </si>
  <si>
    <t>FEED</t>
  </si>
  <si>
    <t>g</t>
  </si>
  <si>
    <t>DISTILLATE</t>
  </si>
  <si>
    <t>FILTER</t>
  </si>
  <si>
    <t>RB+MOT</t>
  </si>
  <si>
    <t>RB</t>
  </si>
  <si>
    <t>After</t>
  </si>
  <si>
    <t>RB+MOT+AWD</t>
  </si>
  <si>
    <t>RB+MOT+AWD+DP681</t>
  </si>
  <si>
    <t>%mass balance</t>
  </si>
  <si>
    <t>%</t>
  </si>
  <si>
    <t>ANTIFOAM</t>
  </si>
  <si>
    <t>Dose</t>
  </si>
  <si>
    <t>ppm</t>
  </si>
  <si>
    <t>Volatilized</t>
  </si>
  <si>
    <t>3 Drops Antifoam DP681</t>
  </si>
  <si>
    <t>The 3 drops of DP681 are not ptimum becuase it took me very long to have this system working at 98 C for a ditillation</t>
  </si>
  <si>
    <t>4 Drops Antifoam DP681</t>
  </si>
  <si>
    <t>The distillation takes place at the maximum heating rate (i.e. hot plate at 200 C), although it can be a waste of chemicals as can be seen in what remain in the walls of the RB, which contaminate the stabilized digestate</t>
  </si>
  <si>
    <t>Minimum stirring @ 200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</si>
</sst>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.5"/>
      <color rgb="FF888888"/>
      <name val="Segoe UI"/>
      <family val="2"/>
    </font>
    <font>
      <sz val="11.5"/>
      <color rgb="FF888888"/>
      <name val="Segoe U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20" fontId="0" fillId="0" borderId="0" xfId="0" applyNumberFormat="1"/>
    <xf numFmtId="0" fontId="1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0" borderId="0" xfId="1"/>
    <xf numFmtId="0" fontId="4" fillId="0" borderId="0" xfId="1" applyFont="1"/>
    <xf numFmtId="0" fontId="1" fillId="6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29093482064741905"/>
                  <c:y val="-8.765675123942840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0908530183727034"/>
                  <c:y val="3.73458005249343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Index'!$C$2:$C$7</c:f>
              <c:numCache>
                <c:formatCode>General</c:formatCode>
                <c:ptCount val="6"/>
                <c:pt idx="0">
                  <c:v>95</c:v>
                </c:pt>
                <c:pt idx="1">
                  <c:v>72.13433925529327</c:v>
                </c:pt>
                <c:pt idx="2">
                  <c:v>51.482167670217692</c:v>
                </c:pt>
                <c:pt idx="3">
                  <c:v>32.736911862160376</c:v>
                </c:pt>
                <c:pt idx="4">
                  <c:v>15.646114864864868</c:v>
                </c:pt>
                <c:pt idx="5">
                  <c:v>0</c:v>
                </c:pt>
              </c:numCache>
            </c:numRef>
          </c:xVal>
          <c:yVal>
            <c:numRef>
              <c:f>'Refraction Index'!$E$2:$E$7</c:f>
              <c:numCache>
                <c:formatCode>General</c:formatCode>
                <c:ptCount val="6"/>
                <c:pt idx="0">
                  <c:v>1.3647</c:v>
                </c:pt>
                <c:pt idx="1">
                  <c:v>1.3619000000000001</c:v>
                </c:pt>
                <c:pt idx="2">
                  <c:v>1.3566</c:v>
                </c:pt>
                <c:pt idx="3">
                  <c:v>1.3486</c:v>
                </c:pt>
                <c:pt idx="4">
                  <c:v>1.3408</c:v>
                </c:pt>
                <c:pt idx="5">
                  <c:v>1.3326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1B-4864-8E21-26F070A1E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519392"/>
        <c:axId val="327521360"/>
      </c:scatterChart>
      <c:valAx>
        <c:axId val="32751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% Ethanol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21360"/>
        <c:crosses val="autoZero"/>
        <c:crossBetween val="midCat"/>
      </c:valAx>
      <c:valAx>
        <c:axId val="3275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Refractive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1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2980358705161854"/>
                  <c:y val="0.4720308398950131"/>
                </c:manualLayout>
              </c:layout>
              <c:numFmt formatCode="General" sourceLinked="0"/>
              <c:spPr>
                <a:solidFill>
                  <a:schemeClr val="accent1">
                    <a:lumMod val="40000"/>
                    <a:lumOff val="60000"/>
                  </a:schemeClr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Index'!$D$2:$D$7</c:f>
              <c:numCache>
                <c:formatCode>General</c:formatCode>
                <c:ptCount val="6"/>
                <c:pt idx="0">
                  <c:v>88.144329896907237</c:v>
                </c:pt>
                <c:pt idx="1">
                  <c:v>50.32163135952915</c:v>
                </c:pt>
                <c:pt idx="2">
                  <c:v>29.339218676677614</c:v>
                </c:pt>
                <c:pt idx="3">
                  <c:v>15.997984959159442</c:v>
                </c:pt>
                <c:pt idx="4">
                  <c:v>6.7668486312072567</c:v>
                </c:pt>
                <c:pt idx="5">
                  <c:v>0</c:v>
                </c:pt>
              </c:numCache>
            </c:numRef>
          </c:xVal>
          <c:yVal>
            <c:numRef>
              <c:f>'Refraction Index'!$E$2:$E$7</c:f>
              <c:numCache>
                <c:formatCode>General</c:formatCode>
                <c:ptCount val="6"/>
                <c:pt idx="0">
                  <c:v>1.3647</c:v>
                </c:pt>
                <c:pt idx="1">
                  <c:v>1.3619000000000001</c:v>
                </c:pt>
                <c:pt idx="2">
                  <c:v>1.3566</c:v>
                </c:pt>
                <c:pt idx="3">
                  <c:v>1.3486</c:v>
                </c:pt>
                <c:pt idx="4">
                  <c:v>1.3408</c:v>
                </c:pt>
                <c:pt idx="5">
                  <c:v>1.3326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F2-4657-BAB2-B99B7158998E}"/>
            </c:ext>
          </c:extLst>
        </c:ser>
        <c:ser>
          <c:idx val="1"/>
          <c:order val="1"/>
          <c:tx>
            <c:strRef>
              <c:f>'Refraction Index'!$F$2</c:f>
              <c:strCache>
                <c:ptCount val="1"/>
                <c:pt idx="0">
                  <c:v>Last points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0"/>
            <c:backward val="10"/>
            <c:dispRSqr val="1"/>
            <c:dispEq val="1"/>
            <c:trendlineLbl>
              <c:layout>
                <c:manualLayout>
                  <c:x val="-1.7070209973753282E-2"/>
                  <c:y val="0.1990740740740740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solidFill>
                    <a:schemeClr val="accent2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Index'!$D$2:$D$4</c:f>
              <c:numCache>
                <c:formatCode>General</c:formatCode>
                <c:ptCount val="3"/>
                <c:pt idx="0">
                  <c:v>88.144329896907237</c:v>
                </c:pt>
                <c:pt idx="1">
                  <c:v>50.32163135952915</c:v>
                </c:pt>
                <c:pt idx="2">
                  <c:v>29.339218676677614</c:v>
                </c:pt>
              </c:numCache>
            </c:numRef>
          </c:xVal>
          <c:yVal>
            <c:numRef>
              <c:f>'Refraction Index'!$E$2:$E$4</c:f>
              <c:numCache>
                <c:formatCode>General</c:formatCode>
                <c:ptCount val="3"/>
                <c:pt idx="0">
                  <c:v>1.3647</c:v>
                </c:pt>
                <c:pt idx="1">
                  <c:v>1.3619000000000001</c:v>
                </c:pt>
                <c:pt idx="2">
                  <c:v>1.3566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F2-4657-BAB2-B99B7158998E}"/>
            </c:ext>
          </c:extLst>
        </c:ser>
        <c:ser>
          <c:idx val="2"/>
          <c:order val="2"/>
          <c:tx>
            <c:strRef>
              <c:f>'Refraction Index'!$F$5</c:f>
              <c:strCache>
                <c:ptCount val="1"/>
                <c:pt idx="0">
                  <c:v>First points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10"/>
            <c:backward val="10"/>
            <c:dispRSqr val="1"/>
            <c:dispEq val="1"/>
            <c:trendlineLbl>
              <c:layout>
                <c:manualLayout>
                  <c:x val="0.16281080489938757"/>
                  <c:y val="0.37722368037328668"/>
                </c:manualLayout>
              </c:layout>
              <c:numFmt formatCode="General" sourceLinked="0"/>
              <c:spPr>
                <a:solidFill>
                  <a:schemeClr val="accent3">
                    <a:lumMod val="40000"/>
                    <a:lumOff val="60000"/>
                  </a:schemeClr>
                </a:solidFill>
                <a:ln>
                  <a:solidFill>
                    <a:schemeClr val="accent3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Index'!$D$5:$D$7</c:f>
              <c:numCache>
                <c:formatCode>General</c:formatCode>
                <c:ptCount val="3"/>
                <c:pt idx="0">
                  <c:v>15.997984959159442</c:v>
                </c:pt>
                <c:pt idx="1">
                  <c:v>6.7668486312072567</c:v>
                </c:pt>
                <c:pt idx="2">
                  <c:v>0</c:v>
                </c:pt>
              </c:numCache>
            </c:numRef>
          </c:xVal>
          <c:yVal>
            <c:numRef>
              <c:f>'Refraction Index'!$E$5:$E$7</c:f>
              <c:numCache>
                <c:formatCode>General</c:formatCode>
                <c:ptCount val="3"/>
                <c:pt idx="0">
                  <c:v>1.3486</c:v>
                </c:pt>
                <c:pt idx="1">
                  <c:v>1.3408</c:v>
                </c:pt>
                <c:pt idx="2">
                  <c:v>1.3326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F2-4657-BAB2-B99B71589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519392"/>
        <c:axId val="327521360"/>
      </c:scatterChart>
      <c:valAx>
        <c:axId val="32751939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Molar</a:t>
                </a:r>
                <a:r>
                  <a:rPr lang="en-US" baseline="0"/>
                  <a:t> </a:t>
                </a:r>
                <a:r>
                  <a:rPr lang="en-US"/>
                  <a:t>% Ethanol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21360"/>
        <c:crosses val="autoZero"/>
        <c:crossBetween val="midCat"/>
      </c:valAx>
      <c:valAx>
        <c:axId val="3275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Refractive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1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8471128608923876E-3"/>
                  <c:y val="6.4814814814814811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solidFill>
                    <a:schemeClr val="accent6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Index'!$D$2:$D$3</c:f>
              <c:numCache>
                <c:formatCode>General</c:formatCode>
                <c:ptCount val="2"/>
                <c:pt idx="0">
                  <c:v>88.144329896907237</c:v>
                </c:pt>
                <c:pt idx="1">
                  <c:v>50.32163135952915</c:v>
                </c:pt>
              </c:numCache>
            </c:numRef>
          </c:xVal>
          <c:yVal>
            <c:numRef>
              <c:f>'Refraction Index'!$E$2:$E$3</c:f>
              <c:numCache>
                <c:formatCode>General</c:formatCode>
                <c:ptCount val="2"/>
                <c:pt idx="0">
                  <c:v>1.3647</c:v>
                </c:pt>
                <c:pt idx="1">
                  <c:v>1.3619000000000001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0C-4990-BA54-C1BEF13CC781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893897637795274"/>
                  <c:y val="0.1688502478856809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solidFill>
                    <a:schemeClr val="accent2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Index'!$D$3:$D$4</c:f>
              <c:numCache>
                <c:formatCode>General</c:formatCode>
                <c:ptCount val="2"/>
                <c:pt idx="0">
                  <c:v>50.32163135952915</c:v>
                </c:pt>
                <c:pt idx="1">
                  <c:v>29.339218676677614</c:v>
                </c:pt>
              </c:numCache>
            </c:numRef>
          </c:xVal>
          <c:yVal>
            <c:numRef>
              <c:f>'Refraction Index'!$E$3:$E$4</c:f>
              <c:numCache>
                <c:formatCode>General</c:formatCode>
                <c:ptCount val="2"/>
                <c:pt idx="0">
                  <c:v>1.3619000000000001</c:v>
                </c:pt>
                <c:pt idx="1">
                  <c:v>1.3566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0C-4990-BA54-C1BEF13CC781}"/>
            </c:ext>
          </c:extLst>
        </c:ser>
        <c:ser>
          <c:idx val="2"/>
          <c:order val="2"/>
          <c:tx>
            <c:v>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9419094488188976"/>
                  <c:y val="0.17681758530183728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solidFill>
                    <a:schemeClr val="accent3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Index'!$D$4:$D$5</c:f>
              <c:numCache>
                <c:formatCode>General</c:formatCode>
                <c:ptCount val="2"/>
                <c:pt idx="0">
                  <c:v>29.339218676677614</c:v>
                </c:pt>
                <c:pt idx="1">
                  <c:v>15.997984959159442</c:v>
                </c:pt>
              </c:numCache>
            </c:numRef>
          </c:xVal>
          <c:yVal>
            <c:numRef>
              <c:f>'Refraction Index'!$E$4:$E$5</c:f>
              <c:numCache>
                <c:formatCode>General</c:formatCode>
                <c:ptCount val="2"/>
                <c:pt idx="0">
                  <c:v>1.3566</c:v>
                </c:pt>
                <c:pt idx="1">
                  <c:v>1.3486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70C-4990-BA54-C1BEF13CC781}"/>
            </c:ext>
          </c:extLst>
        </c:ser>
        <c:ser>
          <c:idx val="3"/>
          <c:order val="3"/>
          <c:tx>
            <c:v>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178099300087489"/>
                  <c:y val="0.18089494021580635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solidFill>
                    <a:schemeClr val="accent4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Index'!$D$5:$D$6</c:f>
              <c:numCache>
                <c:formatCode>General</c:formatCode>
                <c:ptCount val="2"/>
                <c:pt idx="0">
                  <c:v>15.997984959159442</c:v>
                </c:pt>
                <c:pt idx="1">
                  <c:v>6.7668486312072567</c:v>
                </c:pt>
              </c:numCache>
            </c:numRef>
          </c:xVal>
          <c:yVal>
            <c:numRef>
              <c:f>'Refraction Index'!$E$5:$E$6</c:f>
              <c:numCache>
                <c:formatCode>General</c:formatCode>
                <c:ptCount val="2"/>
                <c:pt idx="0">
                  <c:v>1.3486</c:v>
                </c:pt>
                <c:pt idx="1">
                  <c:v>1.3408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70C-4990-BA54-C1BEF13CC781}"/>
            </c:ext>
          </c:extLst>
        </c:ser>
        <c:ser>
          <c:idx val="4"/>
          <c:order val="4"/>
          <c:tx>
            <c:v>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8888888888888888"/>
                  <c:y val="0.147022820064158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solidFill>
                    <a:schemeClr val="accent5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Index'!$D$6:$D$7</c:f>
              <c:numCache>
                <c:formatCode>General</c:formatCode>
                <c:ptCount val="2"/>
                <c:pt idx="0">
                  <c:v>6.7668486312072567</c:v>
                </c:pt>
                <c:pt idx="1">
                  <c:v>0</c:v>
                </c:pt>
              </c:numCache>
            </c:numRef>
          </c:xVal>
          <c:yVal>
            <c:numRef>
              <c:f>'Refraction Index'!$E$6:$E$7</c:f>
              <c:numCache>
                <c:formatCode>General</c:formatCode>
                <c:ptCount val="2"/>
                <c:pt idx="0">
                  <c:v>1.3408</c:v>
                </c:pt>
                <c:pt idx="1">
                  <c:v>1.3326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70C-4990-BA54-C1BEF13CC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519392"/>
        <c:axId val="327521360"/>
      </c:scatterChart>
      <c:valAx>
        <c:axId val="327519392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Molar</a:t>
                </a:r>
                <a:r>
                  <a:rPr lang="en-US" baseline="0"/>
                  <a:t> </a:t>
                </a:r>
                <a:r>
                  <a:rPr lang="en-US"/>
                  <a:t>% Ethanol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21360"/>
        <c:crosses val="autoZero"/>
        <c:crossBetween val="midCat"/>
      </c:valAx>
      <c:valAx>
        <c:axId val="327521360"/>
        <c:scaling>
          <c:orientation val="minMax"/>
          <c:max val="1.3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Refractive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1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2675853018372706E-2"/>
                  <c:y val="5.5555555555555552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solidFill>
                    <a:schemeClr val="accent6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Index'!$E$2:$E$3</c:f>
              <c:numCache>
                <c:formatCode>General</c:formatCode>
                <c:ptCount val="2"/>
                <c:pt idx="0">
                  <c:v>1.3647</c:v>
                </c:pt>
                <c:pt idx="1">
                  <c:v>1.3619000000000001</c:v>
                </c:pt>
              </c:numCache>
            </c:numRef>
          </c:xVal>
          <c:yVal>
            <c:numRef>
              <c:f>'Refraction Index'!$D$2:$D$3</c:f>
              <c:numCache>
                <c:formatCode>General</c:formatCode>
                <c:ptCount val="2"/>
                <c:pt idx="0">
                  <c:v>88.144329896907237</c:v>
                </c:pt>
                <c:pt idx="1">
                  <c:v>50.32163135952915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33-4C3D-A3E9-8BED785D2973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7935914260717407E-2"/>
                  <c:y val="-7.092592592592592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solidFill>
                    <a:schemeClr val="accent2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Index'!$E$3:$E$4</c:f>
              <c:numCache>
                <c:formatCode>General</c:formatCode>
                <c:ptCount val="2"/>
                <c:pt idx="0">
                  <c:v>1.3619000000000001</c:v>
                </c:pt>
                <c:pt idx="1">
                  <c:v>1.3566</c:v>
                </c:pt>
              </c:numCache>
            </c:numRef>
          </c:xVal>
          <c:yVal>
            <c:numRef>
              <c:f>'Refraction Index'!$D$3:$D$4</c:f>
              <c:numCache>
                <c:formatCode>General</c:formatCode>
                <c:ptCount val="2"/>
                <c:pt idx="0">
                  <c:v>50.32163135952915</c:v>
                </c:pt>
                <c:pt idx="1">
                  <c:v>29.339218676677614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33-4C3D-A3E9-8BED785D2973}"/>
            </c:ext>
          </c:extLst>
        </c:ser>
        <c:ser>
          <c:idx val="2"/>
          <c:order val="2"/>
          <c:tx>
            <c:v>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4229002624671914E-2"/>
                  <c:y val="-0.1026352435112277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solidFill>
                    <a:schemeClr val="accent3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Index'!$E$4:$E$5</c:f>
              <c:numCache>
                <c:formatCode>General</c:formatCode>
                <c:ptCount val="2"/>
                <c:pt idx="0">
                  <c:v>1.3566</c:v>
                </c:pt>
                <c:pt idx="1">
                  <c:v>1.3486</c:v>
                </c:pt>
              </c:numCache>
            </c:numRef>
          </c:xVal>
          <c:yVal>
            <c:numRef>
              <c:f>'Refraction Index'!$D$4:$D$5</c:f>
              <c:numCache>
                <c:formatCode>General</c:formatCode>
                <c:ptCount val="2"/>
                <c:pt idx="0">
                  <c:v>29.339218676677614</c:v>
                </c:pt>
                <c:pt idx="1">
                  <c:v>15.997984959159442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833-4C3D-A3E9-8BED785D2973}"/>
            </c:ext>
          </c:extLst>
        </c:ser>
        <c:ser>
          <c:idx val="3"/>
          <c:order val="3"/>
          <c:tx>
            <c:v>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2419919110873873E-2"/>
                  <c:y val="-0.1338517060367454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solidFill>
                    <a:schemeClr val="accent4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Index'!$E$5:$E$6</c:f>
              <c:numCache>
                <c:formatCode>General</c:formatCode>
                <c:ptCount val="2"/>
                <c:pt idx="0">
                  <c:v>1.3486</c:v>
                </c:pt>
                <c:pt idx="1">
                  <c:v>1.3408</c:v>
                </c:pt>
              </c:numCache>
            </c:numRef>
          </c:xVal>
          <c:yVal>
            <c:numRef>
              <c:f>'Refraction Index'!$D$5:$D$6</c:f>
              <c:numCache>
                <c:formatCode>General</c:formatCode>
                <c:ptCount val="2"/>
                <c:pt idx="0">
                  <c:v>15.997984959159442</c:v>
                </c:pt>
                <c:pt idx="1">
                  <c:v>6.7668486312072567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833-4C3D-A3E9-8BED785D2973}"/>
            </c:ext>
          </c:extLst>
        </c:ser>
        <c:ser>
          <c:idx val="4"/>
          <c:order val="4"/>
          <c:tx>
            <c:v>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6302477593278893E-3"/>
                  <c:y val="-0.1237817147856517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solidFill>
                    <a:schemeClr val="accent5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Index'!$E$6:$E$7</c:f>
              <c:numCache>
                <c:formatCode>General</c:formatCode>
                <c:ptCount val="2"/>
                <c:pt idx="0">
                  <c:v>1.3408</c:v>
                </c:pt>
                <c:pt idx="1">
                  <c:v>1.3326</c:v>
                </c:pt>
              </c:numCache>
            </c:numRef>
          </c:xVal>
          <c:yVal>
            <c:numRef>
              <c:f>'Refraction Index'!$D$6:$D$7</c:f>
              <c:numCache>
                <c:formatCode>General</c:formatCode>
                <c:ptCount val="2"/>
                <c:pt idx="0">
                  <c:v>6.7668486312072567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833-4C3D-A3E9-8BED785D29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27519392"/>
        <c:axId val="327521360"/>
      </c:scatterChart>
      <c:valAx>
        <c:axId val="327519392"/>
        <c:scaling>
          <c:orientation val="minMax"/>
          <c:max val="1.3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Refractive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21360"/>
        <c:crosses val="autoZero"/>
        <c:crossBetween val="midCat"/>
      </c:valAx>
      <c:valAx>
        <c:axId val="32752136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Mol % ethanol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1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9003124480355127"/>
                  <c:y val="5.542432195975503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Index'!$E$2:$E$7</c:f>
              <c:numCache>
                <c:formatCode>General</c:formatCode>
                <c:ptCount val="6"/>
                <c:pt idx="0">
                  <c:v>1.3647</c:v>
                </c:pt>
                <c:pt idx="1">
                  <c:v>1.3619000000000001</c:v>
                </c:pt>
                <c:pt idx="2">
                  <c:v>1.3566</c:v>
                </c:pt>
                <c:pt idx="3">
                  <c:v>1.3486</c:v>
                </c:pt>
                <c:pt idx="4">
                  <c:v>1.3408</c:v>
                </c:pt>
                <c:pt idx="5">
                  <c:v>1.3326</c:v>
                </c:pt>
              </c:numCache>
            </c:numRef>
          </c:xVal>
          <c:yVal>
            <c:numRef>
              <c:f>'Refraction Index'!$D$2:$D$7</c:f>
              <c:numCache>
                <c:formatCode>General</c:formatCode>
                <c:ptCount val="6"/>
                <c:pt idx="0">
                  <c:v>88.144329896907237</c:v>
                </c:pt>
                <c:pt idx="1">
                  <c:v>50.32163135952915</c:v>
                </c:pt>
                <c:pt idx="2">
                  <c:v>29.339218676677614</c:v>
                </c:pt>
                <c:pt idx="3">
                  <c:v>15.997984959159442</c:v>
                </c:pt>
                <c:pt idx="4">
                  <c:v>6.7668486312072567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9E-42C8-AECA-F9C8E2749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519392"/>
        <c:axId val="327521360"/>
      </c:scatterChart>
      <c:valAx>
        <c:axId val="32751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Refractive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21360"/>
        <c:crosses val="autoZero"/>
        <c:crossBetween val="midCat"/>
      </c:valAx>
      <c:valAx>
        <c:axId val="3275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Mol % ethanol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1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'Refraction Index'!$H$2:$H$4</c:f>
              <c:numCache>
                <c:formatCode>General</c:formatCode>
                <c:ptCount val="3"/>
                <c:pt idx="0">
                  <c:v>0.5</c:v>
                </c:pt>
                <c:pt idx="1">
                  <c:v>1.1299999999999999</c:v>
                </c:pt>
                <c:pt idx="2">
                  <c:v>1.64</c:v>
                </c:pt>
              </c:numCache>
            </c:numRef>
          </c:cat>
          <c:val>
            <c:numRef>
              <c:f>'Refraction Index'!$O$2:$O$4</c:f>
              <c:numCache>
                <c:formatCode>General</c:formatCode>
                <c:ptCount val="3"/>
                <c:pt idx="0">
                  <c:v>74.859599999999773</c:v>
                </c:pt>
                <c:pt idx="1">
                  <c:v>87.01680000000124</c:v>
                </c:pt>
                <c:pt idx="2">
                  <c:v>88.367600000001403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6-496B-B426-4396673D6AAA}"/>
            </c:ext>
          </c:extLst>
        </c:ser>
        <c:ser>
          <c:idx val="1"/>
          <c:order val="1"/>
          <c:tx>
            <c:strRef>
              <c:f>'Refraction Index'!$P$1</c:f>
              <c:strCache>
                <c:ptCount val="1"/>
                <c:pt idx="0">
                  <c:v>Xb/(mol%)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'Refraction Index'!$H$2:$H$4</c:f>
              <c:numCache>
                <c:formatCode>General</c:formatCode>
                <c:ptCount val="3"/>
                <c:pt idx="0">
                  <c:v>0.5</c:v>
                </c:pt>
                <c:pt idx="1">
                  <c:v>1.1299999999999999</c:v>
                </c:pt>
                <c:pt idx="2">
                  <c:v>1.64</c:v>
                </c:pt>
              </c:numCache>
            </c:numRef>
          </c:cat>
          <c:val>
            <c:numRef>
              <c:f>'Refraction Index'!$P$2:$P$4</c:f>
              <c:numCache>
                <c:formatCode>General</c:formatCode>
                <c:ptCount val="3"/>
                <c:pt idx="0">
                  <c:v>3.0548490000001038</c:v>
                </c:pt>
                <c:pt idx="1">
                  <c:v>1.9820499999998447</c:v>
                </c:pt>
                <c:pt idx="2">
                  <c:v>8.402099999989332E-2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26-496B-B426-4396673D6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51657151"/>
        <c:axId val="451654271"/>
      </c:barChart>
      <c:catAx>
        <c:axId val="451657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Heating power/(kW)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54271"/>
        <c:crosses val="autoZero"/>
        <c:auto val="1"/>
        <c:lblAlgn val="ctr"/>
        <c:lblOffset val="100"/>
        <c:noMultiLvlLbl val="0"/>
      </c:catAx>
      <c:valAx>
        <c:axId val="45165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Distillate</a:t>
                </a:r>
                <a:r>
                  <a:rPr lang="en-GB" baseline="0"/>
                  <a:t> phase tank/(mol%)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5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41289831652107"/>
          <c:y val="6.6818510975550263E-2"/>
          <c:w val="0.79770463214432119"/>
          <c:h val="0.7800757435891058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'Refraction Index'!$P$1</c:f>
              <c:strCache>
                <c:ptCount val="1"/>
                <c:pt idx="0">
                  <c:v>Xb/(mol%)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'Refraction Index'!$H$2:$H$4</c:f>
              <c:numCache>
                <c:formatCode>General</c:formatCode>
                <c:ptCount val="3"/>
                <c:pt idx="0">
                  <c:v>0.5</c:v>
                </c:pt>
                <c:pt idx="1">
                  <c:v>1.1299999999999999</c:v>
                </c:pt>
                <c:pt idx="2">
                  <c:v>1.64</c:v>
                </c:pt>
              </c:numCache>
            </c:numRef>
          </c:cat>
          <c:val>
            <c:numRef>
              <c:f>'Refraction Index'!$P$2:$P$4</c:f>
              <c:numCache>
                <c:formatCode>General</c:formatCode>
                <c:ptCount val="3"/>
                <c:pt idx="0">
                  <c:v>3.0548490000001038</c:v>
                </c:pt>
                <c:pt idx="1">
                  <c:v>1.9820499999998447</c:v>
                </c:pt>
                <c:pt idx="2">
                  <c:v>8.402099999989332E-2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E2-440A-B832-974AC9E0D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51657151"/>
        <c:axId val="451654271"/>
      </c:barChart>
      <c:catAx>
        <c:axId val="451657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Heating power/(kW)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54271"/>
        <c:crosses val="autoZero"/>
        <c:auto val="1"/>
        <c:lblAlgn val="ctr"/>
        <c:lblOffset val="100"/>
        <c:noMultiLvlLbl val="0"/>
      </c:catAx>
      <c:valAx>
        <c:axId val="45165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Bottom</a:t>
                </a:r>
                <a:r>
                  <a:rPr lang="en-GB" baseline="0"/>
                  <a:t> reboiler/(mol%)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8.7575275086351281E-3"/>
              <c:y val="0.15927103252535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5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960779378574123"/>
          <c:y val="4.2520870620804709E-2"/>
          <c:w val="0.808498387442671"/>
          <c:h val="0.803169024526267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'Refraction Index'!$H$2:$H$4</c:f>
              <c:numCache>
                <c:formatCode>General</c:formatCode>
                <c:ptCount val="3"/>
                <c:pt idx="0">
                  <c:v>0.5</c:v>
                </c:pt>
                <c:pt idx="1">
                  <c:v>1.1299999999999999</c:v>
                </c:pt>
                <c:pt idx="2">
                  <c:v>1.64</c:v>
                </c:pt>
              </c:numCache>
            </c:numRef>
          </c:cat>
          <c:val>
            <c:numRef>
              <c:f>'Refraction Index'!$O$2:$O$4</c:f>
              <c:numCache>
                <c:formatCode>General</c:formatCode>
                <c:ptCount val="3"/>
                <c:pt idx="0">
                  <c:v>74.859599999999773</c:v>
                </c:pt>
                <c:pt idx="1">
                  <c:v>87.01680000000124</c:v>
                </c:pt>
                <c:pt idx="2">
                  <c:v>88.367600000001403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F-4955-B48E-3599EAB2B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51657151"/>
        <c:axId val="451654271"/>
      </c:barChart>
      <c:catAx>
        <c:axId val="451657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Heating power/(kW)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54271"/>
        <c:crosses val="autoZero"/>
        <c:auto val="1"/>
        <c:lblAlgn val="ctr"/>
        <c:lblOffset val="100"/>
        <c:noMultiLvlLbl val="0"/>
      </c:catAx>
      <c:valAx>
        <c:axId val="451654271"/>
        <c:scaling>
          <c:orientation val="minMax"/>
          <c:max val="90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Distillate</a:t>
                </a:r>
                <a:r>
                  <a:rPr lang="en-GB" baseline="0"/>
                  <a:t> phase tank/(mol%)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5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960779378574123"/>
          <c:y val="4.2520870620804709E-2"/>
          <c:w val="0.808498387442671"/>
          <c:h val="0.803169024526267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'Refraction Index'!$H$2:$H$4</c:f>
              <c:numCache>
                <c:formatCode>General</c:formatCode>
                <c:ptCount val="3"/>
                <c:pt idx="0">
                  <c:v>0.5</c:v>
                </c:pt>
                <c:pt idx="1">
                  <c:v>1.1299999999999999</c:v>
                </c:pt>
                <c:pt idx="2">
                  <c:v>1.64</c:v>
                </c:pt>
              </c:numCache>
            </c:numRef>
          </c:cat>
          <c:val>
            <c:numRef>
              <c:f>'Refraction Index'!$L$2:$L$4</c:f>
              <c:numCache>
                <c:formatCode>General</c:formatCode>
                <c:ptCount val="3"/>
                <c:pt idx="0">
                  <c:v>0.75</c:v>
                </c:pt>
                <c:pt idx="1">
                  <c:v>3</c:v>
                </c:pt>
                <c:pt idx="2">
                  <c:v>4.4400000000000004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3-4643-80E9-C9D874FA4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51657151"/>
        <c:axId val="451654271"/>
      </c:barChart>
      <c:catAx>
        <c:axId val="451657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Heating power/(kW)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54271"/>
        <c:crosses val="autoZero"/>
        <c:auto val="1"/>
        <c:lblAlgn val="ctr"/>
        <c:lblOffset val="100"/>
        <c:noMultiLvlLbl val="0"/>
      </c:catAx>
      <c:valAx>
        <c:axId val="45165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Boil-up rate/(L/s)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5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'Refraction Index'!$D$39:$D$40</c:f>
              <c:strCache>
                <c:ptCount val="2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'Refraction Index'!$C$41:$C$91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'Refraction Index'!$D$41:$D$91</c:f>
              <c:numCache>
                <c:formatCode>General</c:formatCode>
                <c:ptCount val="51"/>
                <c:pt idx="0">
                  <c:v>1.333</c:v>
                </c:pt>
                <c:pt idx="1">
                  <c:v>1.3342000000000001</c:v>
                </c:pt>
                <c:pt idx="2">
                  <c:v>1.3353999999999999</c:v>
                </c:pt>
                <c:pt idx="3">
                  <c:v>1.3367</c:v>
                </c:pt>
                <c:pt idx="4">
                  <c:v>1.3381000000000001</c:v>
                </c:pt>
                <c:pt idx="5">
                  <c:v>1.3394999999999999</c:v>
                </c:pt>
                <c:pt idx="6">
                  <c:v>1.341</c:v>
                </c:pt>
                <c:pt idx="7">
                  <c:v>1.3425</c:v>
                </c:pt>
                <c:pt idx="8">
                  <c:v>1.3440000000000001</c:v>
                </c:pt>
                <c:pt idx="9">
                  <c:v>1.3454999999999999</c:v>
                </c:pt>
                <c:pt idx="10">
                  <c:v>1.3469</c:v>
                </c:pt>
                <c:pt idx="11">
                  <c:v>1.3484</c:v>
                </c:pt>
                <c:pt idx="12">
                  <c:v>1.3498000000000001</c:v>
                </c:pt>
                <c:pt idx="13">
                  <c:v>1.3511</c:v>
                </c:pt>
                <c:pt idx="14">
                  <c:v>1.3524</c:v>
                </c:pt>
                <c:pt idx="15">
                  <c:v>1.3534999999999999</c:v>
                </c:pt>
                <c:pt idx="16">
                  <c:v>1.3546</c:v>
                </c:pt>
                <c:pt idx="17">
                  <c:v>1.3556999999999999</c:v>
                </c:pt>
                <c:pt idx="18">
                  <c:v>1.3566</c:v>
                </c:pt>
                <c:pt idx="19">
                  <c:v>1.3574999999999999</c:v>
                </c:pt>
                <c:pt idx="20">
                  <c:v>1.3583000000000001</c:v>
                </c:pt>
                <c:pt idx="21">
                  <c:v>1.359</c:v>
                </c:pt>
                <c:pt idx="22">
                  <c:v>1.3597999999999999</c:v>
                </c:pt>
                <c:pt idx="23">
                  <c:v>1.3604000000000001</c:v>
                </c:pt>
                <c:pt idx="24">
                  <c:v>1.361</c:v>
                </c:pt>
                <c:pt idx="25">
                  <c:v>1.3615999999999999</c:v>
                </c:pt>
                <c:pt idx="26">
                  <c:v>1.3621000000000001</c:v>
                </c:pt>
                <c:pt idx="27">
                  <c:v>1.3626</c:v>
                </c:pt>
                <c:pt idx="28">
                  <c:v>1.363</c:v>
                </c:pt>
                <c:pt idx="29">
                  <c:v>1.3633999999999999</c:v>
                </c:pt>
                <c:pt idx="30">
                  <c:v>1.3637999999999999</c:v>
                </c:pt>
                <c:pt idx="31">
                  <c:v>1.3641000000000001</c:v>
                </c:pt>
                <c:pt idx="32">
                  <c:v>1.3644000000000001</c:v>
                </c:pt>
                <c:pt idx="33">
                  <c:v>1.3647</c:v>
                </c:pt>
                <c:pt idx="34">
                  <c:v>1.365</c:v>
                </c:pt>
                <c:pt idx="35">
                  <c:v>1.3652</c:v>
                </c:pt>
                <c:pt idx="36">
                  <c:v>1.3653999999999999</c:v>
                </c:pt>
                <c:pt idx="37">
                  <c:v>1.3654999999999999</c:v>
                </c:pt>
                <c:pt idx="38">
                  <c:v>1.3656999999999999</c:v>
                </c:pt>
                <c:pt idx="39">
                  <c:v>1.3656999999999999</c:v>
                </c:pt>
                <c:pt idx="40">
                  <c:v>1.3657999999999999</c:v>
                </c:pt>
                <c:pt idx="41">
                  <c:v>1.3656999999999999</c:v>
                </c:pt>
                <c:pt idx="42">
                  <c:v>1.3655999999999999</c:v>
                </c:pt>
                <c:pt idx="43">
                  <c:v>1.3654999999999999</c:v>
                </c:pt>
                <c:pt idx="44">
                  <c:v>1.3653</c:v>
                </c:pt>
                <c:pt idx="45">
                  <c:v>1.365</c:v>
                </c:pt>
                <c:pt idx="46">
                  <c:v>1.3646</c:v>
                </c:pt>
                <c:pt idx="47">
                  <c:v>1.3642000000000001</c:v>
                </c:pt>
                <c:pt idx="48">
                  <c:v>1.3635999999999999</c:v>
                </c:pt>
                <c:pt idx="49">
                  <c:v>1.363</c:v>
                </c:pt>
                <c:pt idx="50">
                  <c:v>1.3613999999999999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F7-4828-A3E2-3FB131D64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89711"/>
        <c:axId val="336300127"/>
      </c:scatterChart>
      <c:valAx>
        <c:axId val="20448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% Ethanol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300127"/>
        <c:crosses val="autoZero"/>
        <c:crossBetween val="midCat"/>
      </c:valAx>
      <c:valAx>
        <c:axId val="33630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Refractive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89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'Refraction Index'!$D$39:$D$40</c:f>
              <c:strCache>
                <c:ptCount val="2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'Refraction Index'!$D$41:$D$91</c:f>
              <c:numCache>
                <c:formatCode>General</c:formatCode>
                <c:ptCount val="51"/>
                <c:pt idx="0">
                  <c:v>1.333</c:v>
                </c:pt>
                <c:pt idx="1">
                  <c:v>1.3342000000000001</c:v>
                </c:pt>
                <c:pt idx="2">
                  <c:v>1.3353999999999999</c:v>
                </c:pt>
                <c:pt idx="3">
                  <c:v>1.3367</c:v>
                </c:pt>
                <c:pt idx="4">
                  <c:v>1.3381000000000001</c:v>
                </c:pt>
                <c:pt idx="5">
                  <c:v>1.3394999999999999</c:v>
                </c:pt>
                <c:pt idx="6">
                  <c:v>1.341</c:v>
                </c:pt>
                <c:pt idx="7">
                  <c:v>1.3425</c:v>
                </c:pt>
                <c:pt idx="8">
                  <c:v>1.3440000000000001</c:v>
                </c:pt>
                <c:pt idx="9">
                  <c:v>1.3454999999999999</c:v>
                </c:pt>
                <c:pt idx="10">
                  <c:v>1.3469</c:v>
                </c:pt>
                <c:pt idx="11">
                  <c:v>1.3484</c:v>
                </c:pt>
                <c:pt idx="12">
                  <c:v>1.3498000000000001</c:v>
                </c:pt>
                <c:pt idx="13">
                  <c:v>1.3511</c:v>
                </c:pt>
                <c:pt idx="14">
                  <c:v>1.3524</c:v>
                </c:pt>
                <c:pt idx="15">
                  <c:v>1.3534999999999999</c:v>
                </c:pt>
                <c:pt idx="16">
                  <c:v>1.3546</c:v>
                </c:pt>
                <c:pt idx="17">
                  <c:v>1.3556999999999999</c:v>
                </c:pt>
                <c:pt idx="18">
                  <c:v>1.3566</c:v>
                </c:pt>
                <c:pt idx="19">
                  <c:v>1.3574999999999999</c:v>
                </c:pt>
                <c:pt idx="20">
                  <c:v>1.3583000000000001</c:v>
                </c:pt>
                <c:pt idx="21">
                  <c:v>1.359</c:v>
                </c:pt>
                <c:pt idx="22">
                  <c:v>1.3597999999999999</c:v>
                </c:pt>
                <c:pt idx="23">
                  <c:v>1.3604000000000001</c:v>
                </c:pt>
                <c:pt idx="24">
                  <c:v>1.361</c:v>
                </c:pt>
                <c:pt idx="25">
                  <c:v>1.3615999999999999</c:v>
                </c:pt>
                <c:pt idx="26">
                  <c:v>1.3621000000000001</c:v>
                </c:pt>
                <c:pt idx="27">
                  <c:v>1.3626</c:v>
                </c:pt>
                <c:pt idx="28">
                  <c:v>1.363</c:v>
                </c:pt>
                <c:pt idx="29">
                  <c:v>1.3633999999999999</c:v>
                </c:pt>
                <c:pt idx="30">
                  <c:v>1.3637999999999999</c:v>
                </c:pt>
                <c:pt idx="31">
                  <c:v>1.3641000000000001</c:v>
                </c:pt>
                <c:pt idx="32">
                  <c:v>1.3644000000000001</c:v>
                </c:pt>
                <c:pt idx="33">
                  <c:v>1.3647</c:v>
                </c:pt>
                <c:pt idx="34">
                  <c:v>1.365</c:v>
                </c:pt>
                <c:pt idx="35">
                  <c:v>1.3652</c:v>
                </c:pt>
                <c:pt idx="36">
                  <c:v>1.3653999999999999</c:v>
                </c:pt>
                <c:pt idx="37">
                  <c:v>1.3654999999999999</c:v>
                </c:pt>
                <c:pt idx="38">
                  <c:v>1.3656999999999999</c:v>
                </c:pt>
                <c:pt idx="39">
                  <c:v>1.3656999999999999</c:v>
                </c:pt>
                <c:pt idx="40">
                  <c:v>1.3657999999999999</c:v>
                </c:pt>
                <c:pt idx="41">
                  <c:v>1.3656999999999999</c:v>
                </c:pt>
                <c:pt idx="42">
                  <c:v>1.3655999999999999</c:v>
                </c:pt>
                <c:pt idx="43">
                  <c:v>1.3654999999999999</c:v>
                </c:pt>
                <c:pt idx="44">
                  <c:v>1.3653</c:v>
                </c:pt>
                <c:pt idx="45">
                  <c:v>1.365</c:v>
                </c:pt>
                <c:pt idx="46">
                  <c:v>1.3646</c:v>
                </c:pt>
                <c:pt idx="47">
                  <c:v>1.3642000000000001</c:v>
                </c:pt>
                <c:pt idx="48">
                  <c:v>1.3635999999999999</c:v>
                </c:pt>
                <c:pt idx="49">
                  <c:v>1.363</c:v>
                </c:pt>
                <c:pt idx="50">
                  <c:v>1.3613999999999999</c:v>
                </c:pt>
              </c:numCache>
            </c:numRef>
          </c:xVal>
          <c:yVal>
            <c:numRef>
              <c:f>'Refraction Index'!$C$41:$C$91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E6-4128-B3F3-7CE44D9F3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654751"/>
        <c:axId val="451656191"/>
      </c:scatterChart>
      <c:valAx>
        <c:axId val="45165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Refractive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56191"/>
        <c:crosses val="autoZero"/>
        <c:crossBetween val="midCat"/>
      </c:valAx>
      <c:valAx>
        <c:axId val="45165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% Ethanol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54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6031753075065069"/>
                  <c:y val="3.14913240011665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Index'!$E$2:$E$7</c:f>
              <c:numCache>
                <c:formatCode>General</c:formatCode>
                <c:ptCount val="6"/>
                <c:pt idx="0">
                  <c:v>1.3647</c:v>
                </c:pt>
                <c:pt idx="1">
                  <c:v>1.3619000000000001</c:v>
                </c:pt>
                <c:pt idx="2">
                  <c:v>1.3566</c:v>
                </c:pt>
                <c:pt idx="3">
                  <c:v>1.3486</c:v>
                </c:pt>
                <c:pt idx="4">
                  <c:v>1.3408</c:v>
                </c:pt>
                <c:pt idx="5">
                  <c:v>1.3326</c:v>
                </c:pt>
              </c:numCache>
            </c:numRef>
          </c:xVal>
          <c:yVal>
            <c:numRef>
              <c:f>'Refraction Index'!$C$2:$C$7</c:f>
              <c:numCache>
                <c:formatCode>General</c:formatCode>
                <c:ptCount val="6"/>
                <c:pt idx="0">
                  <c:v>95</c:v>
                </c:pt>
                <c:pt idx="1">
                  <c:v>72.13433925529327</c:v>
                </c:pt>
                <c:pt idx="2">
                  <c:v>51.482167670217692</c:v>
                </c:pt>
                <c:pt idx="3">
                  <c:v>32.736911862160376</c:v>
                </c:pt>
                <c:pt idx="4">
                  <c:v>15.646114864864868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E3-4370-8CDF-8EA5001A2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519392"/>
        <c:axId val="327521360"/>
      </c:scatterChart>
      <c:valAx>
        <c:axId val="32751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Refractive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21360"/>
        <c:crosses val="autoZero"/>
        <c:crossBetween val="midCat"/>
      </c:valAx>
      <c:valAx>
        <c:axId val="3275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% ethanol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1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5278897870089712E-2"/>
                  <c:y val="2.7777777777777776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solidFill>
                    <a:schemeClr val="accent6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Index'!$E$2:$E$3</c:f>
              <c:numCache>
                <c:formatCode>General</c:formatCode>
                <c:ptCount val="2"/>
                <c:pt idx="0">
                  <c:v>1.3647</c:v>
                </c:pt>
                <c:pt idx="1">
                  <c:v>1.3619000000000001</c:v>
                </c:pt>
              </c:numCache>
            </c:numRef>
          </c:xVal>
          <c:yVal>
            <c:numRef>
              <c:f>'Refraction Index'!$C$2:$C$3</c:f>
              <c:numCache>
                <c:formatCode>General</c:formatCode>
                <c:ptCount val="2"/>
                <c:pt idx="0">
                  <c:v>95</c:v>
                </c:pt>
                <c:pt idx="1">
                  <c:v>72.13433925529327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9C-49A7-BE20-64399B6AE4BD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0306505177991543E-2"/>
                  <c:y val="5.7462088072324294E-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solidFill>
                    <a:schemeClr val="accent2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Index'!$E$3:$E$4</c:f>
              <c:numCache>
                <c:formatCode>General</c:formatCode>
                <c:ptCount val="2"/>
                <c:pt idx="0">
                  <c:v>1.3619000000000001</c:v>
                </c:pt>
                <c:pt idx="1">
                  <c:v>1.3566</c:v>
                </c:pt>
              </c:numCache>
            </c:numRef>
          </c:xVal>
          <c:yVal>
            <c:numRef>
              <c:f>'Refraction Index'!$C$3:$C$4</c:f>
              <c:numCache>
                <c:formatCode>General</c:formatCode>
                <c:ptCount val="2"/>
                <c:pt idx="0">
                  <c:v>72.13433925529327</c:v>
                </c:pt>
                <c:pt idx="1">
                  <c:v>51.482167670217692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9C-49A7-BE20-64399B6AE4BD}"/>
            </c:ext>
          </c:extLst>
        </c:ser>
        <c:ser>
          <c:idx val="2"/>
          <c:order val="2"/>
          <c:tx>
            <c:v>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9082193400266263E-2"/>
                  <c:y val="-3.2062554680664872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solidFill>
                    <a:schemeClr val="accent3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Index'!$E$4:$E$5</c:f>
              <c:numCache>
                <c:formatCode>General</c:formatCode>
                <c:ptCount val="2"/>
                <c:pt idx="0">
                  <c:v>1.3566</c:v>
                </c:pt>
                <c:pt idx="1">
                  <c:v>1.3486</c:v>
                </c:pt>
              </c:numCache>
            </c:numRef>
          </c:xVal>
          <c:yVal>
            <c:numRef>
              <c:f>'Refraction Index'!$C$4:$C$5</c:f>
              <c:numCache>
                <c:formatCode>General</c:formatCode>
                <c:ptCount val="2"/>
                <c:pt idx="0">
                  <c:v>51.482167670217692</c:v>
                </c:pt>
                <c:pt idx="1">
                  <c:v>32.736911862160376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09C-49A7-BE20-64399B6AE4BD}"/>
            </c:ext>
          </c:extLst>
        </c:ser>
        <c:ser>
          <c:idx val="3"/>
          <c:order val="3"/>
          <c:tx>
            <c:v>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2448972075063995E-2"/>
                  <c:y val="-4.6434091571886847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solidFill>
                    <a:schemeClr val="accent4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Index'!$E$5:$E$6</c:f>
              <c:numCache>
                <c:formatCode>General</c:formatCode>
                <c:ptCount val="2"/>
                <c:pt idx="0">
                  <c:v>1.3486</c:v>
                </c:pt>
                <c:pt idx="1">
                  <c:v>1.3408</c:v>
                </c:pt>
              </c:numCache>
            </c:numRef>
          </c:xVal>
          <c:yVal>
            <c:numRef>
              <c:f>'Refraction Index'!$C$5:$C$6</c:f>
              <c:numCache>
                <c:formatCode>General</c:formatCode>
                <c:ptCount val="2"/>
                <c:pt idx="0">
                  <c:v>32.736911862160376</c:v>
                </c:pt>
                <c:pt idx="1">
                  <c:v>15.646114864864868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09C-49A7-BE20-64399B6AE4BD}"/>
            </c:ext>
          </c:extLst>
        </c:ser>
        <c:ser>
          <c:idx val="4"/>
          <c:order val="4"/>
          <c:tx>
            <c:v>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2726845178676697E-2"/>
                  <c:y val="-4.387503645377661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solidFill>
                    <a:schemeClr val="accent5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Index'!$E$6:$E$7</c:f>
              <c:numCache>
                <c:formatCode>General</c:formatCode>
                <c:ptCount val="2"/>
                <c:pt idx="0">
                  <c:v>1.3408</c:v>
                </c:pt>
                <c:pt idx="1">
                  <c:v>1.3326</c:v>
                </c:pt>
              </c:numCache>
            </c:numRef>
          </c:xVal>
          <c:yVal>
            <c:numRef>
              <c:f>'Refraction Index'!$C$6:$C$7</c:f>
              <c:numCache>
                <c:formatCode>General</c:formatCode>
                <c:ptCount val="2"/>
                <c:pt idx="0">
                  <c:v>15.646114864864868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09C-49A7-BE20-64399B6AE4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27519392"/>
        <c:axId val="327521360"/>
      </c:scatterChart>
      <c:valAx>
        <c:axId val="327519392"/>
        <c:scaling>
          <c:orientation val="minMax"/>
          <c:max val="1.3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Refractive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21360"/>
        <c:crosses val="autoZero"/>
        <c:crossBetween val="midCat"/>
      </c:valAx>
      <c:valAx>
        <c:axId val="32752136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 % ethanol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1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960779378574123"/>
          <c:y val="4.2520870620804709E-2"/>
          <c:w val="0.808498387442671"/>
          <c:h val="0.803169024526267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'Refraction Index'!$H$2:$H$4</c:f>
              <c:numCache>
                <c:formatCode>General</c:formatCode>
                <c:ptCount val="3"/>
                <c:pt idx="0">
                  <c:v>0.5</c:v>
                </c:pt>
                <c:pt idx="1">
                  <c:v>1.1299999999999999</c:v>
                </c:pt>
                <c:pt idx="2">
                  <c:v>1.64</c:v>
                </c:pt>
              </c:numCache>
            </c:numRef>
          </c:cat>
          <c:val>
            <c:numRef>
              <c:f>'Refraction Index'!$Q$2:$Q$4</c:f>
              <c:numCache>
                <c:formatCode>General</c:formatCode>
                <c:ptCount val="3"/>
                <c:pt idx="0">
                  <c:v>86.383309999999256</c:v>
                </c:pt>
                <c:pt idx="1">
                  <c:v>93.73298000000068</c:v>
                </c:pt>
                <c:pt idx="2">
                  <c:v>94.54961000000003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52-4BCD-8199-40C0FC060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51657151"/>
        <c:axId val="451654271"/>
      </c:barChart>
      <c:catAx>
        <c:axId val="451657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Heating power/(kW)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54271"/>
        <c:crosses val="autoZero"/>
        <c:auto val="1"/>
        <c:lblAlgn val="ctr"/>
        <c:lblOffset val="100"/>
        <c:noMultiLvlLbl val="0"/>
      </c:catAx>
      <c:valAx>
        <c:axId val="451654271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Distillate</a:t>
                </a:r>
                <a:r>
                  <a:rPr lang="en-GB" baseline="0"/>
                  <a:t> phase tank/(mass%)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5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97502725521849"/>
          <c:y val="6.6818510975550263E-2"/>
          <c:w val="0.80208332615032174"/>
          <c:h val="0.7679269234117329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'Refraction Index'!$R$1</c:f>
              <c:strCache>
                <c:ptCount val="1"/>
                <c:pt idx="0">
                  <c:v>Xb/(mass%)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'Refraction Index'!$H$2:$H$4</c:f>
              <c:numCache>
                <c:formatCode>General</c:formatCode>
                <c:ptCount val="3"/>
                <c:pt idx="0">
                  <c:v>0.5</c:v>
                </c:pt>
                <c:pt idx="1">
                  <c:v>1.1299999999999999</c:v>
                </c:pt>
                <c:pt idx="2">
                  <c:v>1.64</c:v>
                </c:pt>
              </c:numCache>
            </c:numRef>
          </c:cat>
          <c:val>
            <c:numRef>
              <c:f>'Refraction Index'!$R$2:$R$4</c:f>
              <c:numCache>
                <c:formatCode>General</c:formatCode>
                <c:ptCount val="3"/>
                <c:pt idx="0">
                  <c:v>7.0940300000002026</c:v>
                </c:pt>
                <c:pt idx="1">
                  <c:v>4.6134999999999309</c:v>
                </c:pt>
                <c:pt idx="2">
                  <c:v>0.2248700000000099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B-45FE-9DA0-67952ACCA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51657151"/>
        <c:axId val="451654271"/>
      </c:barChart>
      <c:catAx>
        <c:axId val="451657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Heating power/(kW)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54271"/>
        <c:crosses val="autoZero"/>
        <c:auto val="1"/>
        <c:lblAlgn val="ctr"/>
        <c:lblOffset val="100"/>
        <c:noMultiLvlLbl val="0"/>
      </c:catAx>
      <c:valAx>
        <c:axId val="45165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Bottom</a:t>
                </a:r>
                <a:r>
                  <a:rPr lang="en-GB" baseline="0"/>
                  <a:t> reboiler/(massl%)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8.7575275086351281E-3"/>
              <c:y val="0.15927103252535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5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790235594599605E-2"/>
          <c:y val="2.5428331875182269E-2"/>
          <c:w val="0.85963591094570613"/>
          <c:h val="0.83476487314085734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2675853018372706E-2"/>
                  <c:y val="5.5555555555555552E-2"/>
                </c:manualLayout>
              </c:layout>
              <c:numFmt formatCode="#,##0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solidFill>
                    <a:schemeClr val="accent6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Index'!$E$2:$E$3</c:f>
              <c:numCache>
                <c:formatCode>General</c:formatCode>
                <c:ptCount val="2"/>
                <c:pt idx="0">
                  <c:v>1.3647</c:v>
                </c:pt>
                <c:pt idx="1">
                  <c:v>1.3619000000000001</c:v>
                </c:pt>
              </c:numCache>
            </c:numRef>
          </c:xVal>
          <c:yVal>
            <c:numRef>
              <c:f>'Refraction Index'!$D$2:$D$3</c:f>
              <c:numCache>
                <c:formatCode>General</c:formatCode>
                <c:ptCount val="2"/>
                <c:pt idx="0">
                  <c:v>88.144329896907237</c:v>
                </c:pt>
                <c:pt idx="1">
                  <c:v>50.32163135952915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9F-4076-839A-48DCCF5A1002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7935914260717407E-2"/>
                  <c:y val="-7.092592592592592E-2"/>
                </c:manualLayout>
              </c:layout>
              <c:numFmt formatCode="#,##0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solidFill>
                    <a:schemeClr val="accent2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Index'!$E$3:$E$4</c:f>
              <c:numCache>
                <c:formatCode>General</c:formatCode>
                <c:ptCount val="2"/>
                <c:pt idx="0">
                  <c:v>1.3619000000000001</c:v>
                </c:pt>
                <c:pt idx="1">
                  <c:v>1.3566</c:v>
                </c:pt>
              </c:numCache>
            </c:numRef>
          </c:xVal>
          <c:yVal>
            <c:numRef>
              <c:f>'Refraction Index'!$D$3:$D$4</c:f>
              <c:numCache>
                <c:formatCode>General</c:formatCode>
                <c:ptCount val="2"/>
                <c:pt idx="0">
                  <c:v>50.32163135952915</c:v>
                </c:pt>
                <c:pt idx="1">
                  <c:v>29.339218676677614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9F-4076-839A-48DCCF5A1002}"/>
            </c:ext>
          </c:extLst>
        </c:ser>
        <c:ser>
          <c:idx val="2"/>
          <c:order val="2"/>
          <c:tx>
            <c:v>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4229002624671914E-2"/>
                  <c:y val="-0.10263524351122777"/>
                </c:manualLayout>
              </c:layout>
              <c:numFmt formatCode="#,##0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solidFill>
                    <a:schemeClr val="accent3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Index'!$E$4:$E$5</c:f>
              <c:numCache>
                <c:formatCode>General</c:formatCode>
                <c:ptCount val="2"/>
                <c:pt idx="0">
                  <c:v>1.3566</c:v>
                </c:pt>
                <c:pt idx="1">
                  <c:v>1.3486</c:v>
                </c:pt>
              </c:numCache>
            </c:numRef>
          </c:xVal>
          <c:yVal>
            <c:numRef>
              <c:f>'Refraction Index'!$D$4:$D$5</c:f>
              <c:numCache>
                <c:formatCode>General</c:formatCode>
                <c:ptCount val="2"/>
                <c:pt idx="0">
                  <c:v>29.339218676677614</c:v>
                </c:pt>
                <c:pt idx="1">
                  <c:v>15.997984959159442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B9F-4076-839A-48DCCF5A1002}"/>
            </c:ext>
          </c:extLst>
        </c:ser>
        <c:ser>
          <c:idx val="3"/>
          <c:order val="3"/>
          <c:tx>
            <c:v>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9706692913385825E-2"/>
                  <c:y val="-0.1003131379410907"/>
                </c:manualLayout>
              </c:layout>
              <c:numFmt formatCode="#,##0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solidFill>
                    <a:schemeClr val="accent4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Index'!$E$5:$E$6</c:f>
              <c:numCache>
                <c:formatCode>General</c:formatCode>
                <c:ptCount val="2"/>
                <c:pt idx="0">
                  <c:v>1.3486</c:v>
                </c:pt>
                <c:pt idx="1">
                  <c:v>1.3408</c:v>
                </c:pt>
              </c:numCache>
            </c:numRef>
          </c:xVal>
          <c:yVal>
            <c:numRef>
              <c:f>'Refraction Index'!$D$5:$D$6</c:f>
              <c:numCache>
                <c:formatCode>General</c:formatCode>
                <c:ptCount val="2"/>
                <c:pt idx="0">
                  <c:v>15.997984959159442</c:v>
                </c:pt>
                <c:pt idx="1">
                  <c:v>6.7668486312072567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B9F-4076-839A-48DCCF5A1002}"/>
            </c:ext>
          </c:extLst>
        </c:ser>
        <c:ser>
          <c:idx val="4"/>
          <c:order val="4"/>
          <c:tx>
            <c:v>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075896762904637E-3"/>
                  <c:y val="-7.0399533391659372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solidFill>
                    <a:schemeClr val="accent5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Index'!$E$6:$E$7</c:f>
              <c:numCache>
                <c:formatCode>General</c:formatCode>
                <c:ptCount val="2"/>
                <c:pt idx="0">
                  <c:v>1.3408</c:v>
                </c:pt>
                <c:pt idx="1">
                  <c:v>1.3326</c:v>
                </c:pt>
              </c:numCache>
            </c:numRef>
          </c:xVal>
          <c:yVal>
            <c:numRef>
              <c:f>'Refraction Index'!$D$6:$D$7</c:f>
              <c:numCache>
                <c:formatCode>General</c:formatCode>
                <c:ptCount val="2"/>
                <c:pt idx="0">
                  <c:v>6.7668486312072567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B9F-4076-839A-48DCCF5A1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519392"/>
        <c:axId val="327521360"/>
      </c:scatterChart>
      <c:valAx>
        <c:axId val="327519392"/>
        <c:scaling>
          <c:orientation val="minMax"/>
          <c:max val="1.36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Refractive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21360"/>
        <c:crosses val="autoZero"/>
        <c:crossBetween val="midCat"/>
      </c:valAx>
      <c:valAx>
        <c:axId val="327521360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Concentration/(mol% ethanol)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1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44139248824802"/>
          <c:y val="4.2520870620804709E-2"/>
          <c:w val="0.85666478874016416"/>
          <c:h val="0.803169024526267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'Refraction Index'!$G$2:$G$4</c:f>
              <c:numCache>
                <c:formatCode>General</c:formatCode>
                <c:ptCount val="3"/>
                <c:pt idx="0">
                  <c:v>500</c:v>
                </c:pt>
                <c:pt idx="1">
                  <c:v>1130</c:v>
                </c:pt>
                <c:pt idx="2">
                  <c:v>1640</c:v>
                </c:pt>
              </c:numCache>
            </c:numRef>
          </c:cat>
          <c:val>
            <c:numRef>
              <c:f>'Refraction Index'!$L$2:$L$4</c:f>
              <c:numCache>
                <c:formatCode>General</c:formatCode>
                <c:ptCount val="3"/>
                <c:pt idx="0">
                  <c:v>0.75</c:v>
                </c:pt>
                <c:pt idx="1">
                  <c:v>3</c:v>
                </c:pt>
                <c:pt idx="2">
                  <c:v>4.4400000000000004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3-491F-AC47-D7894991E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51657151"/>
        <c:axId val="451654271"/>
      </c:barChart>
      <c:catAx>
        <c:axId val="451657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Heating power/(W)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54271"/>
        <c:crosses val="autoZero"/>
        <c:auto val="1"/>
        <c:lblAlgn val="ctr"/>
        <c:lblOffset val="100"/>
        <c:noMultiLvlLbl val="0"/>
      </c:catAx>
      <c:valAx>
        <c:axId val="4516542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Boil-up rate/(L/s)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5715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50921186524438"/>
          <c:y val="4.2520870620804709E-2"/>
          <c:w val="0.83059703466334056"/>
          <c:h val="0.7902903100845943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'Refraction Index'!$G$2:$G$4</c:f>
              <c:numCache>
                <c:formatCode>General</c:formatCode>
                <c:ptCount val="3"/>
                <c:pt idx="0">
                  <c:v>500</c:v>
                </c:pt>
                <c:pt idx="1">
                  <c:v>1130</c:v>
                </c:pt>
                <c:pt idx="2">
                  <c:v>1640</c:v>
                </c:pt>
              </c:numCache>
            </c:numRef>
          </c:cat>
          <c:val>
            <c:numRef>
              <c:f>'Refraction Index'!$O$2:$O$4</c:f>
              <c:numCache>
                <c:formatCode>General</c:formatCode>
                <c:ptCount val="3"/>
                <c:pt idx="0">
                  <c:v>74.859599999999773</c:v>
                </c:pt>
                <c:pt idx="1">
                  <c:v>87.01680000000124</c:v>
                </c:pt>
                <c:pt idx="2">
                  <c:v>88.367600000001403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A-4528-9980-A1A65EBF5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51657151"/>
        <c:axId val="451654271"/>
      </c:barChart>
      <c:catAx>
        <c:axId val="451657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Heating power/(W)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54271"/>
        <c:crosses val="autoZero"/>
        <c:auto val="1"/>
        <c:lblAlgn val="ctr"/>
        <c:lblOffset val="100"/>
        <c:noMultiLvlLbl val="0"/>
      </c:catAx>
      <c:valAx>
        <c:axId val="451654271"/>
        <c:scaling>
          <c:orientation val="minMax"/>
          <c:max val="90"/>
          <c:min val="7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Top condenser/(mol% ethanol)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57151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41289831652107"/>
          <c:y val="3.336381698711173E-2"/>
          <c:w val="0.82342444568166351"/>
          <c:h val="0.7861501536777922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'Refraction Index'!$P$1</c:f>
              <c:strCache>
                <c:ptCount val="1"/>
                <c:pt idx="0">
                  <c:v>Xb/(mol%)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'Refraction Index'!$G$2:$G$4</c:f>
              <c:numCache>
                <c:formatCode>General</c:formatCode>
                <c:ptCount val="3"/>
                <c:pt idx="0">
                  <c:v>500</c:v>
                </c:pt>
                <c:pt idx="1">
                  <c:v>1130</c:v>
                </c:pt>
                <c:pt idx="2">
                  <c:v>1640</c:v>
                </c:pt>
              </c:numCache>
            </c:numRef>
          </c:cat>
          <c:val>
            <c:numRef>
              <c:f>'Refraction Index'!$P$2:$P$4</c:f>
              <c:numCache>
                <c:formatCode>General</c:formatCode>
                <c:ptCount val="3"/>
                <c:pt idx="0">
                  <c:v>3.0548490000001038</c:v>
                </c:pt>
                <c:pt idx="1">
                  <c:v>1.9820499999998447</c:v>
                </c:pt>
                <c:pt idx="2">
                  <c:v>8.402099999989332E-2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3-4A5A-B3D5-C671BB027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51657151"/>
        <c:axId val="451654271"/>
      </c:barChart>
      <c:catAx>
        <c:axId val="451657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Heating power/(W)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54271"/>
        <c:crosses val="autoZero"/>
        <c:auto val="1"/>
        <c:lblAlgn val="ctr"/>
        <c:lblOffset val="100"/>
        <c:noMultiLvlLbl val="0"/>
      </c:catAx>
      <c:valAx>
        <c:axId val="4516542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Bottom reboiler/(mol% ethanol)</a:t>
                </a:r>
              </a:p>
            </c:rich>
          </c:tx>
          <c:layout>
            <c:manualLayout>
              <c:xMode val="edge"/>
              <c:yMode val="edge"/>
              <c:x val="4.2130780164107403E-3"/>
              <c:y val="3.288405636383798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5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'Boil-up &amp; Heating'!$B$1:$C$1</c:f>
              <c:strCache>
                <c:ptCount val="2"/>
                <c:pt idx="0">
                  <c:v>Heating 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'Boil-up &amp; Heating'!$C$2:$G$2</c:f>
              <c:numCache>
                <c:formatCode>General</c:formatCode>
                <c:ptCount val="5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</c:numCache>
            </c:numRef>
          </c:cat>
          <c:val>
            <c:numRef>
              <c:f>'Boil-up &amp; Heating'!$C$3:$G$3</c:f>
              <c:numCache>
                <c:formatCode>General</c:formatCode>
                <c:ptCount val="5"/>
                <c:pt idx="0">
                  <c:v>2</c:v>
                </c:pt>
                <c:pt idx="1">
                  <c:v>5.3</c:v>
                </c:pt>
                <c:pt idx="2">
                  <c:v>4.9000000000000004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D-4F42-861B-FA50229795E9}"/>
            </c:ext>
          </c:extLst>
        </c:ser>
        <c:ser>
          <c:idx val="1"/>
          <c:order val="1"/>
          <c:tx>
            <c:strRef>
              <c:f>'Boil-up &amp; Heating'!$B$14:$C$14</c:f>
              <c:strCache>
                <c:ptCount val="2"/>
                <c:pt idx="0">
                  <c:v>Heating down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'Boil-up &amp; Heating'!$C$2:$G$2</c:f>
              <c:numCache>
                <c:formatCode>General</c:formatCode>
                <c:ptCount val="5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</c:numCache>
            </c:numRef>
          </c:cat>
          <c:val>
            <c:numRef>
              <c:f>'Boil-up &amp; Heating'!$C$16:$G$16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4D-4F42-861B-FA5022979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7850271"/>
        <c:axId val="297848831"/>
      </c:barChart>
      <c:catAx>
        <c:axId val="297850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Heating power/(kW)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848831"/>
        <c:crosses val="autoZero"/>
        <c:auto val="1"/>
        <c:lblAlgn val="ctr"/>
        <c:lblOffset val="100"/>
        <c:noMultiLvlLbl val="0"/>
      </c:catAx>
      <c:valAx>
        <c:axId val="29784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Boil-up rate/(mL/min)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85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T1 Heating up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'Boil-up &amp; Heating'!$C$2:$G$2</c:f>
              <c:numCache>
                <c:formatCode>General</c:formatCode>
                <c:ptCount val="5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</c:numCache>
            </c:numRef>
          </c:xVal>
          <c:yVal>
            <c:numRef>
              <c:f>'Boil-up &amp; Heating'!$C$4:$G$4</c:f>
              <c:numCache>
                <c:formatCode>General</c:formatCode>
                <c:ptCount val="5"/>
                <c:pt idx="0">
                  <c:v>78.599999999999994</c:v>
                </c:pt>
                <c:pt idx="1">
                  <c:v>79.3</c:v>
                </c:pt>
                <c:pt idx="2">
                  <c:v>78.900000000000006</c:v>
                </c:pt>
                <c:pt idx="3">
                  <c:v>97.2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F5-4A46-B9DF-6FA11B49BB57}"/>
            </c:ext>
          </c:extLst>
        </c:ser>
        <c:ser>
          <c:idx val="1"/>
          <c:order val="1"/>
          <c:tx>
            <c:v>T8 Heating up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'Boil-up &amp; Heating'!$C$2:$G$2</c:f>
              <c:numCache>
                <c:formatCode>General</c:formatCode>
                <c:ptCount val="5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</c:numCache>
            </c:numRef>
          </c:xVal>
          <c:yVal>
            <c:numRef>
              <c:f>'Boil-up &amp; Heating'!$C$5:$G$5</c:f>
              <c:numCache>
                <c:formatCode>General</c:formatCode>
                <c:ptCount val="5"/>
                <c:pt idx="0">
                  <c:v>82.7</c:v>
                </c:pt>
                <c:pt idx="1">
                  <c:v>97</c:v>
                </c:pt>
                <c:pt idx="2">
                  <c:v>98.9</c:v>
                </c:pt>
                <c:pt idx="3">
                  <c:v>100.6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F5-4A46-B9DF-6FA11B49BB57}"/>
            </c:ext>
          </c:extLst>
        </c:ser>
        <c:ser>
          <c:idx val="2"/>
          <c:order val="2"/>
          <c:tx>
            <c:v>T9 Heating up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'Boil-up &amp; Heating'!$C$2:$G$2</c:f>
              <c:numCache>
                <c:formatCode>General</c:formatCode>
                <c:ptCount val="5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</c:numCache>
            </c:numRef>
          </c:xVal>
          <c:yVal>
            <c:numRef>
              <c:f>'Boil-up &amp; Heating'!$C$6:$G$6</c:f>
              <c:numCache>
                <c:formatCode>General</c:formatCode>
                <c:ptCount val="5"/>
                <c:pt idx="0">
                  <c:v>97.1</c:v>
                </c:pt>
                <c:pt idx="1">
                  <c:v>98.4</c:v>
                </c:pt>
                <c:pt idx="2">
                  <c:v>99.6</c:v>
                </c:pt>
                <c:pt idx="3">
                  <c:v>100.8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F5-4A46-B9DF-6FA11B49BB57}"/>
            </c:ext>
          </c:extLst>
        </c:ser>
        <c:ser>
          <c:idx val="3"/>
          <c:order val="3"/>
          <c:tx>
            <c:v>T1 Heating down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'Boil-up &amp; Heating'!$C$15:$G$15</c:f>
              <c:numCache>
                <c:formatCode>General</c:formatCode>
                <c:ptCount val="5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</c:numCache>
            </c:numRef>
          </c:xVal>
          <c:yVal>
            <c:numRef>
              <c:f>'Boil-up &amp; Heating'!$C$17:$G$17</c:f>
              <c:numCache>
                <c:formatCode>General</c:formatCode>
                <c:ptCount val="5"/>
                <c:pt idx="0">
                  <c:v>79.2</c:v>
                </c:pt>
                <c:pt idx="1">
                  <c:v>78.900000000000006</c:v>
                </c:pt>
                <c:pt idx="2">
                  <c:v>78.599999999999994</c:v>
                </c:pt>
                <c:pt idx="3">
                  <c:v>78.599999999999994</c:v>
                </c:pt>
                <c:pt idx="4">
                  <c:v>78.5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F5-4A46-B9DF-6FA11B49BB57}"/>
            </c:ext>
          </c:extLst>
        </c:ser>
        <c:ser>
          <c:idx val="4"/>
          <c:order val="4"/>
          <c:tx>
            <c:v>T8 Heating down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'Boil-up &amp; Heating'!$C$15:$G$15</c:f>
              <c:numCache>
                <c:formatCode>General</c:formatCode>
                <c:ptCount val="5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</c:numCache>
            </c:numRef>
          </c:xVal>
          <c:yVal>
            <c:numRef>
              <c:f>'Boil-up &amp; Heating'!$C$18:$G$18</c:f>
              <c:numCache>
                <c:formatCode>General</c:formatCode>
                <c:ptCount val="5"/>
                <c:pt idx="0">
                  <c:v>100.4</c:v>
                </c:pt>
                <c:pt idx="1">
                  <c:v>99.5</c:v>
                </c:pt>
                <c:pt idx="2">
                  <c:v>88.3</c:v>
                </c:pt>
                <c:pt idx="3">
                  <c:v>95.5</c:v>
                </c:pt>
                <c:pt idx="4">
                  <c:v>83.1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F5-4A46-B9DF-6FA11B49BB57}"/>
            </c:ext>
          </c:extLst>
        </c:ser>
        <c:ser>
          <c:idx val="5"/>
          <c:order val="5"/>
          <c:tx>
            <c:v>T9 Heating down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'Boil-up &amp; Heating'!$C$15:$G$15</c:f>
              <c:numCache>
                <c:formatCode>General</c:formatCode>
                <c:ptCount val="5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</c:numCache>
            </c:numRef>
          </c:xVal>
          <c:yVal>
            <c:numRef>
              <c:f>'Boil-up &amp; Heating'!$C$19:$G$19</c:f>
              <c:numCache>
                <c:formatCode>General</c:formatCode>
                <c:ptCount val="5"/>
                <c:pt idx="0">
                  <c:v>100.8</c:v>
                </c:pt>
                <c:pt idx="1">
                  <c:v>100.5</c:v>
                </c:pt>
                <c:pt idx="2">
                  <c:v>99.8</c:v>
                </c:pt>
                <c:pt idx="3">
                  <c:v>98.9</c:v>
                </c:pt>
                <c:pt idx="4">
                  <c:v>96.6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F5-4A46-B9DF-6FA11B49B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1133615"/>
        <c:axId val="1781133135"/>
      </c:scatterChart>
      <c:valAx>
        <c:axId val="1781133615"/>
        <c:scaling>
          <c:orientation val="minMax"/>
          <c:max val="0.5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Heating power/(kW)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133135"/>
        <c:crosses val="autoZero"/>
        <c:crossBetween val="midCat"/>
      </c:valAx>
      <c:valAx>
        <c:axId val="1781133135"/>
        <c:scaling>
          <c:orientation val="minMax"/>
          <c:max val="105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Temperature/(</a:t>
                </a:r>
                <a:r>
                  <a:rPr lang="en-US">
                    <a:latin typeface="Calibri" panose="020F0502020204030204" pitchFamily="34" charset="0"/>
                    <a:cs typeface="Calibri" panose="020F0502020204030204" pitchFamily="34" charset="0"/>
                  </a:rPr>
                  <a:t>°</a:t>
                </a:r>
                <a:r>
                  <a:rPr lang="en-US"/>
                  <a:t>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133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'Boil-up &amp; Heating'!$B$1:$C$1</c:f>
              <c:strCache>
                <c:ptCount val="2"/>
                <c:pt idx="0">
                  <c:v>Heating 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'Boil-up &amp; Heating'!$C$2:$G$2</c:f>
              <c:numCache>
                <c:formatCode>General</c:formatCode>
                <c:ptCount val="5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</c:numCache>
            </c:numRef>
          </c:cat>
          <c:val>
            <c:numRef>
              <c:f>'Boil-up &amp; Heating'!$C$8:$G$8</c:f>
              <c:numCache>
                <c:formatCode>General</c:formatCode>
                <c:ptCount val="5"/>
                <c:pt idx="0">
                  <c:v>92.91635000000133</c:v>
                </c:pt>
                <c:pt idx="1">
                  <c:v>91.283090000000811</c:v>
                </c:pt>
                <c:pt idx="2">
                  <c:v>88.833200000000943</c:v>
                </c:pt>
                <c:pt idx="3">
                  <c:v>87.199939999998605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B-46B9-8EF1-26914BDB8477}"/>
            </c:ext>
          </c:extLst>
        </c:ser>
        <c:ser>
          <c:idx val="1"/>
          <c:order val="1"/>
          <c:tx>
            <c:strRef>
              <c:f>'Boil-up &amp; Heating'!$B$14:$C$14</c:f>
              <c:strCache>
                <c:ptCount val="2"/>
                <c:pt idx="0">
                  <c:v>Heating down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'Boil-up &amp; Heating'!$C$2:$G$2</c:f>
              <c:numCache>
                <c:formatCode>General</c:formatCode>
                <c:ptCount val="5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</c:numCache>
            </c:numRef>
          </c:cat>
          <c:val>
            <c:numRef>
              <c:f>'Boil-up &amp; Heating'!$C$21:$G$21</c:f>
              <c:numCache>
                <c:formatCode>General</c:formatCode>
                <c:ptCount val="5"/>
                <c:pt idx="0">
                  <c:v>87.199939999998605</c:v>
                </c:pt>
                <c:pt idx="1">
                  <c:v>87.199939999998605</c:v>
                </c:pt>
                <c:pt idx="2">
                  <c:v>88.833200000000943</c:v>
                </c:pt>
                <c:pt idx="3">
                  <c:v>92.099720000000161</c:v>
                </c:pt>
                <c:pt idx="4">
                  <c:v>88.833200000000943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4B-46B9-8EF1-26914BDB8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7850271"/>
        <c:axId val="297848831"/>
      </c:barChart>
      <c:catAx>
        <c:axId val="297850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Heating power/(kW)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848831"/>
        <c:crosses val="autoZero"/>
        <c:auto val="1"/>
        <c:lblAlgn val="ctr"/>
        <c:lblOffset val="100"/>
        <c:noMultiLvlLbl val="0"/>
      </c:catAx>
      <c:valAx>
        <c:axId val="29784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Distillate top products/(mass%)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85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'Boil-up &amp; Heating'!$B$1:$C$1</c:f>
              <c:strCache>
                <c:ptCount val="2"/>
                <c:pt idx="0">
                  <c:v>Heating 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'Boil-up &amp; Heating'!$C$2:$G$2</c:f>
              <c:numCache>
                <c:formatCode>General</c:formatCode>
                <c:ptCount val="5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</c:numCache>
            </c:numRef>
          </c:cat>
          <c:val>
            <c:numRef>
              <c:f>'Boil-up &amp; Heating'!$C$10:$G$10</c:f>
              <c:numCache>
                <c:formatCode>General</c:formatCode>
                <c:ptCount val="5"/>
                <c:pt idx="0">
                  <c:v>91.283090000000811</c:v>
                </c:pt>
                <c:pt idx="1">
                  <c:v>90.466460000001462</c:v>
                </c:pt>
                <c:pt idx="2">
                  <c:v>89.649830000000293</c:v>
                </c:pt>
                <c:pt idx="3">
                  <c:v>64.676000000000386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9-432D-ADBA-ACED183A9FD6}"/>
            </c:ext>
          </c:extLst>
        </c:ser>
        <c:ser>
          <c:idx val="1"/>
          <c:order val="1"/>
          <c:tx>
            <c:strRef>
              <c:f>'Boil-up &amp; Heating'!$B$14:$C$14</c:f>
              <c:strCache>
                <c:ptCount val="2"/>
                <c:pt idx="0">
                  <c:v>Heating down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'Boil-up &amp; Heating'!$C$2:$G$2</c:f>
              <c:numCache>
                <c:formatCode>General</c:formatCode>
                <c:ptCount val="5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</c:numCache>
            </c:numRef>
          </c:cat>
          <c:val>
            <c:numRef>
              <c:f>'Boil-up &amp; Heating'!$C$23:$G$23</c:f>
              <c:numCache>
                <c:formatCode>General</c:formatCode>
                <c:ptCount val="5"/>
                <c:pt idx="0">
                  <c:v>88.016569999999774</c:v>
                </c:pt>
                <c:pt idx="1">
                  <c:v>88.016569999999774</c:v>
                </c:pt>
                <c:pt idx="2">
                  <c:v>89.241514999999708</c:v>
                </c:pt>
                <c:pt idx="3">
                  <c:v>88.016569999999774</c:v>
                </c:pt>
                <c:pt idx="4">
                  <c:v>92.099720000000161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49-432D-ADBA-ACED183A9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7850271"/>
        <c:axId val="297848831"/>
      </c:barChart>
      <c:catAx>
        <c:axId val="297850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Heating power/(kW)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848831"/>
        <c:crosses val="autoZero"/>
        <c:auto val="1"/>
        <c:lblAlgn val="ctr"/>
        <c:lblOffset val="100"/>
        <c:noMultiLvlLbl val="0"/>
      </c:catAx>
      <c:valAx>
        <c:axId val="297848831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Distillate phase</a:t>
                </a:r>
                <a:r>
                  <a:rPr lang="en-US" baseline="0"/>
                  <a:t> tank</a:t>
                </a:r>
                <a:r>
                  <a:rPr lang="en-US"/>
                  <a:t>/(mass%)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85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'Boil-up &amp; Heating'!$B$1:$C$1</c:f>
              <c:strCache>
                <c:ptCount val="2"/>
                <c:pt idx="0">
                  <c:v>Heating 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'Boil-up &amp; Heating'!$C$2:$G$2</c:f>
              <c:numCache>
                <c:formatCode>General</c:formatCode>
                <c:ptCount val="5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</c:numCache>
            </c:numRef>
          </c:cat>
          <c:val>
            <c:numRef>
              <c:f>'Boil-up &amp; Heating'!$C$12:$G$12</c:f>
              <c:numCache>
                <c:formatCode>General</c:formatCode>
                <c:ptCount val="5"/>
                <c:pt idx="0">
                  <c:v>4.6134999999999309</c:v>
                </c:pt>
                <c:pt idx="1">
                  <c:v>3.4686400000000503</c:v>
                </c:pt>
                <c:pt idx="2">
                  <c:v>1.7513500000000022</c:v>
                </c:pt>
                <c:pt idx="3">
                  <c:v>0.98810999999977867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3-4519-BEF0-3B787D2ED12F}"/>
            </c:ext>
          </c:extLst>
        </c:ser>
        <c:ser>
          <c:idx val="1"/>
          <c:order val="1"/>
          <c:tx>
            <c:strRef>
              <c:f>'Boil-up &amp; Heating'!$B$14:$C$14</c:f>
              <c:strCache>
                <c:ptCount val="2"/>
                <c:pt idx="0">
                  <c:v>Heating down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'Boil-up &amp; Heating'!$C$2:$G$2</c:f>
              <c:numCache>
                <c:formatCode>General</c:formatCode>
                <c:ptCount val="5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</c:numCache>
            </c:numRef>
          </c:cat>
          <c:val>
            <c:numRef>
              <c:f>'Boil-up &amp; Heating'!$C$25:$G$25</c:f>
              <c:numCache>
                <c:formatCode>General</c:formatCode>
                <c:ptCount val="5"/>
                <c:pt idx="0">
                  <c:v>1.3697299999998904</c:v>
                </c:pt>
                <c:pt idx="1">
                  <c:v>1.7513500000000022</c:v>
                </c:pt>
                <c:pt idx="2">
                  <c:v>1.9421600000000581</c:v>
                </c:pt>
                <c:pt idx="3">
                  <c:v>3.4686400000000503</c:v>
                </c:pt>
                <c:pt idx="4">
                  <c:v>6.1399800000003779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A3-4519-BEF0-3B787D2ED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7850271"/>
        <c:axId val="297848831"/>
      </c:barChart>
      <c:catAx>
        <c:axId val="297850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Heating power/(kW)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848831"/>
        <c:crosses val="autoZero"/>
        <c:auto val="1"/>
        <c:lblAlgn val="ctr"/>
        <c:lblOffset val="100"/>
        <c:noMultiLvlLbl val="0"/>
      </c:catAx>
      <c:valAx>
        <c:axId val="29784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Bottom reboiler/(mass%)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85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5278897870089712E-2"/>
                  <c:y val="2.7777777777777776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solidFill>
                    <a:schemeClr val="accent6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Index'!$E$2:$E$3</c:f>
              <c:numCache>
                <c:formatCode>General</c:formatCode>
                <c:ptCount val="2"/>
                <c:pt idx="0">
                  <c:v>1.3647</c:v>
                </c:pt>
                <c:pt idx="1">
                  <c:v>1.3619000000000001</c:v>
                </c:pt>
              </c:numCache>
            </c:numRef>
          </c:xVal>
          <c:yVal>
            <c:numRef>
              <c:f>'Refraction Index'!$C$2:$C$3</c:f>
              <c:numCache>
                <c:formatCode>General</c:formatCode>
                <c:ptCount val="2"/>
                <c:pt idx="0">
                  <c:v>95</c:v>
                </c:pt>
                <c:pt idx="1">
                  <c:v>72.13433925529327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FB-4B46-B8CC-4B2CEF6FA802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0306505177991543E-2"/>
                  <c:y val="5.7462088072324294E-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solidFill>
                    <a:schemeClr val="accent2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Index'!$E$3:$E$4</c:f>
              <c:numCache>
                <c:formatCode>General</c:formatCode>
                <c:ptCount val="2"/>
                <c:pt idx="0">
                  <c:v>1.3619000000000001</c:v>
                </c:pt>
                <c:pt idx="1">
                  <c:v>1.3566</c:v>
                </c:pt>
              </c:numCache>
            </c:numRef>
          </c:xVal>
          <c:yVal>
            <c:numRef>
              <c:f>'Refraction Index'!$C$3:$C$4</c:f>
              <c:numCache>
                <c:formatCode>General</c:formatCode>
                <c:ptCount val="2"/>
                <c:pt idx="0">
                  <c:v>72.13433925529327</c:v>
                </c:pt>
                <c:pt idx="1">
                  <c:v>51.482167670217692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FB-4B46-B8CC-4B2CEF6FA802}"/>
            </c:ext>
          </c:extLst>
        </c:ser>
        <c:ser>
          <c:idx val="2"/>
          <c:order val="2"/>
          <c:tx>
            <c:v>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9082193400266263E-2"/>
                  <c:y val="-3.2062554680664872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solidFill>
                    <a:schemeClr val="accent3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Index'!$E$4:$E$5</c:f>
              <c:numCache>
                <c:formatCode>General</c:formatCode>
                <c:ptCount val="2"/>
                <c:pt idx="0">
                  <c:v>1.3566</c:v>
                </c:pt>
                <c:pt idx="1">
                  <c:v>1.3486</c:v>
                </c:pt>
              </c:numCache>
            </c:numRef>
          </c:xVal>
          <c:yVal>
            <c:numRef>
              <c:f>'Refraction Index'!$C$4:$C$5</c:f>
              <c:numCache>
                <c:formatCode>General</c:formatCode>
                <c:ptCount val="2"/>
                <c:pt idx="0">
                  <c:v>51.482167670217692</c:v>
                </c:pt>
                <c:pt idx="1">
                  <c:v>32.736911862160376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FB-4B46-B8CC-4B2CEF6FA802}"/>
            </c:ext>
          </c:extLst>
        </c:ser>
        <c:ser>
          <c:idx val="3"/>
          <c:order val="3"/>
          <c:tx>
            <c:v>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2448972075063995E-2"/>
                  <c:y val="-4.6434091571886847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solidFill>
                    <a:schemeClr val="accent4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Index'!$E$5:$E$6</c:f>
              <c:numCache>
                <c:formatCode>General</c:formatCode>
                <c:ptCount val="2"/>
                <c:pt idx="0">
                  <c:v>1.3486</c:v>
                </c:pt>
                <c:pt idx="1">
                  <c:v>1.3408</c:v>
                </c:pt>
              </c:numCache>
            </c:numRef>
          </c:xVal>
          <c:yVal>
            <c:numRef>
              <c:f>'Refraction Index'!$C$5:$C$6</c:f>
              <c:numCache>
                <c:formatCode>General</c:formatCode>
                <c:ptCount val="2"/>
                <c:pt idx="0">
                  <c:v>32.736911862160376</c:v>
                </c:pt>
                <c:pt idx="1">
                  <c:v>15.646114864864868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FB-4B46-B8CC-4B2CEF6FA802}"/>
            </c:ext>
          </c:extLst>
        </c:ser>
        <c:ser>
          <c:idx val="4"/>
          <c:order val="4"/>
          <c:tx>
            <c:v>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7.2931689561698959E-2"/>
                  <c:y val="-2.777777777777794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8FB-4B46-B8CC-4B2CEF6FA8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2726845178676697E-2"/>
                  <c:y val="-4.387503645377661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solidFill>
                    <a:schemeClr val="accent5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Index'!$E$6:$E$7</c:f>
              <c:numCache>
                <c:formatCode>General</c:formatCode>
                <c:ptCount val="2"/>
                <c:pt idx="0">
                  <c:v>1.3408</c:v>
                </c:pt>
                <c:pt idx="1">
                  <c:v>1.3326</c:v>
                </c:pt>
              </c:numCache>
            </c:numRef>
          </c:xVal>
          <c:yVal>
            <c:numRef>
              <c:f>'Refraction Index'!$C$6:$C$7</c:f>
              <c:numCache>
                <c:formatCode>General</c:formatCode>
                <c:ptCount val="2"/>
                <c:pt idx="0">
                  <c:v>15.646114864864868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FB-4B46-B8CC-4B2CEF6FA8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27519392"/>
        <c:axId val="327521360"/>
      </c:scatterChart>
      <c:valAx>
        <c:axId val="327519392"/>
        <c:scaling>
          <c:orientation val="minMax"/>
          <c:max val="1.3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Refractive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21360"/>
        <c:crosses val="autoZero"/>
        <c:crossBetween val="midCat"/>
      </c:valAx>
      <c:valAx>
        <c:axId val="32752136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 % ethanol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1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341657344493558E-2"/>
          <c:y val="2.5695998526499977E-2"/>
          <c:w val="0.90165834265550648"/>
          <c:h val="0.848405580881337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'Boil-up &amp; Heating (2)'!$B$1:$C$1</c:f>
              <c:strCache>
                <c:ptCount val="2"/>
                <c:pt idx="0">
                  <c:v>Ramping 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'Boil-up &amp; Heating (2)'!$C$2:$G$2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cat>
          <c:val>
            <c:numRef>
              <c:f>'Boil-up &amp; Heating (2)'!$C$3:$G$3</c:f>
              <c:numCache>
                <c:formatCode>General</c:formatCode>
                <c:ptCount val="5"/>
                <c:pt idx="0">
                  <c:v>0.12</c:v>
                </c:pt>
                <c:pt idx="1">
                  <c:v>0.318</c:v>
                </c:pt>
                <c:pt idx="2">
                  <c:v>0.29399999999999998</c:v>
                </c:pt>
                <c:pt idx="3">
                  <c:v>0.16800000000000001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2-4CD7-8C15-B85A28B2B81C}"/>
            </c:ext>
          </c:extLst>
        </c:ser>
        <c:ser>
          <c:idx val="1"/>
          <c:order val="1"/>
          <c:tx>
            <c:strRef>
              <c:f>'Boil-up &amp; Heating (2)'!$B$14:$C$14</c:f>
              <c:strCache>
                <c:ptCount val="2"/>
                <c:pt idx="0">
                  <c:v>Ramping down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'Boil-up &amp; Heating (2)'!$C$2:$G$2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cat>
          <c:val>
            <c:numRef>
              <c:f>'Boil-up &amp; Heating (2)'!$C$16:$G$16</c:f>
              <c:numCache>
                <c:formatCode>General</c:formatCode>
                <c:ptCount val="5"/>
                <c:pt idx="0">
                  <c:v>0.12</c:v>
                </c:pt>
                <c:pt idx="1">
                  <c:v>0.3</c:v>
                </c:pt>
                <c:pt idx="2">
                  <c:v>0.42</c:v>
                </c:pt>
                <c:pt idx="3">
                  <c:v>0.6</c:v>
                </c:pt>
                <c:pt idx="4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32-4CD7-8C15-B85A28B2B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7850271"/>
        <c:axId val="297848831"/>
      </c:barChart>
      <c:catAx>
        <c:axId val="297850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Heating power/(W)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848831"/>
        <c:crosses val="autoZero"/>
        <c:auto val="1"/>
        <c:lblAlgn val="ctr"/>
        <c:lblOffset val="100"/>
        <c:noMultiLvlLbl val="0"/>
      </c:catAx>
      <c:valAx>
        <c:axId val="2978488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Boil-up rate/(L/s)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85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9763952685325407"/>
          <c:y val="0.14427671541057371"/>
          <c:w val="0.22105895644475149"/>
          <c:h val="0.200752905886764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261592300962376E-2"/>
          <c:y val="2.5428331875182269E-2"/>
          <c:w val="0.61341797900262462"/>
          <c:h val="0.84535505978419367"/>
        </c:manualLayout>
      </c:layout>
      <c:scatterChart>
        <c:scatterStyle val="lineMarker"/>
        <c:varyColors val="0"/>
        <c:ser>
          <c:idx val="0"/>
          <c:order val="0"/>
          <c:tx>
            <c:strRef>
              <c:f>'Boil-up &amp; Heating (2)'!$B$28</c:f>
              <c:strCache>
                <c:ptCount val="1"/>
                <c:pt idx="0">
                  <c:v>Top column (ramp-up)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'Boil-up &amp; Heating (2)'!$C$2:$G$2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xVal>
          <c:yVal>
            <c:numRef>
              <c:f>'Boil-up &amp; Heating (2)'!$C$4:$G$4</c:f>
              <c:numCache>
                <c:formatCode>General</c:formatCode>
                <c:ptCount val="5"/>
                <c:pt idx="0">
                  <c:v>78.599999999999994</c:v>
                </c:pt>
                <c:pt idx="1">
                  <c:v>79.3</c:v>
                </c:pt>
                <c:pt idx="2">
                  <c:v>78.900000000000006</c:v>
                </c:pt>
                <c:pt idx="3">
                  <c:v>97.2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66-4B82-B88F-2F6B398C52F6}"/>
            </c:ext>
          </c:extLst>
        </c:ser>
        <c:ser>
          <c:idx val="1"/>
          <c:order val="1"/>
          <c:tx>
            <c:strRef>
              <c:f>'Boil-up &amp; Heating (2)'!$B$29</c:f>
              <c:strCache>
                <c:ptCount val="1"/>
                <c:pt idx="0">
                  <c:v>Bottom column (ramp-up)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'Boil-up &amp; Heating (2)'!$C$2:$G$2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xVal>
          <c:yVal>
            <c:numRef>
              <c:f>'Boil-up &amp; Heating (2)'!$C$5:$G$5</c:f>
              <c:numCache>
                <c:formatCode>General</c:formatCode>
                <c:ptCount val="5"/>
                <c:pt idx="0">
                  <c:v>82.7</c:v>
                </c:pt>
                <c:pt idx="1">
                  <c:v>97</c:v>
                </c:pt>
                <c:pt idx="2">
                  <c:v>98.9</c:v>
                </c:pt>
                <c:pt idx="3">
                  <c:v>100.6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66-4B82-B88F-2F6B398C52F6}"/>
            </c:ext>
          </c:extLst>
        </c:ser>
        <c:ser>
          <c:idx val="2"/>
          <c:order val="2"/>
          <c:tx>
            <c:strRef>
              <c:f>'Boil-up &amp; Heating (2)'!$B$30</c:f>
              <c:strCache>
                <c:ptCount val="1"/>
                <c:pt idx="0">
                  <c:v>Reboiler (ramp-up)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'Boil-up &amp; Heating (2)'!$C$2:$G$2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xVal>
          <c:yVal>
            <c:numRef>
              <c:f>'Boil-up &amp; Heating (2)'!$C$6:$G$6</c:f>
              <c:numCache>
                <c:formatCode>General</c:formatCode>
                <c:ptCount val="5"/>
                <c:pt idx="0">
                  <c:v>97.1</c:v>
                </c:pt>
                <c:pt idx="1">
                  <c:v>98.4</c:v>
                </c:pt>
                <c:pt idx="2">
                  <c:v>99.6</c:v>
                </c:pt>
                <c:pt idx="3">
                  <c:v>100.8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66-4B82-B88F-2F6B398C52F6}"/>
            </c:ext>
          </c:extLst>
        </c:ser>
        <c:ser>
          <c:idx val="3"/>
          <c:order val="3"/>
          <c:tx>
            <c:strRef>
              <c:f>'Boil-up &amp; Heating (2)'!$B$32</c:f>
              <c:strCache>
                <c:ptCount val="1"/>
                <c:pt idx="0">
                  <c:v>Top column (ramp-down)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'Boil-up &amp; Heating (2)'!$C$15:$G$15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xVal>
          <c:yVal>
            <c:numRef>
              <c:f>'Boil-up &amp; Heating (2)'!$C$17:$G$17</c:f>
              <c:numCache>
                <c:formatCode>General</c:formatCode>
                <c:ptCount val="5"/>
                <c:pt idx="0">
                  <c:v>79.2</c:v>
                </c:pt>
                <c:pt idx="1">
                  <c:v>78.900000000000006</c:v>
                </c:pt>
                <c:pt idx="2">
                  <c:v>78.599999999999994</c:v>
                </c:pt>
                <c:pt idx="3">
                  <c:v>78.599999999999994</c:v>
                </c:pt>
                <c:pt idx="4">
                  <c:v>78.5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66-4B82-B88F-2F6B398C52F6}"/>
            </c:ext>
          </c:extLst>
        </c:ser>
        <c:ser>
          <c:idx val="4"/>
          <c:order val="4"/>
          <c:tx>
            <c:strRef>
              <c:f>'Boil-up &amp; Heating (2)'!$B$33</c:f>
              <c:strCache>
                <c:ptCount val="1"/>
                <c:pt idx="0">
                  <c:v>Bottom column (ramp-down)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'Boil-up &amp; Heating (2)'!$C$15:$G$15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xVal>
          <c:yVal>
            <c:numRef>
              <c:f>'Boil-up &amp; Heating (2)'!$C$18:$G$18</c:f>
              <c:numCache>
                <c:formatCode>General</c:formatCode>
                <c:ptCount val="5"/>
                <c:pt idx="0">
                  <c:v>100.4</c:v>
                </c:pt>
                <c:pt idx="1">
                  <c:v>99.5</c:v>
                </c:pt>
                <c:pt idx="2">
                  <c:v>88.3</c:v>
                </c:pt>
                <c:pt idx="3">
                  <c:v>95.5</c:v>
                </c:pt>
                <c:pt idx="4">
                  <c:v>83.1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466-4B82-B88F-2F6B398C52F6}"/>
            </c:ext>
          </c:extLst>
        </c:ser>
        <c:ser>
          <c:idx val="5"/>
          <c:order val="5"/>
          <c:tx>
            <c:strRef>
              <c:f>'Boil-up &amp; Heating (2)'!$B$34</c:f>
              <c:strCache>
                <c:ptCount val="1"/>
                <c:pt idx="0">
                  <c:v>Reboiler (ramp-down)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'Boil-up &amp; Heating (2)'!$C$15:$G$15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xVal>
          <c:yVal>
            <c:numRef>
              <c:f>'Boil-up &amp; Heating (2)'!$C$19:$G$19</c:f>
              <c:numCache>
                <c:formatCode>General</c:formatCode>
                <c:ptCount val="5"/>
                <c:pt idx="0">
                  <c:v>100.8</c:v>
                </c:pt>
                <c:pt idx="1">
                  <c:v>100.5</c:v>
                </c:pt>
                <c:pt idx="2">
                  <c:v>99.8</c:v>
                </c:pt>
                <c:pt idx="3">
                  <c:v>98.9</c:v>
                </c:pt>
                <c:pt idx="4">
                  <c:v>96.6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466-4B82-B88F-2F6B398C5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1133615"/>
        <c:axId val="1781133135"/>
      </c:scatterChart>
      <c:valAx>
        <c:axId val="1781133615"/>
        <c:scaling>
          <c:orientation val="minMax"/>
          <c:max val="500"/>
          <c:min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Heating power/(W)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133135"/>
        <c:crosses val="autoZero"/>
        <c:crossBetween val="midCat"/>
      </c:valAx>
      <c:valAx>
        <c:axId val="1781133135"/>
        <c:scaling>
          <c:orientation val="minMax"/>
          <c:max val="105"/>
          <c:min val="7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Temperature/(°C)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133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779068241469801"/>
          <c:y val="9.8956692913385824E-2"/>
          <c:w val="0.28220931758530177"/>
          <c:h val="0.769679206765820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9005471006542894E-2"/>
          <c:y val="2.5695998526499977E-2"/>
          <c:w val="0.91099452899345701"/>
          <c:h val="0.8577623060275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'Boil-up &amp; Heating (2)'!$B$1:$C$1</c:f>
              <c:strCache>
                <c:ptCount val="2"/>
                <c:pt idx="0">
                  <c:v>Ramping 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'Boil-up &amp; Heating (2)'!$C$2:$G$2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cat>
          <c:val>
            <c:numRef>
              <c:f>'Boil-up &amp; Heating (2)'!$C$8:$G$8</c:f>
              <c:numCache>
                <c:formatCode>General</c:formatCode>
                <c:ptCount val="5"/>
                <c:pt idx="0">
                  <c:v>85.666000000001077</c:v>
                </c:pt>
                <c:pt idx="1">
                  <c:v>82.964400000000751</c:v>
                </c:pt>
                <c:pt idx="2">
                  <c:v>78.912000000000262</c:v>
                </c:pt>
                <c:pt idx="3">
                  <c:v>76.210399999999936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8-4D65-BB8C-ACC2025F0624}"/>
            </c:ext>
          </c:extLst>
        </c:ser>
        <c:ser>
          <c:idx val="1"/>
          <c:order val="1"/>
          <c:tx>
            <c:strRef>
              <c:f>'Boil-up &amp; Heating (2)'!$B$14:$C$14</c:f>
              <c:strCache>
                <c:ptCount val="2"/>
                <c:pt idx="0">
                  <c:v>Ramping down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'Boil-up &amp; Heating (2)'!$C$2:$G$2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cat>
          <c:val>
            <c:numRef>
              <c:f>'Boil-up &amp; Heating (2)'!$C$21:$G$21</c:f>
              <c:numCache>
                <c:formatCode>General</c:formatCode>
                <c:ptCount val="5"/>
                <c:pt idx="0">
                  <c:v>76.210399999999936</c:v>
                </c:pt>
                <c:pt idx="1">
                  <c:v>76.210399999999936</c:v>
                </c:pt>
                <c:pt idx="2">
                  <c:v>78.912000000000262</c:v>
                </c:pt>
                <c:pt idx="3">
                  <c:v>84.315200000000914</c:v>
                </c:pt>
                <c:pt idx="4">
                  <c:v>78.912000000000262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48-4D65-BB8C-ACC2025F0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7850271"/>
        <c:axId val="297848831"/>
      </c:barChart>
      <c:catAx>
        <c:axId val="297850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Heating power/(W)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848831"/>
        <c:crosses val="autoZero"/>
        <c:auto val="1"/>
        <c:lblAlgn val="ctr"/>
        <c:lblOffset val="100"/>
        <c:noMultiLvlLbl val="0"/>
      </c:catAx>
      <c:valAx>
        <c:axId val="2978488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 condensate/(mol% ethanol)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85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4039466963537421"/>
          <c:y val="8.4209789565778001E-2"/>
          <c:w val="0.2018751056612868"/>
          <c:h val="0.157895841967122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860573862185296E-2"/>
          <c:y val="2.5695998526499977E-2"/>
          <c:w val="0.90813942613781473"/>
          <c:h val="0.853083943454436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'Boil-up &amp; Heating (2)'!$B$1:$C$1</c:f>
              <c:strCache>
                <c:ptCount val="2"/>
                <c:pt idx="0">
                  <c:v>Ramping 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'Boil-up &amp; Heating (2)'!$C$2:$G$2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cat>
          <c:val>
            <c:numRef>
              <c:f>'Boil-up &amp; Heating (2)'!$C$10:$G$10</c:f>
              <c:numCache>
                <c:formatCode>General</c:formatCode>
                <c:ptCount val="5"/>
                <c:pt idx="0">
                  <c:v>82.964400000000751</c:v>
                </c:pt>
                <c:pt idx="1">
                  <c:v>81.613600000000588</c:v>
                </c:pt>
                <c:pt idx="2">
                  <c:v>80.262800000000425</c:v>
                </c:pt>
                <c:pt idx="3">
                  <c:v>42.704000000000633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E-45F7-9A52-D5A4BC84F8A2}"/>
            </c:ext>
          </c:extLst>
        </c:ser>
        <c:ser>
          <c:idx val="1"/>
          <c:order val="1"/>
          <c:tx>
            <c:strRef>
              <c:f>'Boil-up &amp; Heating (2)'!$B$14:$C$14</c:f>
              <c:strCache>
                <c:ptCount val="2"/>
                <c:pt idx="0">
                  <c:v>Ramping down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'Boil-up &amp; Heating (2)'!$C$2:$G$2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cat>
          <c:val>
            <c:numRef>
              <c:f>'Boil-up &amp; Heating (2)'!$C$23:$G$23</c:f>
              <c:numCache>
                <c:formatCode>General</c:formatCode>
                <c:ptCount val="5"/>
                <c:pt idx="0">
                  <c:v>77.561200000000099</c:v>
                </c:pt>
                <c:pt idx="1">
                  <c:v>77.561200000000099</c:v>
                </c:pt>
                <c:pt idx="2">
                  <c:v>79.587400000000343</c:v>
                </c:pt>
                <c:pt idx="3">
                  <c:v>77.561200000000099</c:v>
                </c:pt>
                <c:pt idx="4">
                  <c:v>84.315200000000914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4E-45F7-9A52-D5A4BC84F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7850271"/>
        <c:axId val="297848831"/>
      </c:barChart>
      <c:catAx>
        <c:axId val="297850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Heating power/(W)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848831"/>
        <c:crosses val="autoZero"/>
        <c:auto val="1"/>
        <c:lblAlgn val="ctr"/>
        <c:lblOffset val="100"/>
        <c:noMultiLvlLbl val="0"/>
      </c:catAx>
      <c:valAx>
        <c:axId val="297848831"/>
        <c:scaling>
          <c:orientation val="minMax"/>
          <c:min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Distillate phase</a:t>
                </a:r>
                <a:r>
                  <a:rPr lang="en-US" baseline="0"/>
                  <a:t> tank</a:t>
                </a:r>
                <a:r>
                  <a:rPr lang="en-US"/>
                  <a:t>/(mol%)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85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313553240699114"/>
          <c:y val="3.2747801261684424E-2"/>
          <c:w val="0.2018751056612868"/>
          <c:h val="0.157895841967122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5486554488851155E-2"/>
          <c:y val="2.5695998526499977E-2"/>
          <c:w val="0.90451344551114898"/>
          <c:h val="0.853083943454436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'Boil-up &amp; Heating (2)'!$B$1:$C$1</c:f>
              <c:strCache>
                <c:ptCount val="2"/>
                <c:pt idx="0">
                  <c:v>Ramping 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'Boil-up &amp; Heating (2)'!$C$2:$G$2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cat>
          <c:val>
            <c:numRef>
              <c:f>'Boil-up &amp; Heating (2)'!$C$12:$G$12</c:f>
              <c:numCache>
                <c:formatCode>General</c:formatCode>
                <c:ptCount val="5"/>
                <c:pt idx="0">
                  <c:v>1.9820499999998447</c:v>
                </c:pt>
                <c:pt idx="1">
                  <c:v>1.4869120000000748</c:v>
                </c:pt>
                <c:pt idx="2">
                  <c:v>0.74420499999996537</c:v>
                </c:pt>
                <c:pt idx="3">
                  <c:v>0.41411300000004303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4-4EB3-9DF4-E1CA62A4A111}"/>
            </c:ext>
          </c:extLst>
        </c:ser>
        <c:ser>
          <c:idx val="1"/>
          <c:order val="1"/>
          <c:tx>
            <c:strRef>
              <c:f>'Boil-up &amp; Heating (2)'!$B$14:$C$14</c:f>
              <c:strCache>
                <c:ptCount val="2"/>
                <c:pt idx="0">
                  <c:v>Ramping down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'Boil-up &amp; Heating (2)'!$C$2:$G$2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cat>
          <c:val>
            <c:numRef>
              <c:f>'Boil-up &amp; Heating (2)'!$C$25:$G$25</c:f>
              <c:numCache>
                <c:formatCode>General</c:formatCode>
                <c:ptCount val="5"/>
                <c:pt idx="0">
                  <c:v>0.57915899999989051</c:v>
                </c:pt>
                <c:pt idx="1">
                  <c:v>0.74420499999996537</c:v>
                </c:pt>
                <c:pt idx="2">
                  <c:v>0.82672800000000279</c:v>
                </c:pt>
                <c:pt idx="3">
                  <c:v>1.4869120000000748</c:v>
                </c:pt>
                <c:pt idx="4">
                  <c:v>2.6422340000001441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E4-4EB3-9DF4-E1CA62A4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7850271"/>
        <c:axId val="297848831"/>
      </c:barChart>
      <c:catAx>
        <c:axId val="297850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Heating power/(W)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848831"/>
        <c:crosses val="autoZero"/>
        <c:auto val="1"/>
        <c:lblAlgn val="ctr"/>
        <c:lblOffset val="100"/>
        <c:noMultiLvlLbl val="0"/>
      </c:catAx>
      <c:valAx>
        <c:axId val="2978488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Bottom reboiler/(mol% ethanol)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85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3461306387157348"/>
          <c:y val="0.15438522816226921"/>
          <c:w val="0.2018751056612868"/>
          <c:h val="0.157895841967122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5278897870089712E-2"/>
                  <c:y val="2.7777777777777776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solidFill>
                    <a:schemeClr val="accent6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Index'!$E$2:$E$3</c:f>
              <c:numCache>
                <c:formatCode>General</c:formatCode>
                <c:ptCount val="2"/>
                <c:pt idx="0">
                  <c:v>1.3647</c:v>
                </c:pt>
                <c:pt idx="1">
                  <c:v>1.3619000000000001</c:v>
                </c:pt>
              </c:numCache>
            </c:numRef>
          </c:xVal>
          <c:yVal>
            <c:numRef>
              <c:f>'Refraction Index'!$C$2:$C$3</c:f>
              <c:numCache>
                <c:formatCode>General</c:formatCode>
                <c:ptCount val="2"/>
                <c:pt idx="0">
                  <c:v>95</c:v>
                </c:pt>
                <c:pt idx="1">
                  <c:v>72.13433925529327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83-42A3-9443-D79C3CC399B6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0306505177991543E-2"/>
                  <c:y val="5.7462088072324294E-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solidFill>
                    <a:schemeClr val="accent2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Index'!$E$3:$E$4</c:f>
              <c:numCache>
                <c:formatCode>General</c:formatCode>
                <c:ptCount val="2"/>
                <c:pt idx="0">
                  <c:v>1.3619000000000001</c:v>
                </c:pt>
                <c:pt idx="1">
                  <c:v>1.3566</c:v>
                </c:pt>
              </c:numCache>
            </c:numRef>
          </c:xVal>
          <c:yVal>
            <c:numRef>
              <c:f>'Refraction Index'!$C$3:$C$4</c:f>
              <c:numCache>
                <c:formatCode>General</c:formatCode>
                <c:ptCount val="2"/>
                <c:pt idx="0">
                  <c:v>72.13433925529327</c:v>
                </c:pt>
                <c:pt idx="1">
                  <c:v>51.482167670217692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83-42A3-9443-D79C3CC399B6}"/>
            </c:ext>
          </c:extLst>
        </c:ser>
        <c:ser>
          <c:idx val="2"/>
          <c:order val="2"/>
          <c:tx>
            <c:v>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9082193400266263E-2"/>
                  <c:y val="-3.2062554680664872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solidFill>
                    <a:schemeClr val="accent3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Index'!$E$4:$E$5</c:f>
              <c:numCache>
                <c:formatCode>General</c:formatCode>
                <c:ptCount val="2"/>
                <c:pt idx="0">
                  <c:v>1.3566</c:v>
                </c:pt>
                <c:pt idx="1">
                  <c:v>1.3486</c:v>
                </c:pt>
              </c:numCache>
            </c:numRef>
          </c:xVal>
          <c:yVal>
            <c:numRef>
              <c:f>'Refraction Index'!$C$4:$C$5</c:f>
              <c:numCache>
                <c:formatCode>General</c:formatCode>
                <c:ptCount val="2"/>
                <c:pt idx="0">
                  <c:v>51.482167670217692</c:v>
                </c:pt>
                <c:pt idx="1">
                  <c:v>32.736911862160376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683-42A3-9443-D79C3CC399B6}"/>
            </c:ext>
          </c:extLst>
        </c:ser>
        <c:ser>
          <c:idx val="3"/>
          <c:order val="3"/>
          <c:tx>
            <c:v>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2448972075063995E-2"/>
                  <c:y val="-4.6434091571886847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solidFill>
                    <a:schemeClr val="accent4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Index'!$E$5:$E$6</c:f>
              <c:numCache>
                <c:formatCode>General</c:formatCode>
                <c:ptCount val="2"/>
                <c:pt idx="0">
                  <c:v>1.3486</c:v>
                </c:pt>
                <c:pt idx="1">
                  <c:v>1.3408</c:v>
                </c:pt>
              </c:numCache>
            </c:numRef>
          </c:xVal>
          <c:yVal>
            <c:numRef>
              <c:f>'Refraction Index'!$C$5:$C$6</c:f>
              <c:numCache>
                <c:formatCode>General</c:formatCode>
                <c:ptCount val="2"/>
                <c:pt idx="0">
                  <c:v>32.736911862160376</c:v>
                </c:pt>
                <c:pt idx="1">
                  <c:v>15.646114864864868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683-42A3-9443-D79C3CC399B6}"/>
            </c:ext>
          </c:extLst>
        </c:ser>
        <c:ser>
          <c:idx val="4"/>
          <c:order val="4"/>
          <c:tx>
            <c:v>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7.2931689561698959E-2"/>
                  <c:y val="-2.777777777777794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683-42A3-9443-D79C3CC399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2726845178676697E-2"/>
                  <c:y val="-4.387503645377661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solidFill>
                    <a:schemeClr val="accent5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'Refraction Index'!$E$6:$E$7</c:f>
              <c:numCache>
                <c:formatCode>General</c:formatCode>
                <c:ptCount val="2"/>
                <c:pt idx="0">
                  <c:v>1.3408</c:v>
                </c:pt>
                <c:pt idx="1">
                  <c:v>1.3326</c:v>
                </c:pt>
              </c:numCache>
            </c:numRef>
          </c:xVal>
          <c:yVal>
            <c:numRef>
              <c:f>'Refraction Index'!$C$6:$C$7</c:f>
              <c:numCache>
                <c:formatCode>General</c:formatCode>
                <c:ptCount val="2"/>
                <c:pt idx="0">
                  <c:v>15.646114864864868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683-42A3-9443-D79C3CC399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27519392"/>
        <c:axId val="327521360"/>
      </c:scatterChart>
      <c:valAx>
        <c:axId val="327519392"/>
        <c:scaling>
          <c:orientation val="minMax"/>
          <c:max val="1.3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Refractive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21360"/>
        <c:crosses val="autoZero"/>
        <c:crossBetween val="midCat"/>
      </c:valAx>
      <c:valAx>
        <c:axId val="32752136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 % ethanol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1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Vapour-liquid equilibirum data of ethanol-water mixture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UNIFAC!$J$3:$J$53</c:f>
              <c:numCache>
                <c:formatCode>General</c:formatCode>
                <c:ptCount val="5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UNIFAC!$H$3:$H$53</c:f>
              <c:numCache>
                <c:formatCode>General</c:formatCode>
                <c:ptCount val="51"/>
                <c:pt idx="0">
                  <c:v>0</c:v>
                </c:pt>
                <c:pt idx="1">
                  <c:v>0.204509</c:v>
                </c:pt>
                <c:pt idx="2">
                  <c:v>0.31168800000000002</c:v>
                </c:pt>
                <c:pt idx="3">
                  <c:v>0.37620900000000002</c:v>
                </c:pt>
                <c:pt idx="4">
                  <c:v>0.41880299999999998</c:v>
                </c:pt>
                <c:pt idx="5">
                  <c:v>0.44890999999999998</c:v>
                </c:pt>
                <c:pt idx="6">
                  <c:v>0.47139999999999999</c:v>
                </c:pt>
                <c:pt idx="7">
                  <c:v>0.489012</c:v>
                </c:pt>
                <c:pt idx="8">
                  <c:v>0.50339699999999998</c:v>
                </c:pt>
                <c:pt idx="9">
                  <c:v>0.515598</c:v>
                </c:pt>
                <c:pt idx="10">
                  <c:v>0.52630399999999999</c:v>
                </c:pt>
                <c:pt idx="11">
                  <c:v>0.53598199999999996</c:v>
                </c:pt>
                <c:pt idx="12">
                  <c:v>0.54496</c:v>
                </c:pt>
                <c:pt idx="13">
                  <c:v>0.55347000000000002</c:v>
                </c:pt>
                <c:pt idx="14">
                  <c:v>0.56168300000000004</c:v>
                </c:pt>
                <c:pt idx="15">
                  <c:v>0.56972299999999998</c:v>
                </c:pt>
                <c:pt idx="16">
                  <c:v>0.57768299999999995</c:v>
                </c:pt>
                <c:pt idx="17">
                  <c:v>0.58563600000000005</c:v>
                </c:pt>
                <c:pt idx="18">
                  <c:v>0.59363500000000002</c:v>
                </c:pt>
                <c:pt idx="19">
                  <c:v>0.60172199999999998</c:v>
                </c:pt>
                <c:pt idx="20">
                  <c:v>0.60992900000000005</c:v>
                </c:pt>
                <c:pt idx="21">
                  <c:v>0.61828499999999997</c:v>
                </c:pt>
                <c:pt idx="22">
                  <c:v>0.62680899999999995</c:v>
                </c:pt>
                <c:pt idx="23">
                  <c:v>0.635517</c:v>
                </c:pt>
                <c:pt idx="24">
                  <c:v>0.644424</c:v>
                </c:pt>
                <c:pt idx="25">
                  <c:v>0.65354199999999996</c:v>
                </c:pt>
                <c:pt idx="26">
                  <c:v>0.66288100000000005</c:v>
                </c:pt>
                <c:pt idx="27">
                  <c:v>0.67245100000000002</c:v>
                </c:pt>
                <c:pt idx="28">
                  <c:v>0.68225899999999995</c:v>
                </c:pt>
                <c:pt idx="29">
                  <c:v>0.69231500000000001</c:v>
                </c:pt>
                <c:pt idx="30">
                  <c:v>0.702627</c:v>
                </c:pt>
                <c:pt idx="31">
                  <c:v>0.71320300000000003</c:v>
                </c:pt>
                <c:pt idx="32">
                  <c:v>0.72405299999999995</c:v>
                </c:pt>
                <c:pt idx="33">
                  <c:v>0.73518899999999998</c:v>
                </c:pt>
                <c:pt idx="34">
                  <c:v>0.74662099999999998</c:v>
                </c:pt>
                <c:pt idx="35">
                  <c:v>0.75836499999999996</c:v>
                </c:pt>
                <c:pt idx="36">
                  <c:v>0.77043700000000004</c:v>
                </c:pt>
                <c:pt idx="37">
                  <c:v>0.782856</c:v>
                </c:pt>
                <c:pt idx="38">
                  <c:v>0.79564599999999996</c:v>
                </c:pt>
                <c:pt idx="39">
                  <c:v>0.808836</c:v>
                </c:pt>
                <c:pt idx="40">
                  <c:v>0.82245999999999997</c:v>
                </c:pt>
                <c:pt idx="41">
                  <c:v>0.83655999999999997</c:v>
                </c:pt>
                <c:pt idx="42">
                  <c:v>0.85118899999999997</c:v>
                </c:pt>
                <c:pt idx="43">
                  <c:v>0.86641100000000004</c:v>
                </c:pt>
                <c:pt idx="44">
                  <c:v>0.88230699999999995</c:v>
                </c:pt>
                <c:pt idx="45">
                  <c:v>0.89897800000000005</c:v>
                </c:pt>
                <c:pt idx="46">
                  <c:v>0.91655200000000003</c:v>
                </c:pt>
                <c:pt idx="47">
                  <c:v>0.93519399999999997</c:v>
                </c:pt>
                <c:pt idx="48">
                  <c:v>0.95511599999999997</c:v>
                </c:pt>
                <c:pt idx="49">
                  <c:v>0.97659499999999999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B5-47FA-9185-B910731AB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709119"/>
        <c:axId val="582710079"/>
      </c:scatterChart>
      <c:valAx>
        <c:axId val="582709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Liquid phase/(Mole fraction ethanol)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710079"/>
        <c:crosses val="autoZero"/>
        <c:crossBetween val="midCat"/>
        <c:majorUnit val="2.0000000000000004E-2"/>
        <c:minorUnit val="1.0000000000000002E-2"/>
      </c:valAx>
      <c:valAx>
        <c:axId val="5827100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Vapour phase/(Mole fraction ethanol)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709119"/>
        <c:crosses val="autoZero"/>
        <c:crossBetween val="midCat"/>
        <c:majorUnit val="2.0000000000000004E-2"/>
        <c:minorUnit val="1.0000000000000002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Vapour-liquid equilibirum data of ethanol-water mixture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UNIFAC_IDEAL!$H$2</c:f>
              <c:strCache>
                <c:ptCount val="1"/>
                <c:pt idx="0">
                  <c:v>UNIFAC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UNIFAC_IDEAL!$J$3:$J$53</c:f>
              <c:numCache>
                <c:formatCode>General</c:formatCode>
                <c:ptCount val="5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UNIFAC_IDEAL!$H$3:$H$53</c:f>
              <c:numCache>
                <c:formatCode>General</c:formatCode>
                <c:ptCount val="51"/>
                <c:pt idx="0">
                  <c:v>0</c:v>
                </c:pt>
                <c:pt idx="1">
                  <c:v>0.204509</c:v>
                </c:pt>
                <c:pt idx="2">
                  <c:v>0.31168800000000002</c:v>
                </c:pt>
                <c:pt idx="3">
                  <c:v>0.37620900000000002</c:v>
                </c:pt>
                <c:pt idx="4">
                  <c:v>0.41880299999999998</c:v>
                </c:pt>
                <c:pt idx="5">
                  <c:v>0.44890999999999998</c:v>
                </c:pt>
                <c:pt idx="6">
                  <c:v>0.47139999999999999</c:v>
                </c:pt>
                <c:pt idx="7">
                  <c:v>0.489012</c:v>
                </c:pt>
                <c:pt idx="8">
                  <c:v>0.50339699999999998</c:v>
                </c:pt>
                <c:pt idx="9">
                  <c:v>0.515598</c:v>
                </c:pt>
                <c:pt idx="10">
                  <c:v>0.52630399999999999</c:v>
                </c:pt>
                <c:pt idx="11">
                  <c:v>0.53598199999999996</c:v>
                </c:pt>
                <c:pt idx="12">
                  <c:v>0.54496</c:v>
                </c:pt>
                <c:pt idx="13">
                  <c:v>0.55347000000000002</c:v>
                </c:pt>
                <c:pt idx="14">
                  <c:v>0.56168300000000004</c:v>
                </c:pt>
                <c:pt idx="15">
                  <c:v>0.56972299999999998</c:v>
                </c:pt>
                <c:pt idx="16">
                  <c:v>0.57768299999999995</c:v>
                </c:pt>
                <c:pt idx="17">
                  <c:v>0.58563600000000005</c:v>
                </c:pt>
                <c:pt idx="18">
                  <c:v>0.59363500000000002</c:v>
                </c:pt>
                <c:pt idx="19">
                  <c:v>0.60172199999999998</c:v>
                </c:pt>
                <c:pt idx="20">
                  <c:v>0.60992900000000005</c:v>
                </c:pt>
                <c:pt idx="21">
                  <c:v>0.61828499999999997</c:v>
                </c:pt>
                <c:pt idx="22">
                  <c:v>0.62680899999999995</c:v>
                </c:pt>
                <c:pt idx="23">
                  <c:v>0.635517</c:v>
                </c:pt>
                <c:pt idx="24">
                  <c:v>0.644424</c:v>
                </c:pt>
                <c:pt idx="25">
                  <c:v>0.65354199999999996</c:v>
                </c:pt>
                <c:pt idx="26">
                  <c:v>0.66288100000000005</c:v>
                </c:pt>
                <c:pt idx="27">
                  <c:v>0.67245100000000002</c:v>
                </c:pt>
                <c:pt idx="28">
                  <c:v>0.68225899999999995</c:v>
                </c:pt>
                <c:pt idx="29">
                  <c:v>0.69231500000000001</c:v>
                </c:pt>
                <c:pt idx="30">
                  <c:v>0.702627</c:v>
                </c:pt>
                <c:pt idx="31">
                  <c:v>0.71320300000000003</c:v>
                </c:pt>
                <c:pt idx="32">
                  <c:v>0.72405299999999995</c:v>
                </c:pt>
                <c:pt idx="33">
                  <c:v>0.73518899999999998</c:v>
                </c:pt>
                <c:pt idx="34">
                  <c:v>0.74662099999999998</c:v>
                </c:pt>
                <c:pt idx="35">
                  <c:v>0.75836499999999996</c:v>
                </c:pt>
                <c:pt idx="36">
                  <c:v>0.77043700000000004</c:v>
                </c:pt>
                <c:pt idx="37">
                  <c:v>0.782856</c:v>
                </c:pt>
                <c:pt idx="38">
                  <c:v>0.79564599999999996</c:v>
                </c:pt>
                <c:pt idx="39">
                  <c:v>0.808836</c:v>
                </c:pt>
                <c:pt idx="40">
                  <c:v>0.82245999999999997</c:v>
                </c:pt>
                <c:pt idx="41">
                  <c:v>0.83655999999999997</c:v>
                </c:pt>
                <c:pt idx="42">
                  <c:v>0.85118899999999997</c:v>
                </c:pt>
                <c:pt idx="43">
                  <c:v>0.86641100000000004</c:v>
                </c:pt>
                <c:pt idx="44">
                  <c:v>0.88230699999999995</c:v>
                </c:pt>
                <c:pt idx="45">
                  <c:v>0.89897800000000005</c:v>
                </c:pt>
                <c:pt idx="46">
                  <c:v>0.91655200000000003</c:v>
                </c:pt>
                <c:pt idx="47">
                  <c:v>0.93519399999999997</c:v>
                </c:pt>
                <c:pt idx="48">
                  <c:v>0.95511599999999997</c:v>
                </c:pt>
                <c:pt idx="49">
                  <c:v>0.97659499999999999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89-476E-90D1-6DEA4C85CE45}"/>
            </c:ext>
          </c:extLst>
        </c:ser>
        <c:ser>
          <c:idx val="1"/>
          <c:order val="1"/>
          <c:tx>
            <c:strRef>
              <c:f>UNIFAC_IDEAL!$H$54</c:f>
              <c:strCache>
                <c:ptCount val="1"/>
                <c:pt idx="0">
                  <c:v>IDEAL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UNIFAC_IDEAL!$J$55:$J$105</c:f>
              <c:numCache>
                <c:formatCode>General</c:formatCode>
                <c:ptCount val="5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UNIFAC_IDEAL!$H$55:$H$105</c:f>
              <c:numCache>
                <c:formatCode>General</c:formatCode>
                <c:ptCount val="51"/>
                <c:pt idx="0">
                  <c:v>0</c:v>
                </c:pt>
                <c:pt idx="1">
                  <c:v>4.33283E-2</c:v>
                </c:pt>
                <c:pt idx="2">
                  <c:v>8.4718299999999996E-2</c:v>
                </c:pt>
                <c:pt idx="3">
                  <c:v>0.12429</c:v>
                </c:pt>
                <c:pt idx="4">
                  <c:v>0.16215399999999999</c:v>
                </c:pt>
                <c:pt idx="5">
                  <c:v>0.19841300000000001</c:v>
                </c:pt>
                <c:pt idx="6">
                  <c:v>0.23316100000000001</c:v>
                </c:pt>
                <c:pt idx="7">
                  <c:v>0.266486</c:v>
                </c:pt>
                <c:pt idx="8">
                  <c:v>0.29846899999999998</c:v>
                </c:pt>
                <c:pt idx="9">
                  <c:v>0.32918599999999998</c:v>
                </c:pt>
                <c:pt idx="10">
                  <c:v>0.358705</c:v>
                </c:pt>
                <c:pt idx="11">
                  <c:v>0.38709300000000002</c:v>
                </c:pt>
                <c:pt idx="12">
                  <c:v>0.41440900000000003</c:v>
                </c:pt>
                <c:pt idx="13">
                  <c:v>0.44071100000000002</c:v>
                </c:pt>
                <c:pt idx="14">
                  <c:v>0.46605200000000002</c:v>
                </c:pt>
                <c:pt idx="15">
                  <c:v>0.490479</c:v>
                </c:pt>
                <c:pt idx="16">
                  <c:v>0.51404000000000005</c:v>
                </c:pt>
                <c:pt idx="17">
                  <c:v>0.53677900000000001</c:v>
                </c:pt>
                <c:pt idx="18">
                  <c:v>0.55873300000000004</c:v>
                </c:pt>
                <c:pt idx="19">
                  <c:v>0.57994199999999996</c:v>
                </c:pt>
                <c:pt idx="20">
                  <c:v>0.60044200000000003</c:v>
                </c:pt>
                <c:pt idx="21">
                  <c:v>0.62026499999999996</c:v>
                </c:pt>
                <c:pt idx="22">
                  <c:v>0.63944299999999998</c:v>
                </c:pt>
                <c:pt idx="23">
                  <c:v>0.65800499999999995</c:v>
                </c:pt>
                <c:pt idx="24">
                  <c:v>0.67598000000000003</c:v>
                </c:pt>
                <c:pt idx="25">
                  <c:v>0.69339300000000004</c:v>
                </c:pt>
                <c:pt idx="26">
                  <c:v>0.71026999999999996</c:v>
                </c:pt>
                <c:pt idx="27">
                  <c:v>0.72663299999999997</c:v>
                </c:pt>
                <c:pt idx="28">
                  <c:v>0.74250400000000005</c:v>
                </c:pt>
                <c:pt idx="29">
                  <c:v>0.75790400000000002</c:v>
                </c:pt>
                <c:pt idx="30">
                  <c:v>0.77285400000000004</c:v>
                </c:pt>
                <c:pt idx="31">
                  <c:v>0.78737199999999996</c:v>
                </c:pt>
                <c:pt idx="32">
                  <c:v>0.80147500000000005</c:v>
                </c:pt>
                <c:pt idx="33">
                  <c:v>0.81518000000000002</c:v>
                </c:pt>
                <c:pt idx="34">
                  <c:v>0.82850299999999999</c:v>
                </c:pt>
                <c:pt idx="35">
                  <c:v>0.84145899999999996</c:v>
                </c:pt>
                <c:pt idx="36">
                  <c:v>0.85406099999999996</c:v>
                </c:pt>
                <c:pt idx="37">
                  <c:v>0.86632500000000001</c:v>
                </c:pt>
                <c:pt idx="38">
                  <c:v>0.87826300000000002</c:v>
                </c:pt>
                <c:pt idx="39">
                  <c:v>0.88988599999999995</c:v>
                </c:pt>
                <c:pt idx="40">
                  <c:v>0.90120699999999998</c:v>
                </c:pt>
                <c:pt idx="41">
                  <c:v>0.91223699999999996</c:v>
                </c:pt>
                <c:pt idx="42">
                  <c:v>0.922987</c:v>
                </c:pt>
                <c:pt idx="43">
                  <c:v>0.93346499999999999</c:v>
                </c:pt>
                <c:pt idx="44">
                  <c:v>0.94368300000000005</c:v>
                </c:pt>
                <c:pt idx="45">
                  <c:v>0.95365</c:v>
                </c:pt>
                <c:pt idx="46">
                  <c:v>0.96337300000000003</c:v>
                </c:pt>
                <c:pt idx="47">
                  <c:v>0.972862</c:v>
                </c:pt>
                <c:pt idx="48">
                  <c:v>0.982124</c:v>
                </c:pt>
                <c:pt idx="49">
                  <c:v>0.99116800000000005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89-476E-90D1-6DEA4C85C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709119"/>
        <c:axId val="582710079"/>
      </c:scatterChart>
      <c:valAx>
        <c:axId val="582709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Liquid phase/(Mole fraction ethanol)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710079"/>
        <c:crosses val="autoZero"/>
        <c:crossBetween val="midCat"/>
        <c:majorUnit val="2.0000000000000004E-2"/>
        <c:minorUnit val="1.0000000000000002E-2"/>
      </c:valAx>
      <c:valAx>
        <c:axId val="5827100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Vapour phase/(Mole fraction ethanol)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709119"/>
        <c:crosses val="autoZero"/>
        <c:crossBetween val="midCat"/>
        <c:majorUnit val="2.0000000000000004E-2"/>
        <c:minorUnit val="1.0000000000000002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Vapour-liquid equilibrium data of methylcyclohexane-toluene mixture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'METHYL-TOLUENE-UNIFAC'!$O$3:$O$53</c:f>
              <c:numCache>
                <c:formatCode>General</c:formatCode>
                <c:ptCount val="5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'METHYL-TOLUENE-UNIFAC'!$M$3:$M$53</c:f>
              <c:numCache>
                <c:formatCode>General</c:formatCode>
                <c:ptCount val="51"/>
                <c:pt idx="0">
                  <c:v>0</c:v>
                </c:pt>
                <c:pt idx="1">
                  <c:v>3.3312399999999999E-2</c:v>
                </c:pt>
                <c:pt idx="2">
                  <c:v>6.5196199999999996E-2</c:v>
                </c:pt>
                <c:pt idx="3">
                  <c:v>9.5754300000000001E-2</c:v>
                </c:pt>
                <c:pt idx="4">
                  <c:v>0.125082</c:v>
                </c:pt>
                <c:pt idx="5">
                  <c:v>0.15326699999999999</c:v>
                </c:pt>
                <c:pt idx="6">
                  <c:v>0.18038999999999999</c:v>
                </c:pt>
                <c:pt idx="7">
                  <c:v>0.20652699999999999</c:v>
                </c:pt>
                <c:pt idx="8">
                  <c:v>0.23174800000000001</c:v>
                </c:pt>
                <c:pt idx="9">
                  <c:v>0.25611800000000001</c:v>
                </c:pt>
                <c:pt idx="10">
                  <c:v>0.279698</c:v>
                </c:pt>
                <c:pt idx="11">
                  <c:v>0.30254399999999998</c:v>
                </c:pt>
                <c:pt idx="12">
                  <c:v>0.32471</c:v>
                </c:pt>
                <c:pt idx="13">
                  <c:v>0.346246</c:v>
                </c:pt>
                <c:pt idx="14">
                  <c:v>0.367197</c:v>
                </c:pt>
                <c:pt idx="15">
                  <c:v>0.38760800000000001</c:v>
                </c:pt>
                <c:pt idx="16">
                  <c:v>0.40751999999999999</c:v>
                </c:pt>
                <c:pt idx="17">
                  <c:v>0.42697299999999999</c:v>
                </c:pt>
                <c:pt idx="18">
                  <c:v>0.44600400000000001</c:v>
                </c:pt>
                <c:pt idx="19">
                  <c:v>0.46464699999999998</c:v>
                </c:pt>
                <c:pt idx="20">
                  <c:v>0.48293700000000001</c:v>
                </c:pt>
                <c:pt idx="21">
                  <c:v>0.50090400000000002</c:v>
                </c:pt>
                <c:pt idx="22">
                  <c:v>0.51858099999999996</c:v>
                </c:pt>
                <c:pt idx="23">
                  <c:v>0.535995</c:v>
                </c:pt>
                <c:pt idx="24">
                  <c:v>0.55317499999999997</c:v>
                </c:pt>
                <c:pt idx="25">
                  <c:v>0.57015000000000005</c:v>
                </c:pt>
                <c:pt idx="26">
                  <c:v>0.58694400000000002</c:v>
                </c:pt>
                <c:pt idx="27">
                  <c:v>0.60358400000000001</c:v>
                </c:pt>
                <c:pt idx="28">
                  <c:v>0.62009499999999995</c:v>
                </c:pt>
                <c:pt idx="29">
                  <c:v>0.63650099999999998</c:v>
                </c:pt>
                <c:pt idx="30">
                  <c:v>0.65282700000000005</c:v>
                </c:pt>
                <c:pt idx="31">
                  <c:v>0.66909700000000005</c:v>
                </c:pt>
                <c:pt idx="32">
                  <c:v>0.68533299999999997</c:v>
                </c:pt>
                <c:pt idx="33">
                  <c:v>0.70155900000000004</c:v>
                </c:pt>
                <c:pt idx="34">
                  <c:v>0.71779999999999999</c:v>
                </c:pt>
                <c:pt idx="35">
                  <c:v>0.73407699999999998</c:v>
                </c:pt>
                <c:pt idx="36">
                  <c:v>0.75041500000000005</c:v>
                </c:pt>
                <c:pt idx="37">
                  <c:v>0.76683800000000002</c:v>
                </c:pt>
                <c:pt idx="38">
                  <c:v>0.78337000000000001</c:v>
                </c:pt>
                <c:pt idx="39">
                  <c:v>0.80003400000000002</c:v>
                </c:pt>
                <c:pt idx="40">
                  <c:v>0.81685799999999997</c:v>
                </c:pt>
                <c:pt idx="41">
                  <c:v>0.833866</c:v>
                </c:pt>
                <c:pt idx="42">
                  <c:v>0.85108399999999995</c:v>
                </c:pt>
                <c:pt idx="43">
                  <c:v>0.86854200000000004</c:v>
                </c:pt>
                <c:pt idx="44">
                  <c:v>0.88626700000000003</c:v>
                </c:pt>
                <c:pt idx="45">
                  <c:v>0.90428799999999998</c:v>
                </c:pt>
                <c:pt idx="46">
                  <c:v>0.92263799999999996</c:v>
                </c:pt>
                <c:pt idx="47">
                  <c:v>0.94134899999999999</c:v>
                </c:pt>
                <c:pt idx="48">
                  <c:v>0.96045499999999995</c:v>
                </c:pt>
                <c:pt idx="49">
                  <c:v>0.979993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98-487D-ABB7-0077E4CD1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006496"/>
        <c:axId val="562004096"/>
      </c:scatterChart>
      <c:valAx>
        <c:axId val="5620064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Liquid phase/(Mole fraction methylcyclohexane)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004096"/>
        <c:crosses val="autoZero"/>
        <c:crossBetween val="midCat"/>
        <c:majorUnit val="2.0000000000000004E-2"/>
        <c:minorUnit val="1.0000000000000002E-2"/>
      </c:valAx>
      <c:valAx>
        <c:axId val="5620040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Vapour phase/(Mole fraction methylcyclohexane)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006496"/>
        <c:crosses val="autoZero"/>
        <c:crossBetween val="midCat"/>
        <c:majorUnit val="2.0000000000000004E-2"/>
        <c:minorUnit val="1.0000000000000002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(Titration080623!$H$6,Titration080623!$H$14,Titration080623!$H$23)</c:f>
              <c:numCache>
                <c:formatCode>General</c:formatCode>
                <c:ptCount val="3"/>
                <c:pt idx="0">
                  <c:v>384.77517798805292</c:v>
                </c:pt>
                <c:pt idx="1">
                  <c:v>858.55740085389732</c:v>
                </c:pt>
                <c:pt idx="2">
                  <c:v>2484.7541933064654</c:v>
                </c:pt>
              </c:numCache>
            </c:numRef>
          </c:cat>
          <c:val>
            <c:numRef>
              <c:f>(Titration080623!$I$4,Titration080623!$I$12,Titration080623!$I$21)</c:f>
              <c:numCache>
                <c:formatCode>General</c:formatCode>
                <c:ptCount val="3"/>
                <c:pt idx="0">
                  <c:v>0.20242007062867073</c:v>
                </c:pt>
                <c:pt idx="1">
                  <c:v>0.28139747755612937</c:v>
                </c:pt>
                <c:pt idx="2">
                  <c:v>0.24404646990017811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2-4D61-B9E8-D794DBEE0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5557840"/>
        <c:axId val="1713565264"/>
      </c:barChart>
      <c:barChart>
        <c:barDir val="col"/>
        <c:grouping val="clustered"/>
        <c:varyColors val="0"/>
        <c:ser>
          <c:idx val="0"/>
          <c:order val="0"/>
          <c:tx>
            <c:strRef>
              <c:f>Titration080623!$G$2</c:f>
              <c:strCache>
                <c:ptCount val="1"/>
                <c:pt idx="0">
                  <c:v>FILTER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(Titration080623!$H$6,Titration080623!$H$14,Titration080623!$H$23)</c:f>
              <c:numCache>
                <c:formatCode>General</c:formatCode>
                <c:ptCount val="3"/>
                <c:pt idx="0">
                  <c:v>384.77517798805292</c:v>
                </c:pt>
                <c:pt idx="1">
                  <c:v>858.55740085389732</c:v>
                </c:pt>
                <c:pt idx="2">
                  <c:v>2484.7541933064654</c:v>
                </c:pt>
              </c:numCache>
            </c:numRef>
          </c:cat>
          <c:val>
            <c:numRef>
              <c:f>(Titration080623!$H$4,Titration080623!$H$12,Titration080623!$H$21)</c:f>
              <c:numCache>
                <c:formatCode>General</c:formatCode>
                <c:ptCount val="3"/>
                <c:pt idx="0">
                  <c:v>0.17149999999999999</c:v>
                </c:pt>
                <c:pt idx="1">
                  <c:v>0.25270000000000015</c:v>
                </c:pt>
                <c:pt idx="2">
                  <c:v>0.21489999999999987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C2-4D61-B9E8-D794DBEE0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346608"/>
        <c:axId val="710367280"/>
      </c:barChart>
      <c:catAx>
        <c:axId val="167555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Dose of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antifoam </a:t>
                </a:r>
                <a:r>
                  <a:rPr lang="en-US" sz="1000" b="0" i="0" u="none" strike="noStrike" baseline="0">
                    <a:solidFill>
                      <a:sysClr val="windowText" lastClr="000000"/>
                    </a:solidFill>
                    <a:effectLst/>
                  </a:rPr>
                  <a:t>Dispelair</a:t>
                </a:r>
                <a:r>
                  <a:rPr lang="en-US" sz="1000" b="0" i="0" u="none" strike="noStrike" baseline="0">
                    <a:solidFill>
                      <a:sysClr val="windowText" lastClr="000000"/>
                    </a:solidFill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®</a:t>
                </a:r>
                <a:r>
                  <a:rPr lang="en-US" sz="1000" b="0" i="0" u="none" strike="noStrike" baseline="0">
                    <a:solidFill>
                      <a:sysClr val="windowText" lastClr="000000"/>
                    </a:solidFill>
                    <a:effectLst/>
                  </a:rPr>
                  <a:t> 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DP 681</a:t>
                </a:r>
                <a:r>
                  <a:rPr lang="en-US">
                    <a:solidFill>
                      <a:sysClr val="windowText" lastClr="000000"/>
                    </a:solidFill>
                  </a:rPr>
                  <a:t>/(ppm)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65264"/>
        <c:crosses val="autoZero"/>
        <c:auto val="1"/>
        <c:lblAlgn val="ctr"/>
        <c:lblOffset val="100"/>
        <c:noMultiLvlLbl val="0"/>
      </c:catAx>
      <c:valAx>
        <c:axId val="1713565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NH</a:t>
                </a:r>
                <a:r>
                  <a:rPr lang="en-US" baseline="-25000">
                    <a:solidFill>
                      <a:sysClr val="windowText" lastClr="000000"/>
                    </a:solidFill>
                  </a:rPr>
                  <a:t>4</a:t>
                </a:r>
                <a:r>
                  <a:rPr lang="en-US">
                    <a:solidFill>
                      <a:sysClr val="windowText" lastClr="000000"/>
                    </a:solidFill>
                  </a:rPr>
                  <a:t>HCO</a:t>
                </a:r>
                <a:r>
                  <a:rPr lang="en-US" baseline="-25000">
                    <a:solidFill>
                      <a:sysClr val="windowText" lastClr="000000"/>
                    </a:solidFill>
                  </a:rPr>
                  <a:t>3</a:t>
                </a:r>
                <a:r>
                  <a:rPr lang="en-US">
                    <a:solidFill>
                      <a:sysClr val="windowText" lastClr="000000"/>
                    </a:solidFill>
                  </a:rPr>
                  <a:t> isolated/(g)</a:t>
                </a:r>
              </a:p>
            </c:rich>
          </c:tx>
          <c:overlay val="0"/>
          <c:spPr>
            <a:solidFill>
              <a:schemeClr val="accent5">
                <a:lumMod val="20000"/>
                <a:lumOff val="80000"/>
              </a:schemeClr>
            </a:solidFill>
            <a:ln>
              <a:solidFill>
                <a:schemeClr val="accent1"/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5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557840"/>
        <c:crosses val="autoZero"/>
        <c:crossBetween val="between"/>
      </c:valAx>
      <c:valAx>
        <c:axId val="7103672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NH</a:t>
                </a:r>
                <a:r>
                  <a:rPr lang="en-US" baseline="-25000">
                    <a:solidFill>
                      <a:sysClr val="windowText" lastClr="000000"/>
                    </a:solidFill>
                  </a:rPr>
                  <a:t>4</a:t>
                </a:r>
                <a:r>
                  <a:rPr lang="en-US">
                    <a:solidFill>
                      <a:sysClr val="windowText" lastClr="000000"/>
                    </a:solidFill>
                  </a:rPr>
                  <a:t>HCO</a:t>
                </a:r>
                <a:r>
                  <a:rPr lang="en-US" baseline="-25000">
                    <a:solidFill>
                      <a:sysClr val="windowText" lastClr="000000"/>
                    </a:solidFill>
                  </a:rPr>
                  <a:t>3</a:t>
                </a:r>
                <a:r>
                  <a:rPr lang="en-US">
                    <a:solidFill>
                      <a:sysClr val="windowText" lastClr="000000"/>
                    </a:solidFill>
                  </a:rPr>
                  <a:t> isolated/AWD feed/(%)</a:t>
                </a:r>
              </a:p>
            </c:rich>
          </c:tx>
          <c:overlay val="0"/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rgbClr val="FF0000"/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FF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346608"/>
        <c:crosses val="max"/>
        <c:crossBetween val="between"/>
      </c:valAx>
      <c:catAx>
        <c:axId val="710346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10367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(Titration080623!$H$6,Titration080623!$H$14,Titration080623!$H$23)</c:f>
              <c:numCache>
                <c:formatCode>General</c:formatCode>
                <c:ptCount val="3"/>
                <c:pt idx="0">
                  <c:v>384.77517798805292</c:v>
                </c:pt>
                <c:pt idx="1">
                  <c:v>858.55740085389732</c:v>
                </c:pt>
                <c:pt idx="2">
                  <c:v>2484.7541933064654</c:v>
                </c:pt>
              </c:numCache>
            </c:numRef>
          </c:cat>
          <c:val>
            <c:numRef>
              <c:f>(Titration080623!$I$4,Titration080623!$I$12,Titration080623!$I$21)</c:f>
              <c:numCache>
                <c:formatCode>General</c:formatCode>
                <c:ptCount val="3"/>
                <c:pt idx="0">
                  <c:v>0.20242007062867073</c:v>
                </c:pt>
                <c:pt idx="1">
                  <c:v>0.28139747755612937</c:v>
                </c:pt>
                <c:pt idx="2">
                  <c:v>0.24404646990017811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4-48D5-8752-ABA552808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5557840"/>
        <c:axId val="1713565264"/>
      </c:barChart>
      <c:barChart>
        <c:barDir val="col"/>
        <c:grouping val="clustered"/>
        <c:varyColors val="0"/>
        <c:ser>
          <c:idx val="0"/>
          <c:order val="0"/>
          <c:tx>
            <c:strRef>
              <c:f>Titration080623!$G$2</c:f>
              <c:strCache>
                <c:ptCount val="1"/>
                <c:pt idx="0">
                  <c:v>FILTER</c:v>
                </c:pt>
              </c:strCache>
            </c:strRef>
          </c:tx>
          <c:spPr>
            <a:pattFill prst="ltVert">
              <a:fgClr>
                <a:srgbClr val="FF0000"/>
              </a:fgClr>
              <a:bgClr>
                <a:srgbClr val="0070C0"/>
              </a:bgClr>
            </a:pattFill>
            <a:ln>
              <a:noFill/>
            </a:ln>
            <a:effectLst/>
          </c:spPr>
          <c:invertIfNegative val="0"/>
          <c:cat>
            <c:numRef>
              <c:f>(Titration080623!$H$6,Titration080623!$H$14,Titration080623!$H$23)</c:f>
              <c:numCache>
                <c:formatCode>General</c:formatCode>
                <c:ptCount val="3"/>
                <c:pt idx="0">
                  <c:v>384.77517798805292</c:v>
                </c:pt>
                <c:pt idx="1">
                  <c:v>858.55740085389732</c:v>
                </c:pt>
                <c:pt idx="2">
                  <c:v>2484.7541933064654</c:v>
                </c:pt>
              </c:numCache>
            </c:numRef>
          </c:cat>
          <c:val>
            <c:numRef>
              <c:f>(Titration080623!$H$4,Titration080623!$H$12,Titration080623!$H$21)</c:f>
              <c:numCache>
                <c:formatCode>General</c:formatCode>
                <c:ptCount val="3"/>
                <c:pt idx="0">
                  <c:v>0.17149999999999999</c:v>
                </c:pt>
                <c:pt idx="1">
                  <c:v>0.25270000000000015</c:v>
                </c:pt>
                <c:pt idx="2">
                  <c:v>0.21489999999999987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64-48D5-8752-ABA552808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346608"/>
        <c:axId val="710367280"/>
      </c:barChart>
      <c:catAx>
        <c:axId val="167555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Dose of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antifoam </a:t>
                </a:r>
                <a:r>
                  <a:rPr lang="en-US" sz="1000" b="0" i="0" u="none" strike="noStrike" baseline="0">
                    <a:solidFill>
                      <a:sysClr val="windowText" lastClr="000000"/>
                    </a:solidFill>
                    <a:effectLst/>
                  </a:rPr>
                  <a:t>Dispelair</a:t>
                </a:r>
                <a:r>
                  <a:rPr lang="en-US" sz="1000" b="0" i="0" u="none" strike="noStrike" baseline="0">
                    <a:solidFill>
                      <a:sysClr val="windowText" lastClr="000000"/>
                    </a:solidFill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®</a:t>
                </a:r>
                <a:r>
                  <a:rPr lang="en-US" sz="1000" b="0" i="0" u="none" strike="noStrike" baseline="0">
                    <a:solidFill>
                      <a:sysClr val="windowText" lastClr="000000"/>
                    </a:solidFill>
                    <a:effectLst/>
                  </a:rPr>
                  <a:t> 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DP 681</a:t>
                </a:r>
                <a:r>
                  <a:rPr lang="en-US">
                    <a:solidFill>
                      <a:sysClr val="windowText" lastClr="000000"/>
                    </a:solidFill>
                  </a:rPr>
                  <a:t>/(ppm)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65264"/>
        <c:crosses val="autoZero"/>
        <c:auto val="1"/>
        <c:lblAlgn val="ctr"/>
        <c:lblOffset val="100"/>
        <c:noMultiLvlLbl val="0"/>
      </c:catAx>
      <c:valAx>
        <c:axId val="1713565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0070C0"/>
                    </a:solidFill>
                  </a:rPr>
                  <a:t>NH</a:t>
                </a:r>
                <a:r>
                  <a:rPr lang="en-US" baseline="-25000">
                    <a:solidFill>
                      <a:srgbClr val="0070C0"/>
                    </a:solidFill>
                  </a:rPr>
                  <a:t>4</a:t>
                </a:r>
                <a:r>
                  <a:rPr lang="en-US">
                    <a:solidFill>
                      <a:srgbClr val="0070C0"/>
                    </a:solidFill>
                  </a:rPr>
                  <a:t>HCO</a:t>
                </a:r>
                <a:r>
                  <a:rPr lang="en-US" baseline="-25000">
                    <a:solidFill>
                      <a:srgbClr val="0070C0"/>
                    </a:solidFill>
                  </a:rPr>
                  <a:t>3</a:t>
                </a:r>
                <a:r>
                  <a:rPr lang="en-US">
                    <a:solidFill>
                      <a:srgbClr val="0070C0"/>
                    </a:solidFill>
                  </a:rPr>
                  <a:t> isolated/(g)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solidFill>
              <a:schemeClr val="accent5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557840"/>
        <c:crosses val="autoZero"/>
        <c:crossBetween val="between"/>
      </c:valAx>
      <c:valAx>
        <c:axId val="7103672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NH</a:t>
                </a:r>
                <a:r>
                  <a:rPr lang="en-US" baseline="-25000">
                    <a:solidFill>
                      <a:srgbClr val="FF0000"/>
                    </a:solidFill>
                  </a:rPr>
                  <a:t>4</a:t>
                </a:r>
                <a:r>
                  <a:rPr lang="en-US">
                    <a:solidFill>
                      <a:srgbClr val="FF0000"/>
                    </a:solidFill>
                  </a:rPr>
                  <a:t>HCO</a:t>
                </a:r>
                <a:r>
                  <a:rPr lang="en-US" baseline="-25000">
                    <a:solidFill>
                      <a:srgbClr val="FF0000"/>
                    </a:solidFill>
                  </a:rPr>
                  <a:t>3</a:t>
                </a:r>
                <a:r>
                  <a:rPr lang="en-US">
                    <a:solidFill>
                      <a:srgbClr val="FF0000"/>
                    </a:solidFill>
                  </a:rPr>
                  <a:t> isolated/AWD feed/(%)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solidFill>
              <a:srgbClr val="FF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346608"/>
        <c:crosses val="max"/>
        <c:crossBetween val="between"/>
      </c:valAx>
      <c:catAx>
        <c:axId val="710346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10367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.xml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image" Target="../media/image3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401731</xdr:colOff>
      <xdr:row>39</xdr:row>
      <xdr:rowOff>4484</xdr:rowOff>
    </xdr:from>
    <xdr:to>
      <xdr:col>20</xdr:col>
      <xdr:colOff>112618</xdr:colOff>
      <xdr:row>51</xdr:row>
      <xdr:rowOff>58272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448235</xdr:colOff>
      <xdr:row>51</xdr:row>
      <xdr:rowOff>123825</xdr:rowOff>
    </xdr:from>
    <xdr:to>
      <xdr:col>20</xdr:col>
      <xdr:colOff>143437</xdr:colOff>
      <xdr:row>63</xdr:row>
      <xdr:rowOff>188820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229161</xdr:colOff>
      <xdr:row>39</xdr:row>
      <xdr:rowOff>13447</xdr:rowOff>
    </xdr:from>
    <xdr:to>
      <xdr:col>27</xdr:col>
      <xdr:colOff>533960</xdr:colOff>
      <xdr:row>51</xdr:row>
      <xdr:rowOff>78441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45FD9C-0520-45CD-B9BB-B99559096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3923</xdr:colOff>
      <xdr:row>8</xdr:row>
      <xdr:rowOff>94129</xdr:rowOff>
    </xdr:from>
    <xdr:to>
      <xdr:col>16</xdr:col>
      <xdr:colOff>302560</xdr:colOff>
      <xdr:row>22</xdr:row>
      <xdr:rowOff>170329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1C747E-E4DE-4502-89CE-C5FE69408B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409575</xdr:colOff>
      <xdr:row>23</xdr:row>
      <xdr:rowOff>57150</xdr:rowOff>
    </xdr:from>
    <xdr:to>
      <xdr:col>16</xdr:col>
      <xdr:colOff>120463</xdr:colOff>
      <xdr:row>37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425FB7-BC37-41EE-B4FE-F034A5A96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533961</xdr:colOff>
      <xdr:row>22</xdr:row>
      <xdr:rowOff>54067</xdr:rowOff>
    </xdr:from>
    <xdr:to>
      <xdr:col>21</xdr:col>
      <xdr:colOff>481573</xdr:colOff>
      <xdr:row>33</xdr:row>
      <xdr:rowOff>49305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FDFD81-B592-A572-C06F-E63A00350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292474</xdr:colOff>
      <xdr:row>22</xdr:row>
      <xdr:rowOff>163046</xdr:rowOff>
    </xdr:from>
    <xdr:to>
      <xdr:col>32</xdr:col>
      <xdr:colOff>240087</xdr:colOff>
      <xdr:row>33</xdr:row>
      <xdr:rowOff>158284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4628EA-B02A-4014-8D29-317572EAA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134469</xdr:colOff>
      <xdr:row>22</xdr:row>
      <xdr:rowOff>145675</xdr:rowOff>
    </xdr:from>
    <xdr:to>
      <xdr:col>27</xdr:col>
      <xdr:colOff>55187</xdr:colOff>
      <xdr:row>33</xdr:row>
      <xdr:rowOff>22411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767EDFE-758E-47CF-A0BE-B8B68B7E1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514352</xdr:colOff>
      <xdr:row>8</xdr:row>
      <xdr:rowOff>81805</xdr:rowOff>
    </xdr:from>
    <xdr:to>
      <xdr:col>21</xdr:col>
      <xdr:colOff>461964</xdr:colOff>
      <xdr:row>19</xdr:row>
      <xdr:rowOff>77043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DD2BD09-BBD4-4DBA-A924-3A62EA6A2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366712</xdr:colOff>
      <xdr:row>41</xdr:row>
      <xdr:rowOff>52387</xdr:rowOff>
    </xdr:from>
    <xdr:to>
      <xdr:col>12</xdr:col>
      <xdr:colOff>214312</xdr:colOff>
      <xdr:row>53</xdr:row>
      <xdr:rowOff>166687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9A7FCB4-C71C-BDB5-8AD3-FEA919F2D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385762</xdr:colOff>
      <xdr:row>54</xdr:row>
      <xdr:rowOff>119062</xdr:rowOff>
    </xdr:from>
    <xdr:to>
      <xdr:col>12</xdr:col>
      <xdr:colOff>233362</xdr:colOff>
      <xdr:row>67</xdr:row>
      <xdr:rowOff>14287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5D23ADC-022A-8FD4-4FB3-78C5E7444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33617</xdr:colOff>
      <xdr:row>23</xdr:row>
      <xdr:rowOff>33617</xdr:rowOff>
    </xdr:from>
    <xdr:to>
      <xdr:col>8</xdr:col>
      <xdr:colOff>338417</xdr:colOff>
      <xdr:row>37</xdr:row>
      <xdr:rowOff>109817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6CDC07E-6EE7-49CD-89DD-EBC202F6D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134470</xdr:colOff>
      <xdr:row>8</xdr:row>
      <xdr:rowOff>112059</xdr:rowOff>
    </xdr:from>
    <xdr:to>
      <xdr:col>8</xdr:col>
      <xdr:colOff>433107</xdr:colOff>
      <xdr:row>22</xdr:row>
      <xdr:rowOff>188259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4BCA871-F326-44BD-B9EF-34F72ADC66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22</xdr:col>
      <xdr:colOff>1</xdr:colOff>
      <xdr:row>8</xdr:row>
      <xdr:rowOff>112059</xdr:rowOff>
    </xdr:from>
    <xdr:to>
      <xdr:col>26</xdr:col>
      <xdr:colOff>514631</xdr:colOff>
      <xdr:row>19</xdr:row>
      <xdr:rowOff>134471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7F70768-E2C2-4FB6-99D6-96542B4A8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27</xdr:col>
      <xdr:colOff>22412</xdr:colOff>
      <xdr:row>8</xdr:row>
      <xdr:rowOff>112059</xdr:rowOff>
    </xdr:from>
    <xdr:to>
      <xdr:col>31</xdr:col>
      <xdr:colOff>563936</xdr:colOff>
      <xdr:row>19</xdr:row>
      <xdr:rowOff>107297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AF5075D-D7B2-4240-9724-37AB1262B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32</xdr:col>
      <xdr:colOff>77561</xdr:colOff>
      <xdr:row>0</xdr:row>
      <xdr:rowOff>88446</xdr:rowOff>
    </xdr:from>
    <xdr:to>
      <xdr:col>39</xdr:col>
      <xdr:colOff>376198</xdr:colOff>
      <xdr:row>14</xdr:row>
      <xdr:rowOff>148318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95FD69C-5768-4532-82A3-4EF99663E0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33</xdr:col>
      <xdr:colOff>0</xdr:colOff>
      <xdr:row>15</xdr:row>
      <xdr:rowOff>76200</xdr:rowOff>
    </xdr:from>
    <xdr:to>
      <xdr:col>37</xdr:col>
      <xdr:colOff>538162</xdr:colOff>
      <xdr:row>26</xdr:row>
      <xdr:rowOff>185738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4CC944D-E22F-44F7-BA67-33913A690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38</xdr:col>
      <xdr:colOff>9525</xdr:colOff>
      <xdr:row>15</xdr:row>
      <xdr:rowOff>66675</xdr:rowOff>
    </xdr:from>
    <xdr:to>
      <xdr:col>42</xdr:col>
      <xdr:colOff>520793</xdr:colOff>
      <xdr:row>26</xdr:row>
      <xdr:rowOff>180974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D8BE7C3-2155-444C-9D7D-730CBD05C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43</xdr:col>
      <xdr:colOff>0</xdr:colOff>
      <xdr:row>15</xdr:row>
      <xdr:rowOff>76200</xdr:rowOff>
    </xdr:from>
    <xdr:to>
      <xdr:col>47</xdr:col>
      <xdr:colOff>504825</xdr:colOff>
      <xdr:row>26</xdr:row>
      <xdr:rowOff>180976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8551B78-F619-48C7-ABB0-997B6B82E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400049</xdr:colOff>
      <xdr:row>0</xdr:row>
      <xdr:rowOff>0</xdr:rowOff>
    </xdr:from>
    <xdr:to>
      <xdr:col>15</xdr:col>
      <xdr:colOff>581025</xdr:colOff>
      <xdr:row>14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A9DE96-8C84-D6E9-EB75-568AE6B55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385762</xdr:colOff>
      <xdr:row>14</xdr:row>
      <xdr:rowOff>100012</xdr:rowOff>
    </xdr:from>
    <xdr:to>
      <xdr:col>16</xdr:col>
      <xdr:colOff>80962</xdr:colOff>
      <xdr:row>28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915385-C352-EB75-FF16-48DE49EC9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571500</xdr:colOff>
      <xdr:row>0</xdr:row>
      <xdr:rowOff>19050</xdr:rowOff>
    </xdr:from>
    <xdr:to>
      <xdr:col>24</xdr:col>
      <xdr:colOff>142876</xdr:colOff>
      <xdr:row>14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A1E403-9249-4A87-A424-55D7650F4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552450</xdr:colOff>
      <xdr:row>14</xdr:row>
      <xdr:rowOff>123825</xdr:rowOff>
    </xdr:from>
    <xdr:to>
      <xdr:col>24</xdr:col>
      <xdr:colOff>123826</xdr:colOff>
      <xdr:row>28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9D600F-43A6-48B8-89E5-5D7F9D7217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504825</xdr:colOff>
      <xdr:row>29</xdr:row>
      <xdr:rowOff>161925</xdr:rowOff>
    </xdr:from>
    <xdr:to>
      <xdr:col>24</xdr:col>
      <xdr:colOff>76201</xdr:colOff>
      <xdr:row>44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3BC667-0087-458E-B06B-E8C43006F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16</xdr:col>
      <xdr:colOff>173131</xdr:colOff>
      <xdr:row>44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1B93D58-7F00-4407-B8C2-D8F0F22DD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0</xdr:row>
      <xdr:rowOff>180975</xdr:rowOff>
    </xdr:from>
    <xdr:to>
      <xdr:col>15</xdr:col>
      <xdr:colOff>0</xdr:colOff>
      <xdr:row>14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C3BF4E-622D-4134-84C3-7C7B080B9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14287</xdr:colOff>
      <xdr:row>46</xdr:row>
      <xdr:rowOff>9525</xdr:rowOff>
    </xdr:from>
    <xdr:to>
      <xdr:col>15</xdr:col>
      <xdr:colOff>9525</xdr:colOff>
      <xdr:row>60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6345D6-651B-481E-B008-E53BDC3D1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15</xdr:col>
      <xdr:colOff>0</xdr:colOff>
      <xdr:row>30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A2C16E-67C8-414D-BF89-715EACB93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600075</xdr:colOff>
      <xdr:row>1</xdr:row>
      <xdr:rowOff>0</xdr:rowOff>
    </xdr:from>
    <xdr:to>
      <xdr:col>23</xdr:col>
      <xdr:colOff>171451</xdr:colOff>
      <xdr:row>15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2FF691-FB72-45A6-B9B8-B2C5BE25FF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9525</xdr:colOff>
      <xdr:row>31</xdr:row>
      <xdr:rowOff>9525</xdr:rowOff>
    </xdr:from>
    <xdr:to>
      <xdr:col>14</xdr:col>
      <xdr:colOff>600075</xdr:colOff>
      <xdr:row>45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A04F9E-E40E-4B2C-BC31-8F2963BDE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571500</xdr:colOff>
      <xdr:row>15</xdr:row>
      <xdr:rowOff>180975</xdr:rowOff>
    </xdr:from>
    <xdr:to>
      <xdr:col>24</xdr:col>
      <xdr:colOff>135031</xdr:colOff>
      <xdr:row>30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C5E257B-24A8-42F9-8C3B-EEEE30E12D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299356</xdr:colOff>
      <xdr:row>17</xdr:row>
      <xdr:rowOff>96782</xdr:rowOff>
    </xdr:from>
    <xdr:to>
      <xdr:col>37</xdr:col>
      <xdr:colOff>451756</xdr:colOff>
      <xdr:row>55</xdr:row>
      <xdr:rowOff>170090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A74A08-CD3B-4A17-97D5-EB0FF22A7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4535" y="3335282"/>
          <a:ext cx="14194971" cy="7312308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136071</xdr:colOff>
      <xdr:row>1</xdr:row>
      <xdr:rowOff>43540</xdr:rowOff>
    </xdr:from>
    <xdr:to>
      <xdr:col>40</xdr:col>
      <xdr:colOff>47623</xdr:colOff>
      <xdr:row>57</xdr:row>
      <xdr:rowOff>108856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E63798-58CF-0D60-957C-23F76352E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5</xdr:row>
      <xdr:rowOff>9525</xdr:rowOff>
    </xdr:from>
    <xdr:to>
      <xdr:col>32</xdr:col>
      <xdr:colOff>180975</xdr:colOff>
      <xdr:row>45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6A4BB4-F475-42FE-8E8D-902A145AF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0" y="962025"/>
          <a:ext cx="15078075" cy="768667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299356</xdr:colOff>
      <xdr:row>17</xdr:row>
      <xdr:rowOff>96782</xdr:rowOff>
    </xdr:from>
    <xdr:to>
      <xdr:col>37</xdr:col>
      <xdr:colOff>451756</xdr:colOff>
      <xdr:row>55</xdr:row>
      <xdr:rowOff>170090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1D88CB-A0CE-47B0-A23B-D20C061A9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77731" y="3335282"/>
          <a:ext cx="14325600" cy="7312308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136071</xdr:colOff>
      <xdr:row>1</xdr:row>
      <xdr:rowOff>43540</xdr:rowOff>
    </xdr:from>
    <xdr:to>
      <xdr:col>40</xdr:col>
      <xdr:colOff>47623</xdr:colOff>
      <xdr:row>57</xdr:row>
      <xdr:rowOff>108856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03ACF1-B880-4C44-BFA2-610CFCA10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52</xdr:row>
      <xdr:rowOff>19050</xdr:rowOff>
    </xdr:from>
    <xdr:to>
      <xdr:col>25</xdr:col>
      <xdr:colOff>314325</xdr:colOff>
      <xdr:row>92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DE5D9-09A4-E8AC-0C47-4E97E7FF4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25050"/>
          <a:ext cx="15554325" cy="768667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152401</xdr:colOff>
      <xdr:row>2</xdr:row>
      <xdr:rowOff>38100</xdr:rowOff>
    </xdr:from>
    <xdr:to>
      <xdr:col>27</xdr:col>
      <xdr:colOff>47625</xdr:colOff>
      <xdr:row>49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61108F-F4A6-0D40-F32C-EC3920411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557212</xdr:colOff>
      <xdr:row>0</xdr:row>
      <xdr:rowOff>128587</xdr:rowOff>
    </xdr:from>
    <xdr:to>
      <xdr:col>17</xdr:col>
      <xdr:colOff>557212</xdr:colOff>
      <xdr:row>15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77C330-4FED-4AF1-BCB2-97DD285CF7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514350</xdr:colOff>
      <xdr:row>17</xdr:row>
      <xdr:rowOff>161925</xdr:rowOff>
    </xdr:from>
    <xdr:to>
      <xdr:col>17</xdr:col>
      <xdr:colOff>514350</xdr:colOff>
      <xdr:row>32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424E1E-D6ED-440C-B95B-E70133476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ubeusc-my.sharepoint.com/personal/alejandro_moure_usc_es/Documents/OneDrive%20-%20Lancaster%20University/EPSRC%20Doctoral%20Prize/LAB/Experimental%20120124.xlsx" TargetMode="External"/><Relationship Id="rId1" Type="http://schemas.openxmlformats.org/officeDocument/2006/relationships/externalLinkPath" Target="/personal/alejandro_moure_usc_es/Documents/OneDrive%20-%20Lancaster%20University/EPSRC%20Doctoral%20Prize/LAB/Experimental%201201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tration230523"/>
      <sheetName val="TITRATION 300523"/>
      <sheetName val="titrations 010623&amp;020623"/>
      <sheetName val="Titration050623"/>
      <sheetName val="Titration060623"/>
      <sheetName val="Titration070623"/>
      <sheetName val="Titration080623"/>
      <sheetName val="30MINUTESAWD"/>
      <sheetName val="20MINUTESAWD"/>
      <sheetName val="10MINUTESAWD"/>
      <sheetName val="30MINUTESFWD"/>
      <sheetName val="CondesateBIOGEN"/>
      <sheetName val="CondensateCOCKERHAM"/>
      <sheetName val="CondensateBARFOOTS"/>
      <sheetName val="Crystalization"/>
      <sheetName val="TitrationsNH4HCO3"/>
      <sheetName val="ASPEN FILE SUPLEMENTARY"/>
      <sheetName val="Titrations 240823"/>
      <sheetName val="Pasteurization"/>
      <sheetName val="Titration distillation FWD"/>
      <sheetName val="FTIR condens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G2" t="str">
            <v>FILTER</v>
          </cell>
        </row>
        <row r="4">
          <cell r="H4">
            <v>0.17149999999999999</v>
          </cell>
          <cell r="I4">
            <v>0.20242007062867073</v>
          </cell>
        </row>
        <row r="6">
          <cell r="H6">
            <v>384.77517798805292</v>
          </cell>
        </row>
        <row r="12">
          <cell r="H12">
            <v>0.25270000000000015</v>
          </cell>
          <cell r="I12">
            <v>0.28139747755612937</v>
          </cell>
        </row>
        <row r="14">
          <cell r="H14">
            <v>858.55740085389732</v>
          </cell>
        </row>
        <row r="21">
          <cell r="H21">
            <v>0.21489999999999987</v>
          </cell>
          <cell r="I21">
            <v>0.24404646990017811</v>
          </cell>
        </row>
        <row r="23">
          <cell r="H23">
            <v>2484.7541933064654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oure Abelenda, Alejandro" id="{31F8E479-7E65-41CB-A1B2-9C0D8EDFEB19}" userId="S::moureabe@lancaster.ac.uk::f470b504-2b23-4aab-bab5-d7a5edcd52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3-07-13T18:21:15.91" personId="{31F8E479-7E65-41CB-A1B2-9C0D8EDFEB19}" id="{588B743E-E2DB-4A37-93DF-948B69C76A0D}">
    <text>The values measure in the ethanol from the bottle: 1.3641-1.3643 However, I consider this other value in order to prevent the calculated concentration to be above the azeotrope level</text>
  </threadedComment>
  <threadedComment ref="E7" dT="2023-07-13T18:25:54.86" personId="{31F8E479-7E65-41CB-A1B2-9C0D8EDFEB19}" id="{4A83B633-6C1D-4A31-AEC8-7D5C8EE71A82}">
    <text>The values measure in the ethanol from the bottle: 1.3329 However, I consider this other value in order to prevent the calculated concentration to be above the azeotrope level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efractometer.pl/refraction-datasheet-ethanol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2"/>
  <sheetViews>
    <sheetView zoomScaleNormal="100" workbookViewId="0">
      <selection activeCell="AQ32" sqref="AQ32"/>
    </sheetView>
  </sheetViews>
  <sheetFormatPr defaultColWidth="8.85546875" defaultRowHeight="15" x14ac:dyDescent="0.25"/>
  <sheetData>
    <row r="1" spans="1:24" x14ac:dyDescent="0.25">
      <c r="A1" t="s">
        <v>0</v>
      </c>
      <c r="B1" t="s">
        <v>73</v>
      </c>
      <c r="C1" t="s">
        <v>2</v>
      </c>
      <c r="D1" t="s">
        <v>32</v>
      </c>
      <c r="E1" t="s">
        <v>1</v>
      </c>
      <c r="G1" t="s">
        <v>85</v>
      </c>
      <c r="H1" t="s">
        <v>25</v>
      </c>
      <c r="I1" t="s">
        <v>26</v>
      </c>
      <c r="J1" t="s">
        <v>28</v>
      </c>
      <c r="K1" t="s">
        <v>27</v>
      </c>
      <c r="L1" t="s">
        <v>84</v>
      </c>
      <c r="M1" t="s">
        <v>30</v>
      </c>
      <c r="N1" t="s">
        <v>31</v>
      </c>
      <c r="O1" t="s">
        <v>74</v>
      </c>
      <c r="P1" t="s">
        <v>75</v>
      </c>
      <c r="Q1" t="s">
        <v>76</v>
      </c>
      <c r="R1" t="s">
        <v>77</v>
      </c>
      <c r="T1" t="s">
        <v>81</v>
      </c>
      <c r="U1" s="14" t="s">
        <v>80</v>
      </c>
      <c r="V1" s="14"/>
      <c r="W1" s="14"/>
      <c r="X1" s="14"/>
    </row>
    <row r="2" spans="1:24" x14ac:dyDescent="0.25">
      <c r="A2">
        <v>100</v>
      </c>
      <c r="B2">
        <f>K7</f>
        <v>96.05662285136502</v>
      </c>
      <c r="C2">
        <f>B2*$C$8/(B2*$C$8+(100-B2))*100</f>
        <v>95</v>
      </c>
      <c r="D2">
        <f>B2*$C$8/46/(B2*$C$8/46+(100-B2)/18)*100</f>
        <v>88.144329896907237</v>
      </c>
      <c r="E2">
        <f>M4</f>
        <v>1.3647</v>
      </c>
      <c r="F2" t="s">
        <v>3</v>
      </c>
      <c r="G2">
        <f>H2*1000</f>
        <v>500</v>
      </c>
      <c r="H2">
        <v>0.5</v>
      </c>
      <c r="I2">
        <v>78.5</v>
      </c>
      <c r="J2">
        <v>82.5</v>
      </c>
      <c r="K2">
        <f>AVERAGE(I2:J2)</f>
        <v>80.5</v>
      </c>
      <c r="L2">
        <f>12.5*60/1000</f>
        <v>0.75</v>
      </c>
      <c r="M2" s="1">
        <v>1.3636999999999999</v>
      </c>
      <c r="N2" s="2">
        <v>1.3363</v>
      </c>
      <c r="O2">
        <f>13508*M2-18346</f>
        <v>74.859599999999773</v>
      </c>
      <c r="P2">
        <f>825.23*N2-1099.7</f>
        <v>3.0548490000001038</v>
      </c>
      <c r="Q2">
        <f>8166.3*M2-11050</f>
        <v>86.383309999999256</v>
      </c>
      <c r="R2">
        <f>1908.1*N2-2542.7</f>
        <v>7.0940300000002026</v>
      </c>
      <c r="T2" s="9" t="s">
        <v>82</v>
      </c>
      <c r="U2">
        <v>95.635000000000005</v>
      </c>
      <c r="V2" t="s">
        <v>64</v>
      </c>
      <c r="W2">
        <f>U2/46/(U2/46+U3/18)*100</f>
        <v>89.554265380653632</v>
      </c>
      <c r="X2" t="s">
        <v>79</v>
      </c>
    </row>
    <row r="3" spans="1:24" x14ac:dyDescent="0.25">
      <c r="A3">
        <v>80</v>
      </c>
      <c r="B3">
        <f>A3*B$2/A$2</f>
        <v>76.845298281092013</v>
      </c>
      <c r="C3">
        <f>B3*$C$8/(B3*$C$8+(100-B3))*100</f>
        <v>72.13433925529327</v>
      </c>
      <c r="D3">
        <f t="shared" ref="D3:D7" si="0">B3*$C$8/46/(B3*$C$8/46+(100-B3)/18)*100</f>
        <v>50.32163135952915</v>
      </c>
      <c r="E3">
        <v>1.3619000000000001</v>
      </c>
      <c r="G3">
        <f t="shared" ref="G3:G4" si="1">H3*1000</f>
        <v>1130</v>
      </c>
      <c r="H3">
        <v>1.1299999999999999</v>
      </c>
      <c r="I3">
        <v>78.5</v>
      </c>
      <c r="J3">
        <v>84.3</v>
      </c>
      <c r="K3">
        <f t="shared" ref="K3:K4" si="2">AVERAGE(I3:J3)</f>
        <v>81.400000000000006</v>
      </c>
      <c r="L3">
        <f>50*60/1000</f>
        <v>3</v>
      </c>
      <c r="M3" s="1">
        <v>1.3646</v>
      </c>
      <c r="N3" s="2">
        <v>1.335</v>
      </c>
      <c r="O3">
        <f t="shared" ref="O3:O4" si="3">13508*M3-18346</f>
        <v>87.01680000000124</v>
      </c>
      <c r="P3">
        <f t="shared" ref="P3:P4" si="4">825.23*N3-1099.7</f>
        <v>1.9820499999998447</v>
      </c>
      <c r="Q3">
        <f t="shared" ref="Q3:Q4" si="5">8166.3*M3-11050</f>
        <v>93.73298000000068</v>
      </c>
      <c r="R3">
        <f t="shared" ref="R3:R4" si="6">1908.1*N3-2542.7</f>
        <v>4.6134999999999309</v>
      </c>
      <c r="T3" t="s">
        <v>83</v>
      </c>
      <c r="U3">
        <f>100-U2</f>
        <v>4.3649999999999949</v>
      </c>
      <c r="V3" t="s">
        <v>64</v>
      </c>
      <c r="W3">
        <f>100-W2</f>
        <v>10.445734619346368</v>
      </c>
      <c r="X3" t="s">
        <v>79</v>
      </c>
    </row>
    <row r="4" spans="1:24" x14ac:dyDescent="0.25">
      <c r="A4">
        <v>60</v>
      </c>
      <c r="B4">
        <f t="shared" ref="B4:B7" si="7">A4*B$2/A$2</f>
        <v>57.633973710819006</v>
      </c>
      <c r="C4">
        <f t="shared" ref="C4:C7" si="8">B4*$C$8/(B4*$C$8+(100-B4))*100</f>
        <v>51.482167670217692</v>
      </c>
      <c r="D4">
        <f t="shared" si="0"/>
        <v>29.339218676677614</v>
      </c>
      <c r="E4">
        <v>1.3566</v>
      </c>
      <c r="G4">
        <f t="shared" si="1"/>
        <v>1640</v>
      </c>
      <c r="H4">
        <v>1.64</v>
      </c>
      <c r="I4">
        <v>80.7</v>
      </c>
      <c r="J4">
        <v>100.8</v>
      </c>
      <c r="K4">
        <f t="shared" si="2"/>
        <v>90.75</v>
      </c>
      <c r="L4">
        <f>74*60/1000</f>
        <v>4.4400000000000004</v>
      </c>
      <c r="M4" s="1">
        <v>1.3647</v>
      </c>
      <c r="N4" s="2">
        <v>1.3327</v>
      </c>
      <c r="O4">
        <f t="shared" si="3"/>
        <v>88.367600000001403</v>
      </c>
      <c r="P4">
        <f t="shared" si="4"/>
        <v>8.402099999989332E-2</v>
      </c>
      <c r="Q4">
        <f t="shared" si="5"/>
        <v>94.54961000000003</v>
      </c>
      <c r="R4">
        <f t="shared" si="6"/>
        <v>0.2248700000000099</v>
      </c>
    </row>
    <row r="5" spans="1:24" x14ac:dyDescent="0.25">
      <c r="A5">
        <v>40</v>
      </c>
      <c r="B5">
        <f t="shared" si="7"/>
        <v>38.422649140546007</v>
      </c>
      <c r="C5">
        <f t="shared" si="8"/>
        <v>32.736911862160376</v>
      </c>
      <c r="D5">
        <f t="shared" si="0"/>
        <v>15.997984959159442</v>
      </c>
      <c r="E5">
        <v>1.3486</v>
      </c>
      <c r="F5" t="s">
        <v>4</v>
      </c>
    </row>
    <row r="6" spans="1:24" x14ac:dyDescent="0.25">
      <c r="A6">
        <v>20</v>
      </c>
      <c r="B6">
        <f t="shared" si="7"/>
        <v>19.211324570273003</v>
      </c>
      <c r="C6">
        <f t="shared" si="8"/>
        <v>15.646114864864868</v>
      </c>
      <c r="D6">
        <f t="shared" si="0"/>
        <v>6.7668486312072567</v>
      </c>
      <c r="E6">
        <v>1.3408</v>
      </c>
      <c r="J6" t="s">
        <v>64</v>
      </c>
      <c r="K6" t="s">
        <v>72</v>
      </c>
    </row>
    <row r="7" spans="1:24" x14ac:dyDescent="0.25">
      <c r="A7">
        <v>0</v>
      </c>
      <c r="B7">
        <f t="shared" si="7"/>
        <v>0</v>
      </c>
      <c r="C7">
        <f t="shared" si="8"/>
        <v>0</v>
      </c>
      <c r="D7">
        <f t="shared" si="0"/>
        <v>0</v>
      </c>
      <c r="E7">
        <v>1.3326</v>
      </c>
      <c r="I7" t="s">
        <v>71</v>
      </c>
      <c r="J7">
        <v>95</v>
      </c>
      <c r="K7">
        <f>J7/C8/(J7/C8+100-J7)*100</f>
        <v>96.05662285136502</v>
      </c>
    </row>
    <row r="8" spans="1:24" x14ac:dyDescent="0.25">
      <c r="B8" t="s">
        <v>65</v>
      </c>
      <c r="C8">
        <v>0.78</v>
      </c>
      <c r="D8" t="s">
        <v>66</v>
      </c>
    </row>
    <row r="38" spans="1:5" ht="15.75" thickBot="1" x14ac:dyDescent="0.3"/>
    <row r="39" spans="1:5" ht="15" customHeight="1" x14ac:dyDescent="0.25">
      <c r="A39" s="12" t="s">
        <v>68</v>
      </c>
      <c r="B39" s="12"/>
      <c r="C39" s="13"/>
      <c r="D39" s="10" t="s">
        <v>67</v>
      </c>
      <c r="E39" s="8" t="s">
        <v>70</v>
      </c>
    </row>
    <row r="40" spans="1:5" ht="17.25" thickBot="1" x14ac:dyDescent="0.3">
      <c r="C40" s="5" t="s">
        <v>69</v>
      </c>
      <c r="D40" s="11"/>
    </row>
    <row r="41" spans="1:5" ht="17.25" thickBot="1" x14ac:dyDescent="0.3">
      <c r="C41" s="6">
        <v>0</v>
      </c>
      <c r="D41" s="7">
        <v>1.333</v>
      </c>
    </row>
    <row r="42" spans="1:5" ht="17.25" thickBot="1" x14ac:dyDescent="0.3">
      <c r="C42" s="6">
        <v>2</v>
      </c>
      <c r="D42" s="7">
        <v>1.3342000000000001</v>
      </c>
    </row>
    <row r="43" spans="1:5" ht="17.25" thickBot="1" x14ac:dyDescent="0.3">
      <c r="C43" s="6">
        <v>4</v>
      </c>
      <c r="D43" s="7">
        <v>1.3353999999999999</v>
      </c>
    </row>
    <row r="44" spans="1:5" ht="17.25" thickBot="1" x14ac:dyDescent="0.3">
      <c r="C44" s="6">
        <v>6</v>
      </c>
      <c r="D44" s="7">
        <v>1.3367</v>
      </c>
    </row>
    <row r="45" spans="1:5" ht="17.25" thickBot="1" x14ac:dyDescent="0.3">
      <c r="C45" s="6">
        <v>8</v>
      </c>
      <c r="D45" s="7">
        <v>1.3381000000000001</v>
      </c>
    </row>
    <row r="46" spans="1:5" ht="17.25" thickBot="1" x14ac:dyDescent="0.3">
      <c r="C46" s="6">
        <v>10</v>
      </c>
      <c r="D46" s="7">
        <v>1.3394999999999999</v>
      </c>
    </row>
    <row r="47" spans="1:5" ht="17.25" thickBot="1" x14ac:dyDescent="0.3">
      <c r="C47" s="6">
        <v>12</v>
      </c>
      <c r="D47" s="7">
        <v>1.341</v>
      </c>
    </row>
    <row r="48" spans="1:5" ht="17.25" thickBot="1" x14ac:dyDescent="0.3">
      <c r="C48" s="6">
        <v>14</v>
      </c>
      <c r="D48" s="7">
        <v>1.3425</v>
      </c>
    </row>
    <row r="49" spans="3:4" ht="17.25" thickBot="1" x14ac:dyDescent="0.3">
      <c r="C49" s="6">
        <v>16</v>
      </c>
      <c r="D49" s="7">
        <v>1.3440000000000001</v>
      </c>
    </row>
    <row r="50" spans="3:4" ht="17.25" thickBot="1" x14ac:dyDescent="0.3">
      <c r="C50" s="6">
        <v>18</v>
      </c>
      <c r="D50" s="7">
        <v>1.3454999999999999</v>
      </c>
    </row>
    <row r="51" spans="3:4" ht="17.25" thickBot="1" x14ac:dyDescent="0.3">
      <c r="C51" s="6">
        <v>20</v>
      </c>
      <c r="D51" s="7">
        <v>1.3469</v>
      </c>
    </row>
    <row r="52" spans="3:4" ht="17.25" thickBot="1" x14ac:dyDescent="0.3">
      <c r="C52" s="6">
        <v>22</v>
      </c>
      <c r="D52" s="7">
        <v>1.3484</v>
      </c>
    </row>
    <row r="53" spans="3:4" ht="17.25" thickBot="1" x14ac:dyDescent="0.3">
      <c r="C53" s="6">
        <v>24</v>
      </c>
      <c r="D53" s="7">
        <v>1.3498000000000001</v>
      </c>
    </row>
    <row r="54" spans="3:4" ht="17.25" thickBot="1" x14ac:dyDescent="0.3">
      <c r="C54" s="6">
        <v>26</v>
      </c>
      <c r="D54" s="7">
        <v>1.3511</v>
      </c>
    </row>
    <row r="55" spans="3:4" ht="17.25" thickBot="1" x14ac:dyDescent="0.3">
      <c r="C55" s="6">
        <v>28</v>
      </c>
      <c r="D55" s="7">
        <v>1.3524</v>
      </c>
    </row>
    <row r="56" spans="3:4" ht="17.25" thickBot="1" x14ac:dyDescent="0.3">
      <c r="C56" s="6">
        <v>30</v>
      </c>
      <c r="D56" s="7">
        <v>1.3534999999999999</v>
      </c>
    </row>
    <row r="57" spans="3:4" ht="17.25" thickBot="1" x14ac:dyDescent="0.3">
      <c r="C57" s="6">
        <v>32</v>
      </c>
      <c r="D57" s="7">
        <v>1.3546</v>
      </c>
    </row>
    <row r="58" spans="3:4" ht="17.25" thickBot="1" x14ac:dyDescent="0.3">
      <c r="C58" s="6">
        <v>34</v>
      </c>
      <c r="D58" s="7">
        <v>1.3556999999999999</v>
      </c>
    </row>
    <row r="59" spans="3:4" ht="17.25" thickBot="1" x14ac:dyDescent="0.3">
      <c r="C59" s="6">
        <v>36</v>
      </c>
      <c r="D59" s="7">
        <v>1.3566</v>
      </c>
    </row>
    <row r="60" spans="3:4" ht="17.25" thickBot="1" x14ac:dyDescent="0.3">
      <c r="C60" s="6">
        <v>38</v>
      </c>
      <c r="D60" s="7">
        <v>1.3574999999999999</v>
      </c>
    </row>
    <row r="61" spans="3:4" ht="17.25" thickBot="1" x14ac:dyDescent="0.3">
      <c r="C61" s="6">
        <v>40</v>
      </c>
      <c r="D61" s="7">
        <v>1.3583000000000001</v>
      </c>
    </row>
    <row r="62" spans="3:4" ht="17.25" thickBot="1" x14ac:dyDescent="0.3">
      <c r="C62" s="6">
        <v>42</v>
      </c>
      <c r="D62" s="7">
        <v>1.359</v>
      </c>
    </row>
    <row r="63" spans="3:4" ht="17.25" thickBot="1" x14ac:dyDescent="0.3">
      <c r="C63" s="6">
        <v>44</v>
      </c>
      <c r="D63" s="7">
        <v>1.3597999999999999</v>
      </c>
    </row>
    <row r="64" spans="3:4" ht="17.25" thickBot="1" x14ac:dyDescent="0.3">
      <c r="C64" s="6">
        <v>46</v>
      </c>
      <c r="D64" s="7">
        <v>1.3604000000000001</v>
      </c>
    </row>
    <row r="65" spans="3:4" ht="17.25" thickBot="1" x14ac:dyDescent="0.3">
      <c r="C65" s="6">
        <v>48</v>
      </c>
      <c r="D65" s="7">
        <v>1.361</v>
      </c>
    </row>
    <row r="66" spans="3:4" ht="17.25" thickBot="1" x14ac:dyDescent="0.3">
      <c r="C66" s="6">
        <v>50</v>
      </c>
      <c r="D66" s="7">
        <v>1.3615999999999999</v>
      </c>
    </row>
    <row r="67" spans="3:4" ht="17.25" thickBot="1" x14ac:dyDescent="0.3">
      <c r="C67" s="6">
        <v>52</v>
      </c>
      <c r="D67" s="7">
        <v>1.3621000000000001</v>
      </c>
    </row>
    <row r="68" spans="3:4" ht="17.25" thickBot="1" x14ac:dyDescent="0.3">
      <c r="C68" s="6">
        <v>54</v>
      </c>
      <c r="D68" s="7">
        <v>1.3626</v>
      </c>
    </row>
    <row r="69" spans="3:4" ht="17.25" thickBot="1" x14ac:dyDescent="0.3">
      <c r="C69" s="6">
        <v>56</v>
      </c>
      <c r="D69" s="7">
        <v>1.363</v>
      </c>
    </row>
    <row r="70" spans="3:4" ht="17.25" thickBot="1" x14ac:dyDescent="0.3">
      <c r="C70" s="6">
        <v>58</v>
      </c>
      <c r="D70" s="7">
        <v>1.3633999999999999</v>
      </c>
    </row>
    <row r="71" spans="3:4" ht="17.25" thickBot="1" x14ac:dyDescent="0.3">
      <c r="C71" s="6">
        <v>60</v>
      </c>
      <c r="D71" s="7">
        <v>1.3637999999999999</v>
      </c>
    </row>
    <row r="72" spans="3:4" ht="17.25" thickBot="1" x14ac:dyDescent="0.3">
      <c r="C72" s="6">
        <v>62</v>
      </c>
      <c r="D72" s="7">
        <v>1.3641000000000001</v>
      </c>
    </row>
    <row r="73" spans="3:4" ht="17.25" thickBot="1" x14ac:dyDescent="0.3">
      <c r="C73" s="6">
        <v>64</v>
      </c>
      <c r="D73" s="7">
        <v>1.3644000000000001</v>
      </c>
    </row>
    <row r="74" spans="3:4" ht="17.25" thickBot="1" x14ac:dyDescent="0.3">
      <c r="C74" s="6">
        <v>66</v>
      </c>
      <c r="D74" s="7">
        <v>1.3647</v>
      </c>
    </row>
    <row r="75" spans="3:4" ht="17.25" thickBot="1" x14ac:dyDescent="0.3">
      <c r="C75" s="6">
        <v>68</v>
      </c>
      <c r="D75" s="7">
        <v>1.365</v>
      </c>
    </row>
    <row r="76" spans="3:4" ht="17.25" thickBot="1" x14ac:dyDescent="0.3">
      <c r="C76" s="6">
        <v>70</v>
      </c>
      <c r="D76" s="7">
        <v>1.3652</v>
      </c>
    </row>
    <row r="77" spans="3:4" ht="17.25" thickBot="1" x14ac:dyDescent="0.3">
      <c r="C77" s="6">
        <v>72</v>
      </c>
      <c r="D77" s="7">
        <v>1.3653999999999999</v>
      </c>
    </row>
    <row r="78" spans="3:4" ht="17.25" thickBot="1" x14ac:dyDescent="0.3">
      <c r="C78" s="6">
        <v>74</v>
      </c>
      <c r="D78" s="7">
        <v>1.3654999999999999</v>
      </c>
    </row>
    <row r="79" spans="3:4" ht="17.25" thickBot="1" x14ac:dyDescent="0.3">
      <c r="C79" s="6">
        <v>76</v>
      </c>
      <c r="D79" s="7">
        <v>1.3656999999999999</v>
      </c>
    </row>
    <row r="80" spans="3:4" ht="17.25" thickBot="1" x14ac:dyDescent="0.3">
      <c r="C80" s="6">
        <v>78</v>
      </c>
      <c r="D80" s="7">
        <v>1.3656999999999999</v>
      </c>
    </row>
    <row r="81" spans="3:4" ht="17.25" thickBot="1" x14ac:dyDescent="0.3">
      <c r="C81" s="6">
        <v>80</v>
      </c>
      <c r="D81" s="7">
        <v>1.3657999999999999</v>
      </c>
    </row>
    <row r="82" spans="3:4" ht="17.25" thickBot="1" x14ac:dyDescent="0.3">
      <c r="C82" s="6">
        <v>82</v>
      </c>
      <c r="D82" s="7">
        <v>1.3656999999999999</v>
      </c>
    </row>
    <row r="83" spans="3:4" ht="17.25" thickBot="1" x14ac:dyDescent="0.3">
      <c r="C83" s="6">
        <v>84</v>
      </c>
      <c r="D83" s="7">
        <v>1.3655999999999999</v>
      </c>
    </row>
    <row r="84" spans="3:4" ht="17.25" thickBot="1" x14ac:dyDescent="0.3">
      <c r="C84" s="6">
        <v>86</v>
      </c>
      <c r="D84" s="7">
        <v>1.3654999999999999</v>
      </c>
    </row>
    <row r="85" spans="3:4" ht="17.25" thickBot="1" x14ac:dyDescent="0.3">
      <c r="C85" s="6">
        <v>88</v>
      </c>
      <c r="D85" s="7">
        <v>1.3653</v>
      </c>
    </row>
    <row r="86" spans="3:4" ht="17.25" thickBot="1" x14ac:dyDescent="0.3">
      <c r="C86" s="6">
        <v>90</v>
      </c>
      <c r="D86" s="7">
        <v>1.365</v>
      </c>
    </row>
    <row r="87" spans="3:4" ht="17.25" thickBot="1" x14ac:dyDescent="0.3">
      <c r="C87" s="6">
        <v>92</v>
      </c>
      <c r="D87" s="7">
        <v>1.3646</v>
      </c>
    </row>
    <row r="88" spans="3:4" ht="17.25" thickBot="1" x14ac:dyDescent="0.3">
      <c r="C88" s="6">
        <v>94</v>
      </c>
      <c r="D88" s="7">
        <v>1.3642000000000001</v>
      </c>
    </row>
    <row r="89" spans="3:4" ht="17.25" thickBot="1" x14ac:dyDescent="0.3">
      <c r="C89" s="6">
        <v>96</v>
      </c>
      <c r="D89" s="7">
        <v>1.3635999999999999</v>
      </c>
    </row>
    <row r="90" spans="3:4" ht="17.25" thickBot="1" x14ac:dyDescent="0.3">
      <c r="C90" s="6">
        <v>98</v>
      </c>
      <c r="D90" s="7">
        <v>1.363</v>
      </c>
    </row>
    <row r="91" spans="3:4" ht="17.25" thickBot="1" x14ac:dyDescent="0.3">
      <c r="C91" s="6">
        <v>100</v>
      </c>
      <c r="D91" s="7">
        <v>1.3613999999999999</v>
      </c>
    </row>
    <row r="92" spans="3:4" x14ac:dyDescent="0.25">
      <c r="C92" t="s">
        <v>78</v>
      </c>
      <c r="D92">
        <f>MAX(D41:D91)</f>
        <v>1.3657999999999999</v>
      </c>
    </row>
  </sheetData>
  <mergeCells count="3">
    <mergeCell ref="D39:D40"/>
    <mergeCell ref="A39:C39"/>
    <mergeCell ref="U1:X1"/>
  </mergeCells>
  <hyperlinks>
    <hyperlink ref="E39" r:id="rId1" display="http://www.refractometer.pl/refraction-datasheet-ethanol" xr:uid="{5F28BBE6-C8DF-4BF2-8768-AFB0AE6D798B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4E9A4-7C85-4775-877B-36BE90911ECC}">
  <dimension ref="A1:G26"/>
  <sheetViews>
    <sheetView workbookViewId="0">
      <selection activeCell="E14" sqref="E14"/>
    </sheetView>
  </sheetViews>
  <sheetFormatPr defaultRowHeight="15" x14ac:dyDescent="0.25"/>
  <sheetData>
    <row r="1" spans="1:7" x14ac:dyDescent="0.25">
      <c r="B1" s="14" t="s">
        <v>61</v>
      </c>
      <c r="C1" s="14"/>
      <c r="D1" t="s">
        <v>57</v>
      </c>
      <c r="E1" s="4">
        <v>0.79236111111111107</v>
      </c>
      <c r="F1" t="s">
        <v>51</v>
      </c>
      <c r="G1">
        <v>2.5</v>
      </c>
    </row>
    <row r="2" spans="1:7" x14ac:dyDescent="0.25">
      <c r="B2" t="s">
        <v>48</v>
      </c>
      <c r="C2">
        <v>0.3</v>
      </c>
      <c r="D2">
        <v>0.35</v>
      </c>
      <c r="E2">
        <v>0.4</v>
      </c>
      <c r="F2">
        <v>0.45</v>
      </c>
      <c r="G2">
        <v>0.5</v>
      </c>
    </row>
    <row r="3" spans="1:7" x14ac:dyDescent="0.25">
      <c r="B3" t="s">
        <v>29</v>
      </c>
      <c r="C3">
        <v>2</v>
      </c>
      <c r="D3">
        <v>5.3</v>
      </c>
      <c r="E3">
        <v>4.9000000000000004</v>
      </c>
      <c r="F3">
        <v>2.8</v>
      </c>
    </row>
    <row r="4" spans="1:7" x14ac:dyDescent="0.25">
      <c r="B4" t="s">
        <v>26</v>
      </c>
      <c r="C4">
        <v>78.599999999999994</v>
      </c>
      <c r="D4">
        <v>79.3</v>
      </c>
      <c r="E4">
        <v>78.900000000000006</v>
      </c>
      <c r="F4">
        <v>97.2</v>
      </c>
    </row>
    <row r="5" spans="1:7" x14ac:dyDescent="0.25">
      <c r="B5" t="s">
        <v>28</v>
      </c>
      <c r="C5">
        <v>82.7</v>
      </c>
      <c r="D5">
        <v>97</v>
      </c>
      <c r="E5">
        <v>98.9</v>
      </c>
      <c r="F5">
        <v>100.6</v>
      </c>
    </row>
    <row r="6" spans="1:7" x14ac:dyDescent="0.25">
      <c r="B6" t="s">
        <v>49</v>
      </c>
      <c r="C6">
        <v>97.1</v>
      </c>
      <c r="D6">
        <v>98.4</v>
      </c>
      <c r="E6">
        <v>99.6</v>
      </c>
      <c r="F6">
        <v>100.8</v>
      </c>
    </row>
    <row r="7" spans="1:7" x14ac:dyDescent="0.25">
      <c r="A7" t="s">
        <v>63</v>
      </c>
      <c r="B7" t="s">
        <v>52</v>
      </c>
      <c r="C7">
        <v>1.3645</v>
      </c>
      <c r="D7">
        <v>1.3643000000000001</v>
      </c>
      <c r="E7">
        <v>1.3640000000000001</v>
      </c>
      <c r="F7">
        <v>1.3637999999999999</v>
      </c>
    </row>
    <row r="8" spans="1:7" x14ac:dyDescent="0.25">
      <c r="B8" t="s">
        <v>58</v>
      </c>
      <c r="C8">
        <f>8166.3*C7-11050</f>
        <v>92.91635000000133</v>
      </c>
      <c r="D8">
        <f t="shared" ref="D8:F8" si="0">8166.3*D7-11050</f>
        <v>91.283090000000811</v>
      </c>
      <c r="E8">
        <f t="shared" si="0"/>
        <v>88.833200000000943</v>
      </c>
      <c r="F8">
        <f t="shared" si="0"/>
        <v>87.199939999998605</v>
      </c>
    </row>
    <row r="9" spans="1:7" x14ac:dyDescent="0.25">
      <c r="A9" t="s">
        <v>56</v>
      </c>
      <c r="B9" t="s">
        <v>53</v>
      </c>
      <c r="C9">
        <v>1.3643000000000001</v>
      </c>
      <c r="D9">
        <v>1.3642000000000001</v>
      </c>
      <c r="E9">
        <v>1.3641000000000001</v>
      </c>
      <c r="F9">
        <v>1.36</v>
      </c>
    </row>
    <row r="10" spans="1:7" x14ac:dyDescent="0.25">
      <c r="B10" t="s">
        <v>59</v>
      </c>
      <c r="C10">
        <f>8166.3*C9-11050</f>
        <v>91.283090000000811</v>
      </c>
      <c r="D10">
        <f t="shared" ref="D10:E10" si="1">8166.3*D9-11050</f>
        <v>90.466460000001462</v>
      </c>
      <c r="E10">
        <f t="shared" si="1"/>
        <v>89.649830000000293</v>
      </c>
      <c r="F10">
        <f>3896.6*F9-5234.7</f>
        <v>64.676000000000386</v>
      </c>
    </row>
    <row r="11" spans="1:7" x14ac:dyDescent="0.25">
      <c r="B11" t="s">
        <v>54</v>
      </c>
      <c r="C11">
        <v>1.335</v>
      </c>
      <c r="D11">
        <v>1.3344</v>
      </c>
      <c r="E11">
        <v>1.3334999999999999</v>
      </c>
      <c r="F11">
        <v>1.3331</v>
      </c>
    </row>
    <row r="12" spans="1:7" x14ac:dyDescent="0.25">
      <c r="B12" t="s">
        <v>60</v>
      </c>
      <c r="C12">
        <f>1908.1*C11-2542.7</f>
        <v>4.6134999999999309</v>
      </c>
      <c r="D12">
        <f t="shared" ref="D12:F12" si="2">1908.1*D11-2542.7</f>
        <v>3.4686400000000503</v>
      </c>
      <c r="E12">
        <f t="shared" si="2"/>
        <v>1.7513500000000022</v>
      </c>
      <c r="F12">
        <f t="shared" si="2"/>
        <v>0.98810999999977867</v>
      </c>
    </row>
    <row r="13" spans="1:7" x14ac:dyDescent="0.25">
      <c r="B13" t="s">
        <v>50</v>
      </c>
      <c r="C13">
        <v>20</v>
      </c>
      <c r="D13">
        <v>20</v>
      </c>
      <c r="E13">
        <v>20.100000000000001</v>
      </c>
      <c r="F13">
        <v>20.100000000000001</v>
      </c>
    </row>
    <row r="14" spans="1:7" x14ac:dyDescent="0.25">
      <c r="B14" s="14" t="s">
        <v>62</v>
      </c>
      <c r="C14" s="14"/>
      <c r="D14" t="s">
        <v>57</v>
      </c>
      <c r="E14" s="4">
        <v>0.79236111111111107</v>
      </c>
      <c r="F14" t="s">
        <v>51</v>
      </c>
      <c r="G14">
        <v>2.5</v>
      </c>
    </row>
    <row r="15" spans="1:7" x14ac:dyDescent="0.25">
      <c r="B15" t="s">
        <v>48</v>
      </c>
      <c r="C15">
        <v>0.3</v>
      </c>
      <c r="D15">
        <v>0.35</v>
      </c>
      <c r="E15">
        <v>0.4</v>
      </c>
      <c r="F15">
        <v>0.45</v>
      </c>
      <c r="G15">
        <v>0.5</v>
      </c>
    </row>
    <row r="16" spans="1:7" x14ac:dyDescent="0.25">
      <c r="B16" t="s">
        <v>29</v>
      </c>
      <c r="C16">
        <v>2</v>
      </c>
      <c r="D16">
        <v>5</v>
      </c>
      <c r="E16">
        <v>7</v>
      </c>
      <c r="F16">
        <v>10</v>
      </c>
      <c r="G16">
        <v>13.5</v>
      </c>
    </row>
    <row r="17" spans="1:7" x14ac:dyDescent="0.25">
      <c r="B17" t="s">
        <v>26</v>
      </c>
      <c r="C17">
        <v>79.2</v>
      </c>
      <c r="D17">
        <v>78.900000000000006</v>
      </c>
      <c r="E17">
        <v>78.599999999999994</v>
      </c>
      <c r="F17">
        <v>78.599999999999994</v>
      </c>
      <c r="G17">
        <v>78.5</v>
      </c>
    </row>
    <row r="18" spans="1:7" x14ac:dyDescent="0.25">
      <c r="B18" t="s">
        <v>28</v>
      </c>
      <c r="C18">
        <v>100.4</v>
      </c>
      <c r="D18">
        <v>99.5</v>
      </c>
      <c r="E18">
        <v>88.3</v>
      </c>
      <c r="F18">
        <v>95.5</v>
      </c>
      <c r="G18">
        <v>83.1</v>
      </c>
    </row>
    <row r="19" spans="1:7" x14ac:dyDescent="0.25">
      <c r="B19" t="s">
        <v>49</v>
      </c>
      <c r="C19">
        <v>100.8</v>
      </c>
      <c r="D19">
        <v>100.5</v>
      </c>
      <c r="E19">
        <v>99.8</v>
      </c>
      <c r="F19">
        <v>98.9</v>
      </c>
      <c r="G19">
        <v>96.6</v>
      </c>
    </row>
    <row r="20" spans="1:7" x14ac:dyDescent="0.25">
      <c r="A20" t="s">
        <v>55</v>
      </c>
      <c r="B20" t="s">
        <v>52</v>
      </c>
      <c r="C20">
        <v>1.3637999999999999</v>
      </c>
      <c r="D20">
        <v>1.3637999999999999</v>
      </c>
      <c r="E20">
        <v>1.3640000000000001</v>
      </c>
      <c r="F20">
        <v>1.3644000000000001</v>
      </c>
      <c r="G20">
        <v>1.3640000000000001</v>
      </c>
    </row>
    <row r="21" spans="1:7" x14ac:dyDescent="0.25">
      <c r="B21" t="s">
        <v>58</v>
      </c>
      <c r="C21">
        <f>8166.3*C20-11050</f>
        <v>87.199939999998605</v>
      </c>
      <c r="D21">
        <f t="shared" ref="D21" si="3">8166.3*D20-11050</f>
        <v>87.199939999998605</v>
      </c>
      <c r="E21">
        <f t="shared" ref="E21" si="4">8166.3*E20-11050</f>
        <v>88.833200000000943</v>
      </c>
      <c r="F21">
        <f t="shared" ref="F21:G21" si="5">8166.3*F20-11050</f>
        <v>92.099720000000161</v>
      </c>
      <c r="G21">
        <f t="shared" si="5"/>
        <v>88.833200000000943</v>
      </c>
    </row>
    <row r="22" spans="1:7" x14ac:dyDescent="0.25">
      <c r="A22" t="s">
        <v>56</v>
      </c>
      <c r="B22" t="s">
        <v>53</v>
      </c>
      <c r="C22">
        <v>1.3638999999999999</v>
      </c>
      <c r="D22">
        <v>1.3638999999999999</v>
      </c>
      <c r="E22">
        <v>1.36405</v>
      </c>
      <c r="F22">
        <v>1.3638999999999999</v>
      </c>
      <c r="G22">
        <v>1.3644000000000001</v>
      </c>
    </row>
    <row r="23" spans="1:7" x14ac:dyDescent="0.25">
      <c r="B23" t="s">
        <v>59</v>
      </c>
      <c r="C23">
        <f>8166.3*C22-11050</f>
        <v>88.016569999999774</v>
      </c>
      <c r="D23">
        <f t="shared" ref="D23" si="6">8166.3*D22-11050</f>
        <v>88.016569999999774</v>
      </c>
      <c r="E23">
        <f t="shared" ref="E23" si="7">8166.3*E22-11050</f>
        <v>89.241514999999708</v>
      </c>
      <c r="F23">
        <f t="shared" ref="F23:G23" si="8">8166.3*F22-11050</f>
        <v>88.016569999999774</v>
      </c>
      <c r="G23">
        <f t="shared" si="8"/>
        <v>92.099720000000161</v>
      </c>
    </row>
    <row r="24" spans="1:7" x14ac:dyDescent="0.25">
      <c r="B24" t="s">
        <v>54</v>
      </c>
      <c r="C24">
        <v>1.3332999999999999</v>
      </c>
      <c r="D24">
        <v>1.3334999999999999</v>
      </c>
      <c r="E24">
        <v>1.3335999999999999</v>
      </c>
      <c r="F24">
        <v>1.3344</v>
      </c>
      <c r="G24">
        <v>1.3358000000000001</v>
      </c>
    </row>
    <row r="25" spans="1:7" x14ac:dyDescent="0.25">
      <c r="B25" t="s">
        <v>60</v>
      </c>
      <c r="C25">
        <f>1908.1*C24-2542.7</f>
        <v>1.3697299999998904</v>
      </c>
      <c r="D25">
        <f t="shared" ref="D25:F25" si="9">1908.1*D24-2542.7</f>
        <v>1.7513500000000022</v>
      </c>
      <c r="E25">
        <f t="shared" si="9"/>
        <v>1.9421600000000581</v>
      </c>
      <c r="F25">
        <f t="shared" si="9"/>
        <v>3.4686400000000503</v>
      </c>
      <c r="G25">
        <f>1908.1*G24-2542.7</f>
        <v>6.1399800000003779</v>
      </c>
    </row>
    <row r="26" spans="1:7" x14ac:dyDescent="0.25">
      <c r="B26" t="s">
        <v>50</v>
      </c>
      <c r="C26">
        <v>20</v>
      </c>
      <c r="D26">
        <v>20</v>
      </c>
      <c r="E26">
        <v>20</v>
      </c>
      <c r="F26">
        <v>19.8</v>
      </c>
      <c r="G26">
        <v>19.899999999999999</v>
      </c>
    </row>
  </sheetData>
  <mergeCells count="2">
    <mergeCell ref="B1:C1"/>
    <mergeCell ref="B14:C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639E4-8790-4E56-ACD7-CA3D8C25921D}">
  <dimension ref="A1:G34"/>
  <sheetViews>
    <sheetView workbookViewId="0">
      <selection activeCell="I16" sqref="I16"/>
    </sheetView>
  </sheetViews>
  <sheetFormatPr defaultRowHeight="15" x14ac:dyDescent="0.25"/>
  <sheetData>
    <row r="1" spans="1:7" x14ac:dyDescent="0.25">
      <c r="B1" s="14" t="s">
        <v>96</v>
      </c>
      <c r="C1" s="14"/>
      <c r="D1" t="s">
        <v>57</v>
      </c>
      <c r="E1" s="4">
        <v>0.79236111111111107</v>
      </c>
      <c r="F1" t="s">
        <v>51</v>
      </c>
      <c r="G1">
        <v>2.5</v>
      </c>
    </row>
    <row r="2" spans="1:7" x14ac:dyDescent="0.25">
      <c r="B2" t="s">
        <v>86</v>
      </c>
      <c r="C2">
        <f>0.3*1000</f>
        <v>300</v>
      </c>
      <c r="D2">
        <f>0.35*1000</f>
        <v>350</v>
      </c>
      <c r="E2">
        <f>0.4*1000</f>
        <v>400</v>
      </c>
      <c r="F2">
        <f>0.45*1000</f>
        <v>450</v>
      </c>
      <c r="G2">
        <f>0.5*1000</f>
        <v>500</v>
      </c>
    </row>
    <row r="3" spans="1:7" x14ac:dyDescent="0.25">
      <c r="B3" t="s">
        <v>29</v>
      </c>
      <c r="C3">
        <f>2*60/1000</f>
        <v>0.12</v>
      </c>
      <c r="D3">
        <f>5.3*60/1000</f>
        <v>0.318</v>
      </c>
      <c r="E3">
        <f>4.9*60/1000</f>
        <v>0.29399999999999998</v>
      </c>
      <c r="F3">
        <f>2.8*60/1000</f>
        <v>0.16800000000000001</v>
      </c>
    </row>
    <row r="4" spans="1:7" x14ac:dyDescent="0.25">
      <c r="B4" t="s">
        <v>87</v>
      </c>
      <c r="C4">
        <v>78.599999999999994</v>
      </c>
      <c r="D4">
        <v>79.3</v>
      </c>
      <c r="E4">
        <v>78.900000000000006</v>
      </c>
      <c r="F4">
        <v>97.2</v>
      </c>
    </row>
    <row r="5" spans="1:7" x14ac:dyDescent="0.25">
      <c r="B5" t="s">
        <v>88</v>
      </c>
      <c r="C5">
        <v>82.7</v>
      </c>
      <c r="D5">
        <v>97</v>
      </c>
      <c r="E5">
        <v>98.9</v>
      </c>
      <c r="F5">
        <v>100.6</v>
      </c>
    </row>
    <row r="6" spans="1:7" x14ac:dyDescent="0.25">
      <c r="B6" t="s">
        <v>89</v>
      </c>
      <c r="C6">
        <v>97.1</v>
      </c>
      <c r="D6">
        <v>98.4</v>
      </c>
      <c r="E6">
        <v>99.6</v>
      </c>
      <c r="F6">
        <v>100.8</v>
      </c>
    </row>
    <row r="7" spans="1:7" x14ac:dyDescent="0.25">
      <c r="A7" t="s">
        <v>63</v>
      </c>
      <c r="B7" t="s">
        <v>52</v>
      </c>
      <c r="C7">
        <v>1.3645</v>
      </c>
      <c r="D7">
        <v>1.3643000000000001</v>
      </c>
      <c r="E7">
        <v>1.3640000000000001</v>
      </c>
      <c r="F7">
        <v>1.3637999999999999</v>
      </c>
    </row>
    <row r="8" spans="1:7" x14ac:dyDescent="0.25">
      <c r="B8" t="s">
        <v>58</v>
      </c>
      <c r="C8">
        <f>13508*C7-18346</f>
        <v>85.666000000001077</v>
      </c>
      <c r="D8">
        <f t="shared" ref="D8:F8" si="0">13508*D7-18346</f>
        <v>82.964400000000751</v>
      </c>
      <c r="E8">
        <f t="shared" si="0"/>
        <v>78.912000000000262</v>
      </c>
      <c r="F8">
        <f t="shared" si="0"/>
        <v>76.210399999999936</v>
      </c>
    </row>
    <row r="9" spans="1:7" x14ac:dyDescent="0.25">
      <c r="A9" t="s">
        <v>56</v>
      </c>
      <c r="B9" t="s">
        <v>53</v>
      </c>
      <c r="C9">
        <v>1.3643000000000001</v>
      </c>
      <c r="D9">
        <v>1.3642000000000001</v>
      </c>
      <c r="E9">
        <v>1.3641000000000001</v>
      </c>
      <c r="F9">
        <v>1.36</v>
      </c>
    </row>
    <row r="10" spans="1:7" x14ac:dyDescent="0.25">
      <c r="B10" t="s">
        <v>59</v>
      </c>
      <c r="C10">
        <f>13508*C9-18346</f>
        <v>82.964400000000751</v>
      </c>
      <c r="D10">
        <f t="shared" ref="D10:E10" si="1">13508*D9-18346</f>
        <v>81.613600000000588</v>
      </c>
      <c r="E10">
        <f t="shared" si="1"/>
        <v>80.262800000000425</v>
      </c>
      <c r="F10">
        <f>3958.9*F9-5341.4</f>
        <v>42.704000000000633</v>
      </c>
    </row>
    <row r="11" spans="1:7" x14ac:dyDescent="0.25">
      <c r="B11" t="s">
        <v>54</v>
      </c>
      <c r="C11">
        <v>1.335</v>
      </c>
      <c r="D11">
        <v>1.3344</v>
      </c>
      <c r="E11">
        <v>1.3334999999999999</v>
      </c>
      <c r="F11">
        <v>1.3331</v>
      </c>
    </row>
    <row r="12" spans="1:7" x14ac:dyDescent="0.25">
      <c r="B12" t="s">
        <v>60</v>
      </c>
      <c r="C12">
        <f>825.23*C11-1099.7</f>
        <v>1.9820499999998447</v>
      </c>
      <c r="D12">
        <f t="shared" ref="D12:F12" si="2">825.23*D11-1099.7</f>
        <v>1.4869120000000748</v>
      </c>
      <c r="E12">
        <f t="shared" si="2"/>
        <v>0.74420499999996537</v>
      </c>
      <c r="F12">
        <f t="shared" si="2"/>
        <v>0.41411300000004303</v>
      </c>
    </row>
    <row r="13" spans="1:7" x14ac:dyDescent="0.25">
      <c r="B13" t="s">
        <v>50</v>
      </c>
      <c r="C13">
        <v>20</v>
      </c>
      <c r="D13">
        <v>20</v>
      </c>
      <c r="E13">
        <v>20.100000000000001</v>
      </c>
      <c r="F13">
        <v>20.100000000000001</v>
      </c>
    </row>
    <row r="14" spans="1:7" x14ac:dyDescent="0.25">
      <c r="B14" s="14" t="s">
        <v>97</v>
      </c>
      <c r="C14" s="14"/>
      <c r="D14" t="s">
        <v>57</v>
      </c>
      <c r="E14" s="4">
        <v>0.79236111111111107</v>
      </c>
      <c r="F14" t="s">
        <v>51</v>
      </c>
      <c r="G14">
        <v>2.5</v>
      </c>
    </row>
    <row r="15" spans="1:7" x14ac:dyDescent="0.25">
      <c r="B15" t="s">
        <v>48</v>
      </c>
      <c r="C15">
        <f>0.3*1000</f>
        <v>300</v>
      </c>
      <c r="D15">
        <f>0.35*1000</f>
        <v>350</v>
      </c>
      <c r="E15">
        <f>0.4*1000</f>
        <v>400</v>
      </c>
      <c r="F15">
        <f>0.45*1000</f>
        <v>450</v>
      </c>
      <c r="G15">
        <f>0.5*1000</f>
        <v>500</v>
      </c>
    </row>
    <row r="16" spans="1:7" x14ac:dyDescent="0.25">
      <c r="B16" t="s">
        <v>29</v>
      </c>
      <c r="C16">
        <f>2*60/1000</f>
        <v>0.12</v>
      </c>
      <c r="D16">
        <f>5*60/1000</f>
        <v>0.3</v>
      </c>
      <c r="E16">
        <f>7*60/1000</f>
        <v>0.42</v>
      </c>
      <c r="F16">
        <f>10*60/1000</f>
        <v>0.6</v>
      </c>
      <c r="G16">
        <f>13.5*60/1000</f>
        <v>0.81</v>
      </c>
    </row>
    <row r="17" spans="1:7" x14ac:dyDescent="0.25">
      <c r="B17" t="s">
        <v>26</v>
      </c>
      <c r="C17">
        <v>79.2</v>
      </c>
      <c r="D17">
        <v>78.900000000000006</v>
      </c>
      <c r="E17">
        <v>78.599999999999994</v>
      </c>
      <c r="F17">
        <v>78.599999999999994</v>
      </c>
      <c r="G17">
        <v>78.5</v>
      </c>
    </row>
    <row r="18" spans="1:7" x14ac:dyDescent="0.25">
      <c r="B18" t="s">
        <v>28</v>
      </c>
      <c r="C18">
        <v>100.4</v>
      </c>
      <c r="D18">
        <v>99.5</v>
      </c>
      <c r="E18">
        <v>88.3</v>
      </c>
      <c r="F18">
        <v>95.5</v>
      </c>
      <c r="G18">
        <v>83.1</v>
      </c>
    </row>
    <row r="19" spans="1:7" x14ac:dyDescent="0.25">
      <c r="B19" t="s">
        <v>49</v>
      </c>
      <c r="C19">
        <v>100.8</v>
      </c>
      <c r="D19">
        <v>100.5</v>
      </c>
      <c r="E19">
        <v>99.8</v>
      </c>
      <c r="F19">
        <v>98.9</v>
      </c>
      <c r="G19">
        <v>96.6</v>
      </c>
    </row>
    <row r="20" spans="1:7" x14ac:dyDescent="0.25">
      <c r="A20" t="s">
        <v>55</v>
      </c>
      <c r="B20" t="s">
        <v>52</v>
      </c>
      <c r="C20">
        <v>1.3637999999999999</v>
      </c>
      <c r="D20">
        <v>1.3637999999999999</v>
      </c>
      <c r="E20">
        <v>1.3640000000000001</v>
      </c>
      <c r="F20">
        <v>1.3644000000000001</v>
      </c>
      <c r="G20">
        <v>1.3640000000000001</v>
      </c>
    </row>
    <row r="21" spans="1:7" x14ac:dyDescent="0.25">
      <c r="B21" t="s">
        <v>58</v>
      </c>
      <c r="C21">
        <f>13508*C20-18346</f>
        <v>76.210399999999936</v>
      </c>
      <c r="D21">
        <f t="shared" ref="D21" si="3">13508*D20-18346</f>
        <v>76.210399999999936</v>
      </c>
      <c r="E21">
        <f t="shared" ref="E21" si="4">13508*E20-18346</f>
        <v>78.912000000000262</v>
      </c>
      <c r="F21">
        <f t="shared" ref="F21" si="5">13508*F20-18346</f>
        <v>84.315200000000914</v>
      </c>
      <c r="G21">
        <f>13508*G20-18346</f>
        <v>78.912000000000262</v>
      </c>
    </row>
    <row r="22" spans="1:7" x14ac:dyDescent="0.25">
      <c r="A22" t="s">
        <v>56</v>
      </c>
      <c r="B22" t="s">
        <v>53</v>
      </c>
      <c r="C22">
        <v>1.3638999999999999</v>
      </c>
      <c r="D22">
        <v>1.3638999999999999</v>
      </c>
      <c r="E22">
        <v>1.36405</v>
      </c>
      <c r="F22">
        <v>1.3638999999999999</v>
      </c>
      <c r="G22">
        <v>1.3644000000000001</v>
      </c>
    </row>
    <row r="23" spans="1:7" x14ac:dyDescent="0.25">
      <c r="B23" t="s">
        <v>59</v>
      </c>
      <c r="C23">
        <f>13508*C22-18346</f>
        <v>77.561200000000099</v>
      </c>
      <c r="D23">
        <f t="shared" ref="D23" si="6">13508*D22-18346</f>
        <v>77.561200000000099</v>
      </c>
      <c r="E23">
        <f t="shared" ref="E23" si="7">13508*E22-18346</f>
        <v>79.587400000000343</v>
      </c>
      <c r="F23">
        <f t="shared" ref="F23" si="8">13508*F22-18346</f>
        <v>77.561200000000099</v>
      </c>
      <c r="G23">
        <f>13508*G22-18346</f>
        <v>84.315200000000914</v>
      </c>
    </row>
    <row r="24" spans="1:7" x14ac:dyDescent="0.25">
      <c r="B24" t="s">
        <v>54</v>
      </c>
      <c r="C24">
        <v>1.3332999999999999</v>
      </c>
      <c r="D24">
        <v>1.3334999999999999</v>
      </c>
      <c r="E24">
        <v>1.3335999999999999</v>
      </c>
      <c r="F24">
        <v>1.3344</v>
      </c>
      <c r="G24">
        <v>1.3358000000000001</v>
      </c>
    </row>
    <row r="25" spans="1:7" x14ac:dyDescent="0.25">
      <c r="B25" t="s">
        <v>60</v>
      </c>
      <c r="C25">
        <f>825.23*C24-1099.7</f>
        <v>0.57915899999989051</v>
      </c>
      <c r="D25">
        <f t="shared" ref="D25" si="9">825.23*D24-1099.7</f>
        <v>0.74420499999996537</v>
      </c>
      <c r="E25">
        <f t="shared" ref="E25" si="10">825.23*E24-1099.7</f>
        <v>0.82672800000000279</v>
      </c>
      <c r="F25">
        <f t="shared" ref="F25" si="11">825.23*F24-1099.7</f>
        <v>1.4869120000000748</v>
      </c>
      <c r="G25">
        <f>825.23*G24-1099.7</f>
        <v>2.6422340000001441</v>
      </c>
    </row>
    <row r="26" spans="1:7" x14ac:dyDescent="0.25">
      <c r="B26" t="s">
        <v>50</v>
      </c>
      <c r="C26">
        <v>20</v>
      </c>
      <c r="D26">
        <v>20</v>
      </c>
      <c r="E26">
        <v>20</v>
      </c>
      <c r="F26">
        <v>19.8</v>
      </c>
      <c r="G26">
        <v>19.899999999999999</v>
      </c>
    </row>
    <row r="28" spans="1:7" x14ac:dyDescent="0.25">
      <c r="B28" t="s">
        <v>93</v>
      </c>
    </row>
    <row r="29" spans="1:7" x14ac:dyDescent="0.25">
      <c r="B29" t="s">
        <v>94</v>
      </c>
    </row>
    <row r="30" spans="1:7" x14ac:dyDescent="0.25">
      <c r="B30" t="s">
        <v>95</v>
      </c>
    </row>
    <row r="32" spans="1:7" x14ac:dyDescent="0.25">
      <c r="B32" t="s">
        <v>90</v>
      </c>
    </row>
    <row r="33" spans="2:2" x14ac:dyDescent="0.25">
      <c r="B33" t="s">
        <v>91</v>
      </c>
    </row>
    <row r="34" spans="2:2" x14ac:dyDescent="0.25">
      <c r="B34" t="s">
        <v>92</v>
      </c>
    </row>
  </sheetData>
  <mergeCells count="2">
    <mergeCell ref="B1:C1"/>
    <mergeCell ref="B14:C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3336-AF4B-42EB-8D63-F8238D89CA4F}">
  <dimension ref="A1:K53"/>
  <sheetViews>
    <sheetView topLeftCell="H1" zoomScale="70" zoomScaleNormal="70" workbookViewId="0">
      <selection activeCell="A6" sqref="A6"/>
    </sheetView>
  </sheetViews>
  <sheetFormatPr defaultColWidth="8.85546875" defaultRowHeight="15" x14ac:dyDescent="0.25"/>
  <cols>
    <col min="1" max="1" width="8" bestFit="1" customWidth="1"/>
    <col min="2" max="2" width="20" bestFit="1" customWidth="1"/>
    <col min="3" max="3" width="11.85546875" bestFit="1" customWidth="1"/>
    <col min="4" max="4" width="19.7109375" bestFit="1" customWidth="1"/>
    <col min="5" max="5" width="17.28515625" bestFit="1" customWidth="1"/>
    <col min="6" max="6" width="25.28515625" bestFit="1" customWidth="1"/>
    <col min="7" max="7" width="22.85546875" bestFit="1" customWidth="1"/>
    <col min="8" max="8" width="31.140625" bestFit="1" customWidth="1"/>
    <col min="9" max="9" width="28.5703125" bestFit="1" customWidth="1"/>
    <col min="10" max="10" width="31.140625" bestFit="1" customWidth="1"/>
    <col min="11" max="11" width="28.5703125" bestFit="1" customWidth="1"/>
  </cols>
  <sheetData>
    <row r="1" spans="1:1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s="3" t="s">
        <v>17</v>
      </c>
      <c r="I1" s="3" t="s">
        <v>18</v>
      </c>
      <c r="J1" s="3" t="s">
        <v>19</v>
      </c>
      <c r="K1" s="3" t="s">
        <v>20</v>
      </c>
    </row>
    <row r="2" spans="1:11" x14ac:dyDescent="0.25">
      <c r="A2" t="s">
        <v>23</v>
      </c>
      <c r="C2" t="s">
        <v>24</v>
      </c>
      <c r="H2" s="3"/>
      <c r="I2" s="3"/>
      <c r="J2" s="3"/>
      <c r="K2" s="3"/>
    </row>
    <row r="3" spans="1:11" x14ac:dyDescent="0.25">
      <c r="A3">
        <v>1.01325</v>
      </c>
      <c r="B3">
        <v>0</v>
      </c>
      <c r="C3">
        <v>100.018</v>
      </c>
      <c r="D3">
        <v>14.6561</v>
      </c>
      <c r="E3">
        <v>1</v>
      </c>
      <c r="F3">
        <v>6.7512499999999998</v>
      </c>
      <c r="G3">
        <v>1</v>
      </c>
      <c r="H3" s="3">
        <v>0</v>
      </c>
      <c r="I3" s="3">
        <v>1</v>
      </c>
      <c r="J3" s="3">
        <v>0</v>
      </c>
      <c r="K3" s="3">
        <v>1</v>
      </c>
    </row>
    <row r="4" spans="1:11" x14ac:dyDescent="0.25">
      <c r="A4">
        <v>1.01325</v>
      </c>
      <c r="B4">
        <v>0.02</v>
      </c>
      <c r="C4">
        <v>94.185000000000002</v>
      </c>
      <c r="D4">
        <v>10.2254</v>
      </c>
      <c r="E4">
        <v>0.81172599999999995</v>
      </c>
      <c r="F4">
        <v>5.7327599999999999</v>
      </c>
      <c r="G4">
        <v>1.0017100000000001</v>
      </c>
      <c r="H4" s="3">
        <v>0.204509</v>
      </c>
      <c r="I4" s="3">
        <v>0.79549099999999995</v>
      </c>
      <c r="J4" s="3">
        <v>0.02</v>
      </c>
      <c r="K4" s="3">
        <v>0.98</v>
      </c>
    </row>
    <row r="5" spans="1:11" x14ac:dyDescent="0.25">
      <c r="A5">
        <v>1.01325</v>
      </c>
      <c r="B5">
        <v>0.04</v>
      </c>
      <c r="C5">
        <v>90.716200000000001</v>
      </c>
      <c r="D5">
        <v>7.7921899999999997</v>
      </c>
      <c r="E5">
        <v>0.71699199999999996</v>
      </c>
      <c r="F5">
        <v>4.9298099999999998</v>
      </c>
      <c r="G5">
        <v>1.0065</v>
      </c>
      <c r="H5" s="3">
        <v>0.31168800000000002</v>
      </c>
      <c r="I5" s="3">
        <v>0.68831200000000003</v>
      </c>
      <c r="J5" s="3">
        <v>0.04</v>
      </c>
      <c r="K5" s="3">
        <v>0.96</v>
      </c>
    </row>
    <row r="6" spans="1:11" x14ac:dyDescent="0.25">
      <c r="A6">
        <v>1.01325</v>
      </c>
      <c r="B6">
        <v>0.06</v>
      </c>
      <c r="C6">
        <v>88.477500000000006</v>
      </c>
      <c r="D6">
        <v>6.2701500000000001</v>
      </c>
      <c r="E6">
        <v>0.66360799999999998</v>
      </c>
      <c r="F6">
        <v>4.2957000000000001</v>
      </c>
      <c r="G6">
        <v>1.01393</v>
      </c>
      <c r="H6" s="3">
        <v>0.37620900000000002</v>
      </c>
      <c r="I6" s="3">
        <v>0.62379099999999998</v>
      </c>
      <c r="J6" s="3">
        <v>0.06</v>
      </c>
      <c r="K6" s="3">
        <v>0.94</v>
      </c>
    </row>
    <row r="7" spans="1:11" x14ac:dyDescent="0.25">
      <c r="A7">
        <v>1.01325</v>
      </c>
      <c r="B7">
        <v>0.08</v>
      </c>
      <c r="C7">
        <v>86.944599999999994</v>
      </c>
      <c r="D7">
        <v>5.2350300000000001</v>
      </c>
      <c r="E7">
        <v>0.63173599999999996</v>
      </c>
      <c r="F7">
        <v>3.7903799999999999</v>
      </c>
      <c r="G7">
        <v>1.02362</v>
      </c>
      <c r="H7" s="3">
        <v>0.41880299999999998</v>
      </c>
      <c r="I7" s="3">
        <v>0.58119799999999999</v>
      </c>
      <c r="J7" s="3">
        <v>0.08</v>
      </c>
      <c r="K7" s="3">
        <v>0.92</v>
      </c>
    </row>
    <row r="8" spans="1:11" x14ac:dyDescent="0.25">
      <c r="A8">
        <v>1.01325</v>
      </c>
      <c r="B8">
        <v>0.1</v>
      </c>
      <c r="C8">
        <v>85.844099999999997</v>
      </c>
      <c r="D8">
        <v>4.4890999999999996</v>
      </c>
      <c r="E8">
        <v>0.61232200000000003</v>
      </c>
      <c r="F8">
        <v>3.3831699999999998</v>
      </c>
      <c r="G8">
        <v>1.0352600000000001</v>
      </c>
      <c r="H8" s="3">
        <v>0.44890999999999998</v>
      </c>
      <c r="I8" s="3">
        <v>0.55108999999999997</v>
      </c>
      <c r="J8" s="3">
        <v>0.1</v>
      </c>
      <c r="K8" s="3">
        <v>0.9</v>
      </c>
    </row>
    <row r="9" spans="1:11" x14ac:dyDescent="0.25">
      <c r="A9">
        <v>1.01325</v>
      </c>
      <c r="B9">
        <v>0.12</v>
      </c>
      <c r="C9">
        <v>85.021000000000001</v>
      </c>
      <c r="D9">
        <v>3.9283299999999999</v>
      </c>
      <c r="E9">
        <v>0.60068200000000005</v>
      </c>
      <c r="F9">
        <v>3.0512600000000001</v>
      </c>
      <c r="G9">
        <v>1.0486200000000001</v>
      </c>
      <c r="H9" s="3">
        <v>0.47139999999999999</v>
      </c>
      <c r="I9" s="3">
        <v>0.52859999999999996</v>
      </c>
      <c r="J9" s="3">
        <v>0.12</v>
      </c>
      <c r="K9" s="3">
        <v>0.88</v>
      </c>
    </row>
    <row r="10" spans="1:11" x14ac:dyDescent="0.25">
      <c r="A10">
        <v>1.01325</v>
      </c>
      <c r="B10">
        <v>0.14000000000000001</v>
      </c>
      <c r="C10">
        <v>84.381799999999998</v>
      </c>
      <c r="D10">
        <v>3.4929399999999999</v>
      </c>
      <c r="E10">
        <v>0.59417200000000003</v>
      </c>
      <c r="F10">
        <v>2.7777500000000002</v>
      </c>
      <c r="G10">
        <v>1.06349</v>
      </c>
      <c r="H10" s="3">
        <v>0.489012</v>
      </c>
      <c r="I10" s="3">
        <v>0.510988</v>
      </c>
      <c r="J10" s="3">
        <v>0.14000000000000001</v>
      </c>
      <c r="K10" s="3">
        <v>0.86</v>
      </c>
    </row>
    <row r="11" spans="1:11" x14ac:dyDescent="0.25">
      <c r="A11">
        <v>1.01325</v>
      </c>
      <c r="B11">
        <v>0.16</v>
      </c>
      <c r="C11">
        <v>83.868099999999998</v>
      </c>
      <c r="D11">
        <v>3.1462300000000001</v>
      </c>
      <c r="E11">
        <v>0.59119500000000003</v>
      </c>
      <c r="F11">
        <v>2.5500600000000002</v>
      </c>
      <c r="G11">
        <v>1.0797099999999999</v>
      </c>
      <c r="H11" s="3">
        <v>0.50339699999999998</v>
      </c>
      <c r="I11" s="3">
        <v>0.49660399999999999</v>
      </c>
      <c r="J11" s="3">
        <v>0.16</v>
      </c>
      <c r="K11" s="3">
        <v>0.84</v>
      </c>
    </row>
    <row r="12" spans="1:11" x14ac:dyDescent="0.25">
      <c r="A12">
        <v>1.01325</v>
      </c>
      <c r="B12">
        <v>0.18</v>
      </c>
      <c r="C12">
        <v>83.441500000000005</v>
      </c>
      <c r="D12">
        <v>2.86443</v>
      </c>
      <c r="E12">
        <v>0.59073399999999998</v>
      </c>
      <c r="F12">
        <v>2.3587199999999999</v>
      </c>
      <c r="G12">
        <v>1.0971200000000001</v>
      </c>
      <c r="H12" s="3">
        <v>0.515598</v>
      </c>
      <c r="I12" s="3">
        <v>0.484402</v>
      </c>
      <c r="J12" s="3">
        <v>0.18</v>
      </c>
      <c r="K12" s="3">
        <v>0.82</v>
      </c>
    </row>
    <row r="13" spans="1:11" x14ac:dyDescent="0.25">
      <c r="A13">
        <v>1.01325</v>
      </c>
      <c r="B13">
        <v>0.2</v>
      </c>
      <c r="C13">
        <v>83.076899999999995</v>
      </c>
      <c r="D13">
        <v>2.6315200000000001</v>
      </c>
      <c r="E13">
        <v>0.59211999999999998</v>
      </c>
      <c r="F13">
        <v>2.1965599999999998</v>
      </c>
      <c r="G13">
        <v>1.11564</v>
      </c>
      <c r="H13" s="3">
        <v>0.52630399999999999</v>
      </c>
      <c r="I13" s="3">
        <v>0.47369600000000001</v>
      </c>
      <c r="J13" s="3">
        <v>0.2</v>
      </c>
      <c r="K13" s="3">
        <v>0.8</v>
      </c>
    </row>
    <row r="14" spans="1:11" x14ac:dyDescent="0.25">
      <c r="A14">
        <v>1.01325</v>
      </c>
      <c r="B14">
        <v>0.22</v>
      </c>
      <c r="C14">
        <v>82.756799999999998</v>
      </c>
      <c r="D14">
        <v>2.43628</v>
      </c>
      <c r="E14">
        <v>0.59489499999999995</v>
      </c>
      <c r="F14">
        <v>2.0580400000000001</v>
      </c>
      <c r="G14">
        <v>1.13514</v>
      </c>
      <c r="H14" s="3">
        <v>0.53598199999999996</v>
      </c>
      <c r="I14" s="3">
        <v>0.46401799999999999</v>
      </c>
      <c r="J14" s="3">
        <v>0.22</v>
      </c>
      <c r="K14" s="3">
        <v>0.78</v>
      </c>
    </row>
    <row r="15" spans="1:11" x14ac:dyDescent="0.25">
      <c r="A15">
        <v>1.01325</v>
      </c>
      <c r="B15">
        <v>0.24</v>
      </c>
      <c r="C15">
        <v>82.469300000000004</v>
      </c>
      <c r="D15">
        <v>2.27067</v>
      </c>
      <c r="E15">
        <v>0.59873699999999996</v>
      </c>
      <c r="F15">
        <v>1.9388799999999999</v>
      </c>
      <c r="G15">
        <v>1.1555599999999999</v>
      </c>
      <c r="H15" s="3">
        <v>0.54496</v>
      </c>
      <c r="I15" s="3">
        <v>0.45504</v>
      </c>
      <c r="J15" s="3">
        <v>0.24</v>
      </c>
      <c r="K15" s="3">
        <v>0.76</v>
      </c>
    </row>
    <row r="16" spans="1:11" x14ac:dyDescent="0.25">
      <c r="A16">
        <v>1.01325</v>
      </c>
      <c r="B16">
        <v>0.26</v>
      </c>
      <c r="C16">
        <v>82.206100000000006</v>
      </c>
      <c r="D16">
        <v>2.12873</v>
      </c>
      <c r="E16">
        <v>0.60341900000000004</v>
      </c>
      <c r="F16">
        <v>1.83571</v>
      </c>
      <c r="G16">
        <v>1.17683</v>
      </c>
      <c r="H16" s="3">
        <v>0.55347000000000002</v>
      </c>
      <c r="I16" s="3">
        <v>0.44652999999999998</v>
      </c>
      <c r="J16" s="3">
        <v>0.26</v>
      </c>
      <c r="K16" s="3">
        <v>0.74</v>
      </c>
    </row>
    <row r="17" spans="1:11" x14ac:dyDescent="0.25">
      <c r="A17">
        <v>1.01325</v>
      </c>
      <c r="B17">
        <v>0.28000000000000003</v>
      </c>
      <c r="C17">
        <v>81.961299999999994</v>
      </c>
      <c r="D17">
        <v>2.0060099999999998</v>
      </c>
      <c r="E17">
        <v>0.60877400000000004</v>
      </c>
      <c r="F17">
        <v>1.7458499999999999</v>
      </c>
      <c r="G17">
        <v>1.19889</v>
      </c>
      <c r="H17" s="3">
        <v>0.56168300000000004</v>
      </c>
      <c r="I17" s="3">
        <v>0.43831700000000001</v>
      </c>
      <c r="J17" s="3">
        <v>0.28000000000000003</v>
      </c>
      <c r="K17" s="3">
        <v>0.72</v>
      </c>
    </row>
    <row r="18" spans="1:11" x14ac:dyDescent="0.25">
      <c r="A18">
        <v>1.01325</v>
      </c>
      <c r="B18">
        <v>0.3</v>
      </c>
      <c r="C18">
        <v>81.730900000000005</v>
      </c>
      <c r="D18">
        <v>1.8990800000000001</v>
      </c>
      <c r="E18">
        <v>0.61468199999999995</v>
      </c>
      <c r="F18">
        <v>1.66717</v>
      </c>
      <c r="G18">
        <v>1.2216899999999999</v>
      </c>
      <c r="H18" s="3">
        <v>0.56972299999999998</v>
      </c>
      <c r="I18" s="3">
        <v>0.43027700000000002</v>
      </c>
      <c r="J18" s="3">
        <v>0.3</v>
      </c>
      <c r="K18" s="3">
        <v>0.7</v>
      </c>
    </row>
    <row r="19" spans="1:11" x14ac:dyDescent="0.25">
      <c r="A19">
        <v>1.01325</v>
      </c>
      <c r="B19">
        <v>0.32</v>
      </c>
      <c r="C19">
        <v>81.511799999999994</v>
      </c>
      <c r="D19">
        <v>1.8052600000000001</v>
      </c>
      <c r="E19">
        <v>0.62105399999999999</v>
      </c>
      <c r="F19">
        <v>1.59795</v>
      </c>
      <c r="G19">
        <v>1.24519</v>
      </c>
      <c r="H19" s="3">
        <v>0.57768299999999995</v>
      </c>
      <c r="I19" s="3">
        <v>0.422317</v>
      </c>
      <c r="J19" s="3">
        <v>0.32</v>
      </c>
      <c r="K19" s="3">
        <v>0.68</v>
      </c>
    </row>
    <row r="20" spans="1:11" x14ac:dyDescent="0.25">
      <c r="A20">
        <v>1.01325</v>
      </c>
      <c r="B20">
        <v>0.34</v>
      </c>
      <c r="C20">
        <v>81.302000000000007</v>
      </c>
      <c r="D20">
        <v>1.7224600000000001</v>
      </c>
      <c r="E20">
        <v>0.62782499999999997</v>
      </c>
      <c r="F20">
        <v>1.53678</v>
      </c>
      <c r="G20">
        <v>1.2693700000000001</v>
      </c>
      <c r="H20" s="3">
        <v>0.58563600000000005</v>
      </c>
      <c r="I20" s="3">
        <v>0.41436400000000001</v>
      </c>
      <c r="J20" s="3">
        <v>0.34</v>
      </c>
      <c r="K20" s="3">
        <v>0.66</v>
      </c>
    </row>
    <row r="21" spans="1:11" x14ac:dyDescent="0.25">
      <c r="A21">
        <v>1.01325</v>
      </c>
      <c r="B21">
        <v>0.36</v>
      </c>
      <c r="C21">
        <v>81.100099999999998</v>
      </c>
      <c r="D21">
        <v>1.6489799999999999</v>
      </c>
      <c r="E21">
        <v>0.63494600000000001</v>
      </c>
      <c r="F21">
        <v>1.4824900000000001</v>
      </c>
      <c r="G21">
        <v>1.2941800000000001</v>
      </c>
      <c r="H21" s="3">
        <v>0.59363500000000002</v>
      </c>
      <c r="I21" s="3">
        <v>0.40636499999999998</v>
      </c>
      <c r="J21" s="3">
        <v>0.36</v>
      </c>
      <c r="K21" s="3">
        <v>0.64</v>
      </c>
    </row>
    <row r="22" spans="1:11" x14ac:dyDescent="0.25">
      <c r="A22">
        <v>1.01325</v>
      </c>
      <c r="B22">
        <v>0.38</v>
      </c>
      <c r="C22">
        <v>80.905000000000001</v>
      </c>
      <c r="D22">
        <v>1.58348</v>
      </c>
      <c r="E22">
        <v>0.64238399999999996</v>
      </c>
      <c r="F22">
        <v>1.43415</v>
      </c>
      <c r="G22">
        <v>1.31962</v>
      </c>
      <c r="H22" s="3">
        <v>0.60172199999999998</v>
      </c>
      <c r="I22" s="3">
        <v>0.39827800000000002</v>
      </c>
      <c r="J22" s="3">
        <v>0.38</v>
      </c>
      <c r="K22" s="3">
        <v>0.62</v>
      </c>
    </row>
    <row r="23" spans="1:11" x14ac:dyDescent="0.25">
      <c r="A23">
        <v>1.01325</v>
      </c>
      <c r="B23">
        <v>0.4</v>
      </c>
      <c r="C23">
        <v>80.716099999999997</v>
      </c>
      <c r="D23">
        <v>1.5248299999999999</v>
      </c>
      <c r="E23">
        <v>0.65011799999999997</v>
      </c>
      <c r="F23">
        <v>1.3909400000000001</v>
      </c>
      <c r="G23">
        <v>1.3456699999999999</v>
      </c>
      <c r="H23" s="3">
        <v>0.60992900000000005</v>
      </c>
      <c r="I23" s="3">
        <v>0.390071</v>
      </c>
      <c r="J23" s="3">
        <v>0.4</v>
      </c>
      <c r="K23" s="3">
        <v>0.6</v>
      </c>
    </row>
    <row r="24" spans="1:11" x14ac:dyDescent="0.25">
      <c r="A24">
        <v>1.01325</v>
      </c>
      <c r="B24">
        <v>0.42</v>
      </c>
      <c r="C24">
        <v>80.533000000000001</v>
      </c>
      <c r="D24">
        <v>1.47211</v>
      </c>
      <c r="E24">
        <v>0.65812899999999996</v>
      </c>
      <c r="F24">
        <v>1.35222</v>
      </c>
      <c r="G24">
        <v>1.3723099999999999</v>
      </c>
      <c r="H24" s="3">
        <v>0.61828499999999997</v>
      </c>
      <c r="I24" s="3">
        <v>0.38171500000000003</v>
      </c>
      <c r="J24" s="3">
        <v>0.42</v>
      </c>
      <c r="K24" s="3">
        <v>0.57999999999999996</v>
      </c>
    </row>
    <row r="25" spans="1:11" x14ac:dyDescent="0.25">
      <c r="A25">
        <v>1.01325</v>
      </c>
      <c r="B25">
        <v>0.44</v>
      </c>
      <c r="C25">
        <v>80.3553</v>
      </c>
      <c r="D25">
        <v>1.4245699999999999</v>
      </c>
      <c r="E25">
        <v>0.66641300000000003</v>
      </c>
      <c r="F25">
        <v>1.31741</v>
      </c>
      <c r="G25">
        <v>1.3995599999999999</v>
      </c>
      <c r="H25" s="3">
        <v>0.62680899999999995</v>
      </c>
      <c r="I25" s="3">
        <v>0.37319099999999999</v>
      </c>
      <c r="J25" s="3">
        <v>0.44</v>
      </c>
      <c r="K25" s="3">
        <v>0.56000000000000005</v>
      </c>
    </row>
    <row r="26" spans="1:11" x14ac:dyDescent="0.25">
      <c r="A26">
        <v>1.01325</v>
      </c>
      <c r="B26">
        <v>0.46</v>
      </c>
      <c r="C26">
        <v>80.183000000000007</v>
      </c>
      <c r="D26">
        <v>1.3815599999999999</v>
      </c>
      <c r="E26">
        <v>0.67496800000000001</v>
      </c>
      <c r="F26">
        <v>1.2860400000000001</v>
      </c>
      <c r="G26">
        <v>1.4274</v>
      </c>
      <c r="H26" s="3">
        <v>0.635517</v>
      </c>
      <c r="I26" s="3">
        <v>0.364483</v>
      </c>
      <c r="J26" s="3">
        <v>0.46</v>
      </c>
      <c r="K26" s="3">
        <v>0.54</v>
      </c>
    </row>
    <row r="27" spans="1:11" x14ac:dyDescent="0.25">
      <c r="A27">
        <v>1.01325</v>
      </c>
      <c r="B27">
        <v>0.48</v>
      </c>
      <c r="C27">
        <v>80.016000000000005</v>
      </c>
      <c r="D27">
        <v>1.3425499999999999</v>
      </c>
      <c r="E27">
        <v>0.68379999999999996</v>
      </c>
      <c r="F27">
        <v>1.2577</v>
      </c>
      <c r="G27">
        <v>1.4558599999999999</v>
      </c>
      <c r="H27" s="3">
        <v>0.644424</v>
      </c>
      <c r="I27" s="3">
        <v>0.355576</v>
      </c>
      <c r="J27" s="3">
        <v>0.48</v>
      </c>
      <c r="K27" s="3">
        <v>0.52</v>
      </c>
    </row>
    <row r="28" spans="1:11" x14ac:dyDescent="0.25">
      <c r="A28">
        <v>1.01325</v>
      </c>
      <c r="B28">
        <v>0.5</v>
      </c>
      <c r="C28">
        <v>79.854299999999995</v>
      </c>
      <c r="D28">
        <v>1.3070900000000001</v>
      </c>
      <c r="E28">
        <v>0.69291599999999998</v>
      </c>
      <c r="F28">
        <v>1.2320500000000001</v>
      </c>
      <c r="G28">
        <v>1.4849300000000001</v>
      </c>
      <c r="H28" s="3">
        <v>0.65354199999999996</v>
      </c>
      <c r="I28" s="3">
        <v>0.34645799999999999</v>
      </c>
      <c r="J28" s="3">
        <v>0.5</v>
      </c>
      <c r="K28" s="3">
        <v>0.5</v>
      </c>
    </row>
    <row r="29" spans="1:11" x14ac:dyDescent="0.25">
      <c r="A29">
        <v>1.01325</v>
      </c>
      <c r="B29">
        <v>0.52</v>
      </c>
      <c r="C29">
        <v>79.697999999999993</v>
      </c>
      <c r="D29">
        <v>1.27477</v>
      </c>
      <c r="E29">
        <v>0.70233100000000004</v>
      </c>
      <c r="F29">
        <v>1.20878</v>
      </c>
      <c r="G29">
        <v>1.5146599999999999</v>
      </c>
      <c r="H29" s="3">
        <v>0.66288100000000005</v>
      </c>
      <c r="I29" s="3">
        <v>0.337119</v>
      </c>
      <c r="J29" s="3">
        <v>0.52</v>
      </c>
      <c r="K29" s="3">
        <v>0.48</v>
      </c>
    </row>
    <row r="30" spans="1:11" x14ac:dyDescent="0.25">
      <c r="A30">
        <v>1.01325</v>
      </c>
      <c r="B30">
        <v>0.54</v>
      </c>
      <c r="C30">
        <v>79.547200000000004</v>
      </c>
      <c r="D30">
        <v>1.2452799999999999</v>
      </c>
      <c r="E30">
        <v>0.71206400000000003</v>
      </c>
      <c r="F30">
        <v>1.18764</v>
      </c>
      <c r="G30">
        <v>1.54505</v>
      </c>
      <c r="H30" s="3">
        <v>0.67245100000000002</v>
      </c>
      <c r="I30" s="3">
        <v>0.32754899999999998</v>
      </c>
      <c r="J30" s="3">
        <v>0.54</v>
      </c>
      <c r="K30" s="3">
        <v>0.46</v>
      </c>
    </row>
    <row r="31" spans="1:11" x14ac:dyDescent="0.25">
      <c r="A31">
        <v>1.01325</v>
      </c>
      <c r="B31">
        <v>0.56000000000000005</v>
      </c>
      <c r="C31">
        <v>79.402000000000001</v>
      </c>
      <c r="D31">
        <v>1.2183200000000001</v>
      </c>
      <c r="E31">
        <v>0.72213799999999995</v>
      </c>
      <c r="F31">
        <v>1.16839</v>
      </c>
      <c r="G31">
        <v>1.57616</v>
      </c>
      <c r="H31" s="3">
        <v>0.68225899999999995</v>
      </c>
      <c r="I31" s="3">
        <v>0.317741</v>
      </c>
      <c r="J31" s="3">
        <v>0.56000000000000005</v>
      </c>
      <c r="K31" s="3">
        <v>0.44</v>
      </c>
    </row>
    <row r="32" spans="1:11" x14ac:dyDescent="0.25">
      <c r="A32">
        <v>1.01325</v>
      </c>
      <c r="B32">
        <v>0.57999999999999996</v>
      </c>
      <c r="C32">
        <v>79.262699999999995</v>
      </c>
      <c r="D32">
        <v>1.1936500000000001</v>
      </c>
      <c r="E32">
        <v>0.73258400000000001</v>
      </c>
      <c r="F32">
        <v>1.1508499999999999</v>
      </c>
      <c r="G32">
        <v>1.6080300000000001</v>
      </c>
      <c r="H32" s="3">
        <v>0.69231500000000001</v>
      </c>
      <c r="I32" s="3">
        <v>0.30768499999999999</v>
      </c>
      <c r="J32" s="3">
        <v>0.57999999999999996</v>
      </c>
      <c r="K32" s="3">
        <v>0.42</v>
      </c>
    </row>
    <row r="33" spans="1:11" x14ac:dyDescent="0.25">
      <c r="A33">
        <v>1.01325</v>
      </c>
      <c r="B33">
        <v>0.6</v>
      </c>
      <c r="C33">
        <v>79.129400000000004</v>
      </c>
      <c r="D33">
        <v>1.1710400000000001</v>
      </c>
      <c r="E33">
        <v>0.74343400000000004</v>
      </c>
      <c r="F33">
        <v>1.1348400000000001</v>
      </c>
      <c r="G33">
        <v>1.64072</v>
      </c>
      <c r="H33" s="3">
        <v>0.702627</v>
      </c>
      <c r="I33" s="3">
        <v>0.29737400000000003</v>
      </c>
      <c r="J33" s="3">
        <v>0.6</v>
      </c>
      <c r="K33" s="3">
        <v>0.4</v>
      </c>
    </row>
    <row r="34" spans="1:11" x14ac:dyDescent="0.25">
      <c r="A34">
        <v>1.01325</v>
      </c>
      <c r="B34">
        <v>0.62</v>
      </c>
      <c r="C34">
        <v>79.002200000000002</v>
      </c>
      <c r="D34">
        <v>1.1503300000000001</v>
      </c>
      <c r="E34">
        <v>0.75473000000000001</v>
      </c>
      <c r="F34">
        <v>1.1202099999999999</v>
      </c>
      <c r="G34">
        <v>1.6742900000000001</v>
      </c>
      <c r="H34" s="3">
        <v>0.71320300000000003</v>
      </c>
      <c r="I34" s="3">
        <v>0.28679700000000002</v>
      </c>
      <c r="J34" s="3">
        <v>0.62</v>
      </c>
      <c r="K34" s="3">
        <v>0.38</v>
      </c>
    </row>
    <row r="35" spans="1:11" x14ac:dyDescent="0.25">
      <c r="A35">
        <v>1.01325</v>
      </c>
      <c r="B35">
        <v>0.64</v>
      </c>
      <c r="C35">
        <v>78.881500000000003</v>
      </c>
      <c r="D35">
        <v>1.1313299999999999</v>
      </c>
      <c r="E35">
        <v>0.76651899999999995</v>
      </c>
      <c r="F35">
        <v>1.10683</v>
      </c>
      <c r="G35">
        <v>1.7088399999999999</v>
      </c>
      <c r="H35" s="3">
        <v>0.72405299999999995</v>
      </c>
      <c r="I35" s="3">
        <v>0.275947</v>
      </c>
      <c r="J35" s="3">
        <v>0.64</v>
      </c>
      <c r="K35" s="3">
        <v>0.36</v>
      </c>
    </row>
    <row r="36" spans="1:11" x14ac:dyDescent="0.25">
      <c r="A36">
        <v>1.01325</v>
      </c>
      <c r="B36">
        <v>0.66</v>
      </c>
      <c r="C36">
        <v>78.767300000000006</v>
      </c>
      <c r="D36">
        <v>1.11392</v>
      </c>
      <c r="E36">
        <v>0.77885700000000002</v>
      </c>
      <c r="F36">
        <v>1.09459</v>
      </c>
      <c r="G36">
        <v>1.7444500000000001</v>
      </c>
      <c r="H36" s="3">
        <v>0.73518899999999998</v>
      </c>
      <c r="I36" s="3">
        <v>0.26481100000000002</v>
      </c>
      <c r="J36" s="3">
        <v>0.66</v>
      </c>
      <c r="K36" s="3">
        <v>0.34</v>
      </c>
    </row>
    <row r="37" spans="1:11" x14ac:dyDescent="0.25">
      <c r="A37">
        <v>1.01325</v>
      </c>
      <c r="B37">
        <v>0.68</v>
      </c>
      <c r="C37">
        <v>78.6601</v>
      </c>
      <c r="D37">
        <v>1.0979699999999999</v>
      </c>
      <c r="E37">
        <v>0.79180799999999996</v>
      </c>
      <c r="F37">
        <v>1.0833699999999999</v>
      </c>
      <c r="G37">
        <v>1.78125</v>
      </c>
      <c r="H37" s="3">
        <v>0.74662099999999998</v>
      </c>
      <c r="I37" s="3">
        <v>0.25337900000000002</v>
      </c>
      <c r="J37" s="3">
        <v>0.68</v>
      </c>
      <c r="K37" s="3">
        <v>0.32</v>
      </c>
    </row>
    <row r="38" spans="1:11" x14ac:dyDescent="0.25">
      <c r="A38">
        <v>1.01325</v>
      </c>
      <c r="B38">
        <v>0.7</v>
      </c>
      <c r="C38">
        <v>78.56</v>
      </c>
      <c r="D38">
        <v>1.08338</v>
      </c>
      <c r="E38">
        <v>0.80545</v>
      </c>
      <c r="F38">
        <v>1.0730900000000001</v>
      </c>
      <c r="G38">
        <v>1.8193699999999999</v>
      </c>
      <c r="H38" s="3">
        <v>0.75836499999999996</v>
      </c>
      <c r="I38" s="3">
        <v>0.24163499999999999</v>
      </c>
      <c r="J38" s="3">
        <v>0.7</v>
      </c>
      <c r="K38" s="3">
        <v>0.3</v>
      </c>
    </row>
    <row r="39" spans="1:11" x14ac:dyDescent="0.25">
      <c r="A39">
        <v>1.01325</v>
      </c>
      <c r="B39">
        <v>0.72</v>
      </c>
      <c r="C39">
        <v>78.467399999999998</v>
      </c>
      <c r="D39">
        <v>1.0700499999999999</v>
      </c>
      <c r="E39">
        <v>0.81986899999999996</v>
      </c>
      <c r="F39">
        <v>1.06368</v>
      </c>
      <c r="G39">
        <v>1.8589899999999999</v>
      </c>
      <c r="H39" s="3">
        <v>0.77043700000000004</v>
      </c>
      <c r="I39" s="3">
        <v>0.22956299999999999</v>
      </c>
      <c r="J39" s="3">
        <v>0.72</v>
      </c>
      <c r="K39" s="3">
        <v>0.28000000000000003</v>
      </c>
    </row>
    <row r="40" spans="1:11" x14ac:dyDescent="0.25">
      <c r="A40">
        <v>1.01325</v>
      </c>
      <c r="B40">
        <v>0.74</v>
      </c>
      <c r="C40">
        <v>78.382499999999993</v>
      </c>
      <c r="D40">
        <v>1.0579099999999999</v>
      </c>
      <c r="E40">
        <v>0.83516999999999997</v>
      </c>
      <c r="F40">
        <v>1.05505</v>
      </c>
      <c r="G40">
        <v>1.90029</v>
      </c>
      <c r="H40" s="3">
        <v>0.782856</v>
      </c>
      <c r="I40" s="3">
        <v>0.217144</v>
      </c>
      <c r="J40" s="3">
        <v>0.74</v>
      </c>
      <c r="K40" s="3">
        <v>0.26</v>
      </c>
    </row>
    <row r="41" spans="1:11" x14ac:dyDescent="0.25">
      <c r="A41">
        <v>1.01325</v>
      </c>
      <c r="B41">
        <v>0.76</v>
      </c>
      <c r="C41">
        <v>78.305800000000005</v>
      </c>
      <c r="D41">
        <v>1.0468999999999999</v>
      </c>
      <c r="E41">
        <v>0.85147499999999998</v>
      </c>
      <c r="F41">
        <v>1.0471600000000001</v>
      </c>
      <c r="G41">
        <v>1.9435199999999999</v>
      </c>
      <c r="H41" s="3">
        <v>0.79564599999999996</v>
      </c>
      <c r="I41" s="3">
        <v>0.20435400000000001</v>
      </c>
      <c r="J41" s="3">
        <v>0.76</v>
      </c>
      <c r="K41" s="3">
        <v>0.24</v>
      </c>
    </row>
    <row r="42" spans="1:11" x14ac:dyDescent="0.25">
      <c r="A42">
        <v>1.01325</v>
      </c>
      <c r="B42">
        <v>0.78</v>
      </c>
      <c r="C42">
        <v>78.2376</v>
      </c>
      <c r="D42">
        <v>1.0369699999999999</v>
      </c>
      <c r="E42">
        <v>0.86892899999999995</v>
      </c>
      <c r="F42">
        <v>1.0399499999999999</v>
      </c>
      <c r="G42">
        <v>1.9889399999999999</v>
      </c>
      <c r="H42" s="3">
        <v>0.808836</v>
      </c>
      <c r="I42" s="3">
        <v>0.191164</v>
      </c>
      <c r="J42" s="3">
        <v>0.78</v>
      </c>
      <c r="K42" s="3">
        <v>0.22</v>
      </c>
    </row>
    <row r="43" spans="1:11" x14ac:dyDescent="0.25">
      <c r="A43">
        <v>1.01325</v>
      </c>
      <c r="B43">
        <v>0.8</v>
      </c>
      <c r="C43">
        <v>78.178600000000003</v>
      </c>
      <c r="D43">
        <v>1.0280800000000001</v>
      </c>
      <c r="E43">
        <v>0.88770199999999999</v>
      </c>
      <c r="F43">
        <v>1.03338</v>
      </c>
      <c r="G43">
        <v>2.03688</v>
      </c>
      <c r="H43" s="3">
        <v>0.82245999999999997</v>
      </c>
      <c r="I43" s="3">
        <v>0.17754</v>
      </c>
      <c r="J43" s="3">
        <v>0.8</v>
      </c>
      <c r="K43" s="3">
        <v>0.2</v>
      </c>
    </row>
    <row r="44" spans="1:11" x14ac:dyDescent="0.25">
      <c r="A44">
        <v>1.01325</v>
      </c>
      <c r="B44">
        <v>0.82</v>
      </c>
      <c r="C44">
        <v>78.129099999999994</v>
      </c>
      <c r="D44">
        <v>1.0202</v>
      </c>
      <c r="E44">
        <v>0.90800000000000003</v>
      </c>
      <c r="F44">
        <v>1.0274099999999999</v>
      </c>
      <c r="G44">
        <v>2.0877400000000002</v>
      </c>
      <c r="H44" s="3">
        <v>0.83655999999999997</v>
      </c>
      <c r="I44" s="3">
        <v>0.16344</v>
      </c>
      <c r="J44" s="3">
        <v>0.82</v>
      </c>
      <c r="K44" s="3">
        <v>0.18</v>
      </c>
    </row>
    <row r="45" spans="1:11" x14ac:dyDescent="0.25">
      <c r="A45">
        <v>1.01325</v>
      </c>
      <c r="B45">
        <v>0.84</v>
      </c>
      <c r="C45">
        <v>78.09</v>
      </c>
      <c r="D45">
        <v>1.01332</v>
      </c>
      <c r="E45">
        <v>0.93006900000000003</v>
      </c>
      <c r="F45">
        <v>1.02203</v>
      </c>
      <c r="G45">
        <v>2.1419800000000002</v>
      </c>
      <c r="H45" s="3">
        <v>0.85118899999999997</v>
      </c>
      <c r="I45" s="3">
        <v>0.148811</v>
      </c>
      <c r="J45" s="3">
        <v>0.84</v>
      </c>
      <c r="K45" s="3">
        <v>0.16</v>
      </c>
    </row>
    <row r="46" spans="1:11" x14ac:dyDescent="0.25">
      <c r="A46">
        <v>1.01325</v>
      </c>
      <c r="B46">
        <v>0.86</v>
      </c>
      <c r="C46">
        <v>78.062100000000001</v>
      </c>
      <c r="D46">
        <v>1.00746</v>
      </c>
      <c r="E46">
        <v>0.954206</v>
      </c>
      <c r="F46">
        <v>1.0172000000000001</v>
      </c>
      <c r="G46">
        <v>2.20017</v>
      </c>
      <c r="H46" s="3">
        <v>0.86641100000000004</v>
      </c>
      <c r="I46" s="3">
        <v>0.13358900000000001</v>
      </c>
      <c r="J46" s="3">
        <v>0.86</v>
      </c>
      <c r="K46" s="3">
        <v>0.14000000000000001</v>
      </c>
    </row>
    <row r="47" spans="1:11" x14ac:dyDescent="0.25">
      <c r="A47">
        <v>1.01325</v>
      </c>
      <c r="B47">
        <v>0.88</v>
      </c>
      <c r="C47">
        <v>78.046400000000006</v>
      </c>
      <c r="D47">
        <v>1.0026200000000001</v>
      </c>
      <c r="E47">
        <v>0.98077300000000001</v>
      </c>
      <c r="F47">
        <v>1.0129300000000001</v>
      </c>
      <c r="G47">
        <v>2.2629899999999998</v>
      </c>
      <c r="H47" s="3">
        <v>0.88230699999999995</v>
      </c>
      <c r="I47" s="3">
        <v>0.11769300000000001</v>
      </c>
      <c r="J47" s="3">
        <v>0.88</v>
      </c>
      <c r="K47" s="3">
        <v>0.12</v>
      </c>
    </row>
    <row r="48" spans="1:11" x14ac:dyDescent="0.25">
      <c r="A48">
        <v>1.01325</v>
      </c>
      <c r="B48">
        <v>0.9</v>
      </c>
      <c r="C48">
        <v>78.0441</v>
      </c>
      <c r="D48">
        <v>0.998865</v>
      </c>
      <c r="E48">
        <v>1.0102199999999999</v>
      </c>
      <c r="F48">
        <v>1.00922</v>
      </c>
      <c r="G48">
        <v>2.3312599999999999</v>
      </c>
      <c r="H48" s="3">
        <v>0.89897800000000005</v>
      </c>
      <c r="I48" s="3">
        <v>0.101022</v>
      </c>
      <c r="J48" s="3">
        <v>0.9</v>
      </c>
      <c r="K48" s="3">
        <v>0.1</v>
      </c>
    </row>
    <row r="49" spans="1:11" x14ac:dyDescent="0.25">
      <c r="A49">
        <v>1.01325</v>
      </c>
      <c r="B49">
        <v>0.92</v>
      </c>
      <c r="C49">
        <v>78.056799999999996</v>
      </c>
      <c r="D49">
        <v>0.99625300000000006</v>
      </c>
      <c r="E49">
        <v>1.0430900000000001</v>
      </c>
      <c r="F49">
        <v>1.0060800000000001</v>
      </c>
      <c r="G49">
        <v>2.4060000000000001</v>
      </c>
      <c r="H49" s="3">
        <v>0.91655200000000003</v>
      </c>
      <c r="I49" s="3">
        <v>8.3447499999999994E-2</v>
      </c>
      <c r="J49" s="3">
        <v>0.92</v>
      </c>
      <c r="K49" s="3">
        <v>0.08</v>
      </c>
    </row>
    <row r="50" spans="1:11" x14ac:dyDescent="0.25">
      <c r="A50">
        <v>1.01325</v>
      </c>
      <c r="B50">
        <v>0.94</v>
      </c>
      <c r="C50">
        <v>78.086699999999993</v>
      </c>
      <c r="D50">
        <v>0.99488799999999999</v>
      </c>
      <c r="E50">
        <v>1.08009</v>
      </c>
      <c r="F50">
        <v>1.0035400000000001</v>
      </c>
      <c r="G50">
        <v>2.4884599999999999</v>
      </c>
      <c r="H50" s="3">
        <v>0.93519399999999997</v>
      </c>
      <c r="I50" s="3">
        <v>6.4805699999999994E-2</v>
      </c>
      <c r="J50" s="3">
        <v>0.94</v>
      </c>
      <c r="K50" s="3">
        <v>0.06</v>
      </c>
    </row>
    <row r="51" spans="1:11" x14ac:dyDescent="0.25">
      <c r="A51">
        <v>1.01325</v>
      </c>
      <c r="B51">
        <v>0.96</v>
      </c>
      <c r="C51">
        <v>78.136399999999995</v>
      </c>
      <c r="D51">
        <v>0.99491300000000005</v>
      </c>
      <c r="E51">
        <v>1.1221000000000001</v>
      </c>
      <c r="F51">
        <v>1.00163</v>
      </c>
      <c r="G51">
        <v>2.5801699999999999</v>
      </c>
      <c r="H51" s="3">
        <v>0.95511599999999997</v>
      </c>
      <c r="I51" s="3">
        <v>4.4884100000000003E-2</v>
      </c>
      <c r="J51" s="3">
        <v>0.96</v>
      </c>
      <c r="K51" s="3">
        <v>0.04</v>
      </c>
    </row>
    <row r="52" spans="1:11" x14ac:dyDescent="0.25">
      <c r="A52">
        <v>1.01325</v>
      </c>
      <c r="B52">
        <v>0.98</v>
      </c>
      <c r="C52">
        <v>78.209299999999999</v>
      </c>
      <c r="D52">
        <v>0.99652600000000002</v>
      </c>
      <c r="E52">
        <v>1.17025</v>
      </c>
      <c r="F52">
        <v>1.0004200000000001</v>
      </c>
      <c r="G52">
        <v>2.6830799999999999</v>
      </c>
      <c r="H52" s="3">
        <v>0.97659499999999999</v>
      </c>
      <c r="I52" s="3">
        <v>2.3404999999999999E-2</v>
      </c>
      <c r="J52" s="3">
        <v>0.98</v>
      </c>
      <c r="K52" s="3">
        <v>0.02</v>
      </c>
    </row>
    <row r="53" spans="1:11" x14ac:dyDescent="0.25">
      <c r="A53">
        <v>1.01325</v>
      </c>
      <c r="B53">
        <v>1</v>
      </c>
      <c r="C53">
        <v>78.310299999999998</v>
      </c>
      <c r="D53">
        <v>1</v>
      </c>
      <c r="E53">
        <v>1.22603</v>
      </c>
      <c r="F53">
        <v>1</v>
      </c>
      <c r="G53">
        <v>2.7996300000000001</v>
      </c>
      <c r="H53" s="3">
        <v>1</v>
      </c>
      <c r="I53" s="3">
        <v>0</v>
      </c>
      <c r="J53" s="3">
        <v>1</v>
      </c>
      <c r="K53" s="3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CA35-4623-4299-857F-F84D8BD33DED}">
  <dimension ref="A1:R53"/>
  <sheetViews>
    <sheetView workbookViewId="0">
      <selection activeCell="X1" sqref="X1"/>
    </sheetView>
  </sheetViews>
  <sheetFormatPr defaultColWidth="8.85546875" defaultRowHeight="15" x14ac:dyDescent="0.25"/>
  <sheetData>
    <row r="1" spans="1:18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</row>
    <row r="2" spans="1:18" x14ac:dyDescent="0.25">
      <c r="A2" t="s">
        <v>23</v>
      </c>
      <c r="C2" t="s">
        <v>24</v>
      </c>
    </row>
    <row r="3" spans="1:18" x14ac:dyDescent="0.25">
      <c r="A3">
        <v>1.01325</v>
      </c>
      <c r="B3">
        <v>0</v>
      </c>
      <c r="C3">
        <v>100.018</v>
      </c>
      <c r="D3">
        <v>2.2170000000000001</v>
      </c>
      <c r="E3">
        <v>1</v>
      </c>
      <c r="F3">
        <v>1</v>
      </c>
      <c r="G3">
        <v>1</v>
      </c>
      <c r="L3">
        <v>1</v>
      </c>
      <c r="M3">
        <v>0</v>
      </c>
      <c r="N3">
        <v>1</v>
      </c>
      <c r="O3">
        <v>0</v>
      </c>
      <c r="P3">
        <v>1</v>
      </c>
    </row>
    <row r="4" spans="1:18" x14ac:dyDescent="0.25">
      <c r="A4">
        <v>1.01325</v>
      </c>
      <c r="B4">
        <v>0.02</v>
      </c>
      <c r="C4">
        <v>99.343599999999995</v>
      </c>
      <c r="D4">
        <v>2.16642</v>
      </c>
      <c r="E4">
        <v>0.97619599999999995</v>
      </c>
      <c r="F4">
        <v>1</v>
      </c>
      <c r="G4">
        <v>1</v>
      </c>
      <c r="L4">
        <v>1</v>
      </c>
      <c r="M4">
        <v>4.33283E-2</v>
      </c>
      <c r="N4">
        <v>0.95667199999999997</v>
      </c>
      <c r="O4">
        <v>0.02</v>
      </c>
      <c r="P4">
        <v>0.98</v>
      </c>
    </row>
    <row r="5" spans="1:18" x14ac:dyDescent="0.25">
      <c r="A5">
        <v>1.01325</v>
      </c>
      <c r="B5">
        <v>0.04</v>
      </c>
      <c r="C5">
        <v>98.685599999999994</v>
      </c>
      <c r="D5">
        <v>2.1179600000000001</v>
      </c>
      <c r="E5">
        <v>0.95341900000000002</v>
      </c>
      <c r="F5">
        <v>1</v>
      </c>
      <c r="G5">
        <v>1</v>
      </c>
      <c r="L5">
        <v>1</v>
      </c>
      <c r="M5">
        <v>8.4718299999999996E-2</v>
      </c>
      <c r="N5">
        <v>0.91528200000000004</v>
      </c>
      <c r="O5">
        <v>0.04</v>
      </c>
      <c r="P5">
        <v>0.96</v>
      </c>
    </row>
    <row r="6" spans="1:18" x14ac:dyDescent="0.25">
      <c r="A6">
        <v>1.01325</v>
      </c>
      <c r="B6">
        <v>0.06</v>
      </c>
      <c r="C6">
        <v>98.043099999999995</v>
      </c>
      <c r="D6">
        <v>2.07151</v>
      </c>
      <c r="E6">
        <v>0.93160600000000005</v>
      </c>
      <c r="F6">
        <v>1</v>
      </c>
      <c r="G6">
        <v>1</v>
      </c>
      <c r="L6">
        <v>1</v>
      </c>
      <c r="M6">
        <v>0.12429</v>
      </c>
      <c r="N6">
        <v>0.87570999999999999</v>
      </c>
      <c r="O6">
        <v>0.06</v>
      </c>
      <c r="P6">
        <v>0.94</v>
      </c>
    </row>
    <row r="7" spans="1:18" x14ac:dyDescent="0.25">
      <c r="A7">
        <v>1.01325</v>
      </c>
      <c r="B7">
        <v>0.08</v>
      </c>
      <c r="C7">
        <v>97.415599999999998</v>
      </c>
      <c r="D7">
        <v>2.0269300000000001</v>
      </c>
      <c r="E7">
        <v>0.91070200000000001</v>
      </c>
      <c r="F7">
        <v>1</v>
      </c>
      <c r="G7">
        <v>1</v>
      </c>
      <c r="L7">
        <v>1</v>
      </c>
      <c r="M7">
        <v>0.16215399999999999</v>
      </c>
      <c r="N7">
        <v>0.83784599999999998</v>
      </c>
      <c r="O7">
        <v>0.08</v>
      </c>
      <c r="P7">
        <v>0.92</v>
      </c>
    </row>
    <row r="8" spans="1:18" x14ac:dyDescent="0.25">
      <c r="A8">
        <v>1.01325</v>
      </c>
      <c r="B8">
        <v>0.1</v>
      </c>
      <c r="C8">
        <v>96.802300000000002</v>
      </c>
      <c r="D8">
        <v>1.98414</v>
      </c>
      <c r="E8">
        <v>0.890652</v>
      </c>
      <c r="F8">
        <v>1</v>
      </c>
      <c r="G8">
        <v>1</v>
      </c>
      <c r="L8">
        <v>1</v>
      </c>
      <c r="M8">
        <v>0.19841300000000001</v>
      </c>
      <c r="N8">
        <v>0.80158700000000005</v>
      </c>
      <c r="O8">
        <v>0.1</v>
      </c>
      <c r="P8">
        <v>0.9</v>
      </c>
    </row>
    <row r="9" spans="1:18" x14ac:dyDescent="0.25">
      <c r="A9">
        <v>1.01325</v>
      </c>
      <c r="B9">
        <v>0.12</v>
      </c>
      <c r="C9">
        <v>96.2029</v>
      </c>
      <c r="D9">
        <v>1.94302</v>
      </c>
      <c r="E9">
        <v>0.87140799999999996</v>
      </c>
      <c r="F9">
        <v>1</v>
      </c>
      <c r="G9">
        <v>1</v>
      </c>
      <c r="L9">
        <v>1</v>
      </c>
      <c r="M9">
        <v>0.23316100000000001</v>
      </c>
      <c r="N9">
        <v>0.76683900000000005</v>
      </c>
      <c r="O9">
        <v>0.12</v>
      </c>
      <c r="P9">
        <v>0.88</v>
      </c>
    </row>
    <row r="10" spans="1:18" x14ac:dyDescent="0.25">
      <c r="A10">
        <v>1.01325</v>
      </c>
      <c r="B10">
        <v>0.14000000000000001</v>
      </c>
      <c r="C10">
        <v>95.616600000000005</v>
      </c>
      <c r="D10">
        <v>1.9034800000000001</v>
      </c>
      <c r="E10">
        <v>0.85292299999999999</v>
      </c>
      <c r="F10">
        <v>1</v>
      </c>
      <c r="G10">
        <v>1</v>
      </c>
      <c r="L10">
        <v>1</v>
      </c>
      <c r="M10">
        <v>0.266486</v>
      </c>
      <c r="N10">
        <v>0.733514</v>
      </c>
      <c r="O10">
        <v>0.14000000000000001</v>
      </c>
      <c r="P10">
        <v>0.86</v>
      </c>
    </row>
    <row r="11" spans="1:18" x14ac:dyDescent="0.25">
      <c r="A11">
        <v>1.01325</v>
      </c>
      <c r="B11">
        <v>0.16</v>
      </c>
      <c r="C11">
        <v>95.043099999999995</v>
      </c>
      <c r="D11">
        <v>1.86544</v>
      </c>
      <c r="E11">
        <v>0.83515600000000001</v>
      </c>
      <c r="F11">
        <v>1</v>
      </c>
      <c r="G11">
        <v>1</v>
      </c>
      <c r="L11">
        <v>1</v>
      </c>
      <c r="M11">
        <v>0.29846899999999998</v>
      </c>
      <c r="N11">
        <v>0.70153100000000002</v>
      </c>
      <c r="O11">
        <v>0.16</v>
      </c>
      <c r="P11">
        <v>0.84</v>
      </c>
    </row>
    <row r="12" spans="1:18" x14ac:dyDescent="0.25">
      <c r="A12">
        <v>1.01325</v>
      </c>
      <c r="B12">
        <v>0.18</v>
      </c>
      <c r="C12">
        <v>94.481800000000007</v>
      </c>
      <c r="D12">
        <v>1.82881</v>
      </c>
      <c r="E12">
        <v>0.81806699999999999</v>
      </c>
      <c r="F12">
        <v>1</v>
      </c>
      <c r="G12">
        <v>1</v>
      </c>
      <c r="L12">
        <v>1</v>
      </c>
      <c r="M12">
        <v>0.32918599999999998</v>
      </c>
      <c r="N12">
        <v>0.67081500000000005</v>
      </c>
      <c r="O12">
        <v>0.18</v>
      </c>
      <c r="P12">
        <v>0.82</v>
      </c>
    </row>
    <row r="13" spans="1:18" x14ac:dyDescent="0.25">
      <c r="A13">
        <v>1.01325</v>
      </c>
      <c r="B13">
        <v>0.2</v>
      </c>
      <c r="C13">
        <v>93.932299999999998</v>
      </c>
      <c r="D13">
        <v>1.7935300000000001</v>
      </c>
      <c r="E13">
        <v>0.80161899999999997</v>
      </c>
      <c r="F13">
        <v>1</v>
      </c>
      <c r="G13">
        <v>1</v>
      </c>
      <c r="L13">
        <v>1</v>
      </c>
      <c r="M13">
        <v>0.358705</v>
      </c>
      <c r="N13">
        <v>0.64129499999999995</v>
      </c>
      <c r="O13">
        <v>0.2</v>
      </c>
      <c r="P13">
        <v>0.8</v>
      </c>
    </row>
    <row r="14" spans="1:18" x14ac:dyDescent="0.25">
      <c r="A14">
        <v>1.01325</v>
      </c>
      <c r="B14">
        <v>0.22</v>
      </c>
      <c r="C14">
        <v>93.394199999999998</v>
      </c>
      <c r="D14">
        <v>1.75952</v>
      </c>
      <c r="E14">
        <v>0.78577900000000001</v>
      </c>
      <c r="F14">
        <v>1</v>
      </c>
      <c r="G14">
        <v>1</v>
      </c>
      <c r="L14">
        <v>1</v>
      </c>
      <c r="M14">
        <v>0.38709300000000002</v>
      </c>
      <c r="N14">
        <v>0.61290699999999998</v>
      </c>
      <c r="O14">
        <v>0.22</v>
      </c>
      <c r="P14">
        <v>0.78</v>
      </c>
    </row>
    <row r="15" spans="1:18" x14ac:dyDescent="0.25">
      <c r="A15">
        <v>1.01325</v>
      </c>
      <c r="B15">
        <v>0.24</v>
      </c>
      <c r="C15">
        <v>92.867000000000004</v>
      </c>
      <c r="D15">
        <v>1.72671</v>
      </c>
      <c r="E15">
        <v>0.77051400000000003</v>
      </c>
      <c r="F15">
        <v>1</v>
      </c>
      <c r="G15">
        <v>1</v>
      </c>
      <c r="L15">
        <v>1</v>
      </c>
      <c r="M15">
        <v>0.41440900000000003</v>
      </c>
      <c r="N15">
        <v>0.58559099999999997</v>
      </c>
      <c r="O15">
        <v>0.24</v>
      </c>
      <c r="P15">
        <v>0.76</v>
      </c>
    </row>
    <row r="16" spans="1:18" x14ac:dyDescent="0.25">
      <c r="A16">
        <v>1.01325</v>
      </c>
      <c r="B16">
        <v>0.26</v>
      </c>
      <c r="C16">
        <v>92.350399999999993</v>
      </c>
      <c r="D16">
        <v>1.6950499999999999</v>
      </c>
      <c r="E16">
        <v>0.75579499999999999</v>
      </c>
      <c r="F16">
        <v>1</v>
      </c>
      <c r="G16">
        <v>1</v>
      </c>
      <c r="L16">
        <v>1</v>
      </c>
      <c r="M16">
        <v>0.44071100000000002</v>
      </c>
      <c r="N16">
        <v>0.55928900000000004</v>
      </c>
      <c r="O16">
        <v>0.26</v>
      </c>
      <c r="P16">
        <v>0.74</v>
      </c>
    </row>
    <row r="17" spans="1:16" x14ac:dyDescent="0.25">
      <c r="A17">
        <v>1.01325</v>
      </c>
      <c r="B17">
        <v>0.28000000000000003</v>
      </c>
      <c r="C17">
        <v>91.843999999999994</v>
      </c>
      <c r="D17">
        <v>1.66448</v>
      </c>
      <c r="E17">
        <v>0.741595</v>
      </c>
      <c r="F17">
        <v>1</v>
      </c>
      <c r="G17">
        <v>1</v>
      </c>
      <c r="L17">
        <v>1</v>
      </c>
      <c r="M17">
        <v>0.46605200000000002</v>
      </c>
      <c r="N17">
        <v>0.53394799999999998</v>
      </c>
      <c r="O17">
        <v>0.28000000000000003</v>
      </c>
      <c r="P17">
        <v>0.72</v>
      </c>
    </row>
    <row r="18" spans="1:16" x14ac:dyDescent="0.25">
      <c r="A18">
        <v>1.01325</v>
      </c>
      <c r="B18">
        <v>0.3</v>
      </c>
      <c r="C18">
        <v>91.347399999999993</v>
      </c>
      <c r="D18">
        <v>1.6349400000000001</v>
      </c>
      <c r="E18">
        <v>0.72788600000000003</v>
      </c>
      <c r="F18">
        <v>1</v>
      </c>
      <c r="G18">
        <v>1</v>
      </c>
      <c r="L18">
        <v>1</v>
      </c>
      <c r="M18">
        <v>0.490479</v>
      </c>
      <c r="N18">
        <v>0.509521</v>
      </c>
      <c r="O18">
        <v>0.3</v>
      </c>
      <c r="P18">
        <v>0.7</v>
      </c>
    </row>
    <row r="19" spans="1:16" x14ac:dyDescent="0.25">
      <c r="A19">
        <v>1.01325</v>
      </c>
      <c r="B19">
        <v>0.32</v>
      </c>
      <c r="C19">
        <v>90.860299999999995</v>
      </c>
      <c r="D19">
        <v>1.6063799999999999</v>
      </c>
      <c r="E19">
        <v>0.714646</v>
      </c>
      <c r="F19">
        <v>1</v>
      </c>
      <c r="G19">
        <v>1</v>
      </c>
      <c r="L19">
        <v>1</v>
      </c>
      <c r="M19">
        <v>0.51404000000000005</v>
      </c>
      <c r="N19">
        <v>0.48596</v>
      </c>
      <c r="O19">
        <v>0.32</v>
      </c>
      <c r="P19">
        <v>0.68</v>
      </c>
    </row>
    <row r="20" spans="1:16" x14ac:dyDescent="0.25">
      <c r="A20">
        <v>1.01325</v>
      </c>
      <c r="B20">
        <v>0.34</v>
      </c>
      <c r="C20">
        <v>90.382300000000001</v>
      </c>
      <c r="D20">
        <v>1.5787599999999999</v>
      </c>
      <c r="E20">
        <v>0.70184999999999997</v>
      </c>
      <c r="F20">
        <v>1</v>
      </c>
      <c r="G20">
        <v>1</v>
      </c>
      <c r="L20">
        <v>1</v>
      </c>
      <c r="M20">
        <v>0.53677900000000001</v>
      </c>
      <c r="N20">
        <v>0.46322099999999999</v>
      </c>
      <c r="O20">
        <v>0.34</v>
      </c>
      <c r="P20">
        <v>0.66</v>
      </c>
    </row>
    <row r="21" spans="1:16" x14ac:dyDescent="0.25">
      <c r="A21">
        <v>1.01325</v>
      </c>
      <c r="B21">
        <v>0.36</v>
      </c>
      <c r="C21">
        <v>89.913300000000007</v>
      </c>
      <c r="D21">
        <v>1.5520400000000001</v>
      </c>
      <c r="E21">
        <v>0.68947899999999995</v>
      </c>
      <c r="F21">
        <v>1</v>
      </c>
      <c r="G21">
        <v>1</v>
      </c>
      <c r="L21">
        <v>1</v>
      </c>
      <c r="M21">
        <v>0.55873300000000004</v>
      </c>
      <c r="N21">
        <v>0.44126700000000002</v>
      </c>
      <c r="O21">
        <v>0.36</v>
      </c>
      <c r="P21">
        <v>0.64</v>
      </c>
    </row>
    <row r="22" spans="1:16" x14ac:dyDescent="0.25">
      <c r="A22">
        <v>1.01325</v>
      </c>
      <c r="B22">
        <v>0.38</v>
      </c>
      <c r="C22">
        <v>89.452799999999996</v>
      </c>
      <c r="D22">
        <v>1.52616</v>
      </c>
      <c r="E22">
        <v>0.677512</v>
      </c>
      <c r="F22">
        <v>1</v>
      </c>
      <c r="G22">
        <v>1</v>
      </c>
      <c r="L22">
        <v>1</v>
      </c>
      <c r="M22">
        <v>0.57994199999999996</v>
      </c>
      <c r="N22">
        <v>0.42005799999999999</v>
      </c>
      <c r="O22">
        <v>0.38</v>
      </c>
      <c r="P22">
        <v>0.62</v>
      </c>
    </row>
    <row r="23" spans="1:16" x14ac:dyDescent="0.25">
      <c r="A23">
        <v>1.01325</v>
      </c>
      <c r="B23">
        <v>0.4</v>
      </c>
      <c r="C23">
        <v>89.000699999999995</v>
      </c>
      <c r="D23">
        <v>1.5011099999999999</v>
      </c>
      <c r="E23">
        <v>0.66593000000000002</v>
      </c>
      <c r="F23">
        <v>1</v>
      </c>
      <c r="G23">
        <v>1</v>
      </c>
      <c r="L23">
        <v>1</v>
      </c>
      <c r="M23">
        <v>0.60044200000000003</v>
      </c>
      <c r="N23">
        <v>0.39955800000000002</v>
      </c>
      <c r="O23">
        <v>0.4</v>
      </c>
      <c r="P23">
        <v>0.6</v>
      </c>
    </row>
    <row r="24" spans="1:16" x14ac:dyDescent="0.25">
      <c r="A24">
        <v>1.01325</v>
      </c>
      <c r="B24">
        <v>0.42</v>
      </c>
      <c r="C24">
        <v>88.556600000000003</v>
      </c>
      <c r="D24">
        <v>1.47682</v>
      </c>
      <c r="E24">
        <v>0.65471599999999996</v>
      </c>
      <c r="F24">
        <v>1</v>
      </c>
      <c r="G24">
        <v>1</v>
      </c>
      <c r="L24">
        <v>1</v>
      </c>
      <c r="M24">
        <v>0.62026499999999996</v>
      </c>
      <c r="N24">
        <v>0.37973499999999999</v>
      </c>
      <c r="O24">
        <v>0.42</v>
      </c>
      <c r="P24">
        <v>0.57999999999999996</v>
      </c>
    </row>
    <row r="25" spans="1:16" x14ac:dyDescent="0.25">
      <c r="A25">
        <v>1.01325</v>
      </c>
      <c r="B25">
        <v>0.44</v>
      </c>
      <c r="C25">
        <v>88.120400000000004</v>
      </c>
      <c r="D25">
        <v>1.4532799999999999</v>
      </c>
      <c r="E25">
        <v>0.64385199999999998</v>
      </c>
      <c r="F25">
        <v>1</v>
      </c>
      <c r="G25">
        <v>1</v>
      </c>
      <c r="L25">
        <v>1</v>
      </c>
      <c r="M25">
        <v>0.63944299999999998</v>
      </c>
      <c r="N25">
        <v>0.36055700000000002</v>
      </c>
      <c r="O25">
        <v>0.44</v>
      </c>
      <c r="P25">
        <v>0.56000000000000005</v>
      </c>
    </row>
    <row r="26" spans="1:16" x14ac:dyDescent="0.25">
      <c r="A26">
        <v>1.01325</v>
      </c>
      <c r="B26">
        <v>0.46</v>
      </c>
      <c r="C26">
        <v>87.691599999999994</v>
      </c>
      <c r="D26">
        <v>1.43045</v>
      </c>
      <c r="E26">
        <v>0.633324</v>
      </c>
      <c r="F26">
        <v>1</v>
      </c>
      <c r="G26">
        <v>1</v>
      </c>
      <c r="L26">
        <v>1</v>
      </c>
      <c r="M26">
        <v>0.65800499999999995</v>
      </c>
      <c r="N26">
        <v>0.34199499999999999</v>
      </c>
      <c r="O26">
        <v>0.46</v>
      </c>
      <c r="P26">
        <v>0.54</v>
      </c>
    </row>
    <row r="27" spans="1:16" x14ac:dyDescent="0.25">
      <c r="A27">
        <v>1.01325</v>
      </c>
      <c r="B27">
        <v>0.48</v>
      </c>
      <c r="C27">
        <v>87.270200000000003</v>
      </c>
      <c r="D27">
        <v>1.40829</v>
      </c>
      <c r="E27">
        <v>0.62311499999999997</v>
      </c>
      <c r="F27">
        <v>1</v>
      </c>
      <c r="G27">
        <v>1</v>
      </c>
      <c r="L27">
        <v>1</v>
      </c>
      <c r="M27">
        <v>0.67598000000000003</v>
      </c>
      <c r="N27">
        <v>0.32401999999999997</v>
      </c>
      <c r="O27">
        <v>0.48</v>
      </c>
      <c r="P27">
        <v>0.52</v>
      </c>
    </row>
    <row r="28" spans="1:16" x14ac:dyDescent="0.25">
      <c r="A28">
        <v>1.01325</v>
      </c>
      <c r="B28">
        <v>0.5</v>
      </c>
      <c r="C28">
        <v>86.855900000000005</v>
      </c>
      <c r="D28">
        <v>1.38679</v>
      </c>
      <c r="E28">
        <v>0.61321300000000001</v>
      </c>
      <c r="F28">
        <v>1</v>
      </c>
      <c r="G28">
        <v>1</v>
      </c>
      <c r="L28">
        <v>1</v>
      </c>
      <c r="M28">
        <v>0.69339300000000004</v>
      </c>
      <c r="N28">
        <v>0.30660700000000002</v>
      </c>
      <c r="O28">
        <v>0.5</v>
      </c>
      <c r="P28">
        <v>0.5</v>
      </c>
    </row>
    <row r="29" spans="1:16" x14ac:dyDescent="0.25">
      <c r="A29">
        <v>1.01325</v>
      </c>
      <c r="B29">
        <v>0.52</v>
      </c>
      <c r="C29">
        <v>86.448499999999996</v>
      </c>
      <c r="D29">
        <v>1.3658999999999999</v>
      </c>
      <c r="E29">
        <v>0.60360499999999995</v>
      </c>
      <c r="F29">
        <v>1</v>
      </c>
      <c r="G29">
        <v>1</v>
      </c>
      <c r="L29">
        <v>1</v>
      </c>
      <c r="M29">
        <v>0.71026999999999996</v>
      </c>
      <c r="N29">
        <v>0.28972999999999999</v>
      </c>
      <c r="O29">
        <v>0.52</v>
      </c>
      <c r="P29">
        <v>0.48</v>
      </c>
    </row>
    <row r="30" spans="1:16" x14ac:dyDescent="0.25">
      <c r="A30">
        <v>1.01325</v>
      </c>
      <c r="B30">
        <v>0.54</v>
      </c>
      <c r="C30">
        <v>86.047700000000006</v>
      </c>
      <c r="D30">
        <v>1.34562</v>
      </c>
      <c r="E30">
        <v>0.59427700000000006</v>
      </c>
      <c r="F30">
        <v>1</v>
      </c>
      <c r="G30">
        <v>1</v>
      </c>
      <c r="L30">
        <v>1</v>
      </c>
      <c r="M30">
        <v>0.72663299999999997</v>
      </c>
      <c r="N30">
        <v>0.27336700000000003</v>
      </c>
      <c r="O30">
        <v>0.54</v>
      </c>
      <c r="P30">
        <v>0.46</v>
      </c>
    </row>
    <row r="31" spans="1:16" x14ac:dyDescent="0.25">
      <c r="A31">
        <v>1.01325</v>
      </c>
      <c r="B31">
        <v>0.56000000000000005</v>
      </c>
      <c r="C31">
        <v>85.653499999999994</v>
      </c>
      <c r="D31">
        <v>1.3259000000000001</v>
      </c>
      <c r="E31">
        <v>0.58521800000000002</v>
      </c>
      <c r="F31">
        <v>1</v>
      </c>
      <c r="G31">
        <v>1</v>
      </c>
      <c r="L31">
        <v>1</v>
      </c>
      <c r="M31">
        <v>0.74250400000000005</v>
      </c>
      <c r="N31">
        <v>0.257496</v>
      </c>
      <c r="O31">
        <v>0.56000000000000005</v>
      </c>
      <c r="P31">
        <v>0.44</v>
      </c>
    </row>
    <row r="32" spans="1:16" x14ac:dyDescent="0.25">
      <c r="A32">
        <v>1.01325</v>
      </c>
      <c r="B32">
        <v>0.57999999999999996</v>
      </c>
      <c r="C32">
        <v>85.265600000000006</v>
      </c>
      <c r="D32">
        <v>1.30674</v>
      </c>
      <c r="E32">
        <v>0.57641799999999999</v>
      </c>
      <c r="F32">
        <v>1</v>
      </c>
      <c r="G32">
        <v>1</v>
      </c>
      <c r="L32">
        <v>1</v>
      </c>
      <c r="M32">
        <v>0.75790400000000002</v>
      </c>
      <c r="N32">
        <v>0.24209600000000001</v>
      </c>
      <c r="O32">
        <v>0.57999999999999996</v>
      </c>
      <c r="P32">
        <v>0.42</v>
      </c>
    </row>
    <row r="33" spans="1:16" x14ac:dyDescent="0.25">
      <c r="A33">
        <v>1.01325</v>
      </c>
      <c r="B33">
        <v>0.6</v>
      </c>
      <c r="C33">
        <v>84.883799999999994</v>
      </c>
      <c r="D33">
        <v>1.28809</v>
      </c>
      <c r="E33">
        <v>0.56786400000000004</v>
      </c>
      <c r="F33">
        <v>1</v>
      </c>
      <c r="G33">
        <v>1</v>
      </c>
      <c r="L33">
        <v>1</v>
      </c>
      <c r="M33">
        <v>0.77285400000000004</v>
      </c>
      <c r="N33">
        <v>0.22714599999999999</v>
      </c>
      <c r="O33">
        <v>0.6</v>
      </c>
      <c r="P33">
        <v>0.4</v>
      </c>
    </row>
    <row r="34" spans="1:16" x14ac:dyDescent="0.25">
      <c r="A34">
        <v>1.01325</v>
      </c>
      <c r="B34">
        <v>0.62</v>
      </c>
      <c r="C34">
        <v>84.507900000000006</v>
      </c>
      <c r="D34">
        <v>1.26996</v>
      </c>
      <c r="E34">
        <v>0.55954599999999999</v>
      </c>
      <c r="F34">
        <v>1</v>
      </c>
      <c r="G34">
        <v>1</v>
      </c>
      <c r="L34">
        <v>1</v>
      </c>
      <c r="M34">
        <v>0.78737199999999996</v>
      </c>
      <c r="N34">
        <v>0.21262800000000001</v>
      </c>
      <c r="O34">
        <v>0.62</v>
      </c>
      <c r="P34">
        <v>0.38</v>
      </c>
    </row>
    <row r="35" spans="1:16" x14ac:dyDescent="0.25">
      <c r="A35">
        <v>1.01325</v>
      </c>
      <c r="B35">
        <v>0.64</v>
      </c>
      <c r="C35">
        <v>84.137799999999999</v>
      </c>
      <c r="D35">
        <v>1.25231</v>
      </c>
      <c r="E35">
        <v>0.551458</v>
      </c>
      <c r="F35">
        <v>1</v>
      </c>
      <c r="G35">
        <v>1</v>
      </c>
      <c r="L35">
        <v>1</v>
      </c>
      <c r="M35">
        <v>0.80147500000000005</v>
      </c>
      <c r="N35">
        <v>0.19852500000000001</v>
      </c>
      <c r="O35">
        <v>0.64</v>
      </c>
      <c r="P35">
        <v>0.36</v>
      </c>
    </row>
    <row r="36" spans="1:16" x14ac:dyDescent="0.25">
      <c r="A36">
        <v>1.01325</v>
      </c>
      <c r="B36">
        <v>0.66</v>
      </c>
      <c r="C36">
        <v>83.773300000000006</v>
      </c>
      <c r="D36">
        <v>1.23512</v>
      </c>
      <c r="E36">
        <v>0.54358799999999996</v>
      </c>
      <c r="F36">
        <v>1</v>
      </c>
      <c r="G36">
        <v>1</v>
      </c>
      <c r="L36">
        <v>1</v>
      </c>
      <c r="M36">
        <v>0.81518000000000002</v>
      </c>
      <c r="N36">
        <v>0.18482000000000001</v>
      </c>
      <c r="O36">
        <v>0.66</v>
      </c>
      <c r="P36">
        <v>0.34</v>
      </c>
    </row>
    <row r="37" spans="1:16" x14ac:dyDescent="0.25">
      <c r="A37">
        <v>1.01325</v>
      </c>
      <c r="B37">
        <v>0.68</v>
      </c>
      <c r="C37">
        <v>83.414299999999997</v>
      </c>
      <c r="D37">
        <v>1.2183900000000001</v>
      </c>
      <c r="E37">
        <v>0.53592899999999999</v>
      </c>
      <c r="F37">
        <v>1</v>
      </c>
      <c r="G37">
        <v>1</v>
      </c>
      <c r="L37">
        <v>1</v>
      </c>
      <c r="M37">
        <v>0.82850299999999999</v>
      </c>
      <c r="N37">
        <v>0.17149700000000001</v>
      </c>
      <c r="O37">
        <v>0.68</v>
      </c>
      <c r="P37">
        <v>0.32</v>
      </c>
    </row>
    <row r="38" spans="1:16" x14ac:dyDescent="0.25">
      <c r="A38">
        <v>1.01325</v>
      </c>
      <c r="B38">
        <v>0.7</v>
      </c>
      <c r="C38">
        <v>83.060699999999997</v>
      </c>
      <c r="D38">
        <v>1.20208</v>
      </c>
      <c r="E38">
        <v>0.52847100000000002</v>
      </c>
      <c r="F38">
        <v>1</v>
      </c>
      <c r="G38">
        <v>1</v>
      </c>
      <c r="L38">
        <v>1</v>
      </c>
      <c r="M38">
        <v>0.84145899999999996</v>
      </c>
      <c r="N38">
        <v>0.15854199999999999</v>
      </c>
      <c r="O38">
        <v>0.7</v>
      </c>
      <c r="P38">
        <v>0.3</v>
      </c>
    </row>
    <row r="39" spans="1:16" x14ac:dyDescent="0.25">
      <c r="A39">
        <v>1.01325</v>
      </c>
      <c r="B39">
        <v>0.72</v>
      </c>
      <c r="C39">
        <v>82.712199999999996</v>
      </c>
      <c r="D39">
        <v>1.1861999999999999</v>
      </c>
      <c r="E39">
        <v>0.52120900000000003</v>
      </c>
      <c r="F39">
        <v>1</v>
      </c>
      <c r="G39">
        <v>1</v>
      </c>
      <c r="L39">
        <v>1</v>
      </c>
      <c r="M39">
        <v>0.85406099999999996</v>
      </c>
      <c r="N39">
        <v>0.14593900000000001</v>
      </c>
      <c r="O39">
        <v>0.72</v>
      </c>
      <c r="P39">
        <v>0.28000000000000003</v>
      </c>
    </row>
    <row r="40" spans="1:16" x14ac:dyDescent="0.25">
      <c r="A40">
        <v>1.01325</v>
      </c>
      <c r="B40">
        <v>0.74</v>
      </c>
      <c r="C40">
        <v>82.368799999999993</v>
      </c>
      <c r="D40">
        <v>1.1707099999999999</v>
      </c>
      <c r="E40">
        <v>0.51413399999999998</v>
      </c>
      <c r="F40">
        <v>1</v>
      </c>
      <c r="G40">
        <v>1</v>
      </c>
      <c r="L40">
        <v>1</v>
      </c>
      <c r="M40">
        <v>0.86632500000000001</v>
      </c>
      <c r="N40">
        <v>0.13367499999999999</v>
      </c>
      <c r="O40">
        <v>0.74</v>
      </c>
      <c r="P40">
        <v>0.26</v>
      </c>
    </row>
    <row r="41" spans="1:16" x14ac:dyDescent="0.25">
      <c r="A41">
        <v>1.01325</v>
      </c>
      <c r="B41">
        <v>0.76</v>
      </c>
      <c r="C41">
        <v>82.030299999999997</v>
      </c>
      <c r="D41">
        <v>1.15561</v>
      </c>
      <c r="E41">
        <v>0.507239</v>
      </c>
      <c r="F41">
        <v>1</v>
      </c>
      <c r="G41">
        <v>1</v>
      </c>
      <c r="L41">
        <v>1</v>
      </c>
      <c r="M41">
        <v>0.87826300000000002</v>
      </c>
      <c r="N41">
        <v>0.121737</v>
      </c>
      <c r="O41">
        <v>0.76</v>
      </c>
      <c r="P41">
        <v>0.24</v>
      </c>
    </row>
    <row r="42" spans="1:16" x14ac:dyDescent="0.25">
      <c r="A42">
        <v>1.01325</v>
      </c>
      <c r="B42">
        <v>0.78</v>
      </c>
      <c r="C42">
        <v>81.696600000000004</v>
      </c>
      <c r="D42">
        <v>1.1408799999999999</v>
      </c>
      <c r="E42">
        <v>0.50051800000000002</v>
      </c>
      <c r="F42">
        <v>1</v>
      </c>
      <c r="G42">
        <v>1</v>
      </c>
      <c r="L42">
        <v>1</v>
      </c>
      <c r="M42">
        <v>0.88988599999999995</v>
      </c>
      <c r="N42">
        <v>0.110114</v>
      </c>
      <c r="O42">
        <v>0.78</v>
      </c>
      <c r="P42">
        <v>0.22</v>
      </c>
    </row>
    <row r="43" spans="1:16" x14ac:dyDescent="0.25">
      <c r="A43">
        <v>1.01325</v>
      </c>
      <c r="B43">
        <v>0.8</v>
      </c>
      <c r="C43">
        <v>81.367599999999996</v>
      </c>
      <c r="D43">
        <v>1.1265099999999999</v>
      </c>
      <c r="E43">
        <v>0.49396400000000001</v>
      </c>
      <c r="F43">
        <v>1</v>
      </c>
      <c r="G43">
        <v>1</v>
      </c>
      <c r="L43">
        <v>1</v>
      </c>
      <c r="M43">
        <v>0.90120699999999998</v>
      </c>
      <c r="N43">
        <v>9.8792699999999997E-2</v>
      </c>
      <c r="O43">
        <v>0.8</v>
      </c>
      <c r="P43">
        <v>0.2</v>
      </c>
    </row>
    <row r="44" spans="1:16" x14ac:dyDescent="0.25">
      <c r="A44">
        <v>1.01325</v>
      </c>
      <c r="B44">
        <v>0.82</v>
      </c>
      <c r="C44">
        <v>81.043099999999995</v>
      </c>
      <c r="D44">
        <v>1.11249</v>
      </c>
      <c r="E44">
        <v>0.48757099999999998</v>
      </c>
      <c r="F44">
        <v>1</v>
      </c>
      <c r="G44">
        <v>1</v>
      </c>
      <c r="L44">
        <v>1</v>
      </c>
      <c r="M44">
        <v>0.91223699999999996</v>
      </c>
      <c r="N44">
        <v>8.7762800000000002E-2</v>
      </c>
      <c r="O44">
        <v>0.82</v>
      </c>
      <c r="P44">
        <v>0.18</v>
      </c>
    </row>
    <row r="45" spans="1:16" x14ac:dyDescent="0.25">
      <c r="A45">
        <v>1.01325</v>
      </c>
      <c r="B45">
        <v>0.84</v>
      </c>
      <c r="C45">
        <v>80.723100000000002</v>
      </c>
      <c r="D45">
        <v>1.0987899999999999</v>
      </c>
      <c r="E45">
        <v>0.48133399999999998</v>
      </c>
      <c r="F45">
        <v>1</v>
      </c>
      <c r="G45">
        <v>1</v>
      </c>
      <c r="L45">
        <v>1</v>
      </c>
      <c r="M45">
        <v>0.922987</v>
      </c>
      <c r="N45">
        <v>7.7013499999999999E-2</v>
      </c>
      <c r="O45">
        <v>0.84</v>
      </c>
      <c r="P45">
        <v>0.16</v>
      </c>
    </row>
    <row r="46" spans="1:16" x14ac:dyDescent="0.25">
      <c r="A46">
        <v>1.01325</v>
      </c>
      <c r="B46">
        <v>0.86</v>
      </c>
      <c r="C46">
        <v>80.407399999999996</v>
      </c>
      <c r="D46">
        <v>1.0854299999999999</v>
      </c>
      <c r="E46">
        <v>0.475248</v>
      </c>
      <c r="F46">
        <v>1</v>
      </c>
      <c r="G46">
        <v>1</v>
      </c>
      <c r="L46">
        <v>1</v>
      </c>
      <c r="M46">
        <v>0.93346499999999999</v>
      </c>
      <c r="N46">
        <v>6.6534599999999999E-2</v>
      </c>
      <c r="O46">
        <v>0.86</v>
      </c>
      <c r="P46">
        <v>0.14000000000000001</v>
      </c>
    </row>
    <row r="47" spans="1:16" x14ac:dyDescent="0.25">
      <c r="A47">
        <v>1.01325</v>
      </c>
      <c r="B47">
        <v>0.88</v>
      </c>
      <c r="C47">
        <v>80.0959</v>
      </c>
      <c r="D47">
        <v>1.07237</v>
      </c>
      <c r="E47">
        <v>0.469306</v>
      </c>
      <c r="F47">
        <v>1</v>
      </c>
      <c r="G47">
        <v>1</v>
      </c>
      <c r="L47">
        <v>1</v>
      </c>
      <c r="M47">
        <v>0.94368300000000005</v>
      </c>
      <c r="N47">
        <v>5.6316699999999997E-2</v>
      </c>
      <c r="O47">
        <v>0.88</v>
      </c>
      <c r="P47">
        <v>0.12</v>
      </c>
    </row>
    <row r="48" spans="1:16" x14ac:dyDescent="0.25">
      <c r="A48">
        <v>1.01325</v>
      </c>
      <c r="B48">
        <v>0.9</v>
      </c>
      <c r="C48">
        <v>79.788499999999999</v>
      </c>
      <c r="D48">
        <v>1.0596099999999999</v>
      </c>
      <c r="E48">
        <v>0.46350400000000003</v>
      </c>
      <c r="F48">
        <v>1</v>
      </c>
      <c r="G48">
        <v>1</v>
      </c>
      <c r="L48">
        <v>1</v>
      </c>
      <c r="M48">
        <v>0.95365</v>
      </c>
      <c r="N48">
        <v>4.63504E-2</v>
      </c>
      <c r="O48">
        <v>0.9</v>
      </c>
      <c r="P48">
        <v>0.1</v>
      </c>
    </row>
    <row r="49" spans="1:16" x14ac:dyDescent="0.25">
      <c r="A49">
        <v>1.01325</v>
      </c>
      <c r="B49">
        <v>0.92</v>
      </c>
      <c r="C49">
        <v>79.485200000000006</v>
      </c>
      <c r="D49">
        <v>1.04715</v>
      </c>
      <c r="E49">
        <v>0.45783699999999999</v>
      </c>
      <c r="F49">
        <v>1</v>
      </c>
      <c r="G49">
        <v>1</v>
      </c>
      <c r="L49">
        <v>1</v>
      </c>
      <c r="M49">
        <v>0.96337300000000003</v>
      </c>
      <c r="N49">
        <v>3.6626899999999997E-2</v>
      </c>
      <c r="O49">
        <v>0.92</v>
      </c>
      <c r="P49">
        <v>0.08</v>
      </c>
    </row>
    <row r="50" spans="1:16" x14ac:dyDescent="0.25">
      <c r="A50">
        <v>1.01325</v>
      </c>
      <c r="B50">
        <v>0.94</v>
      </c>
      <c r="C50">
        <v>79.1858</v>
      </c>
      <c r="D50">
        <v>1.0349600000000001</v>
      </c>
      <c r="E50">
        <v>0.45230100000000001</v>
      </c>
      <c r="F50">
        <v>1</v>
      </c>
      <c r="G50">
        <v>1</v>
      </c>
      <c r="L50">
        <v>1</v>
      </c>
      <c r="M50">
        <v>0.972862</v>
      </c>
      <c r="N50">
        <v>2.7137999999999999E-2</v>
      </c>
      <c r="O50">
        <v>0.94</v>
      </c>
      <c r="P50">
        <v>0.06</v>
      </c>
    </row>
    <row r="51" spans="1:16" x14ac:dyDescent="0.25">
      <c r="A51">
        <v>1.01325</v>
      </c>
      <c r="B51">
        <v>0.96</v>
      </c>
      <c r="C51">
        <v>78.890299999999996</v>
      </c>
      <c r="D51">
        <v>1.02305</v>
      </c>
      <c r="E51">
        <v>0.44689200000000001</v>
      </c>
      <c r="F51">
        <v>1</v>
      </c>
      <c r="G51">
        <v>1</v>
      </c>
      <c r="L51">
        <v>1</v>
      </c>
      <c r="M51">
        <v>0.982124</v>
      </c>
      <c r="N51">
        <v>1.7875599999999998E-2</v>
      </c>
      <c r="O51">
        <v>0.96</v>
      </c>
      <c r="P51">
        <v>0.04</v>
      </c>
    </row>
    <row r="52" spans="1:16" x14ac:dyDescent="0.25">
      <c r="A52">
        <v>1.01325</v>
      </c>
      <c r="B52">
        <v>0.98</v>
      </c>
      <c r="C52">
        <v>78.598500000000001</v>
      </c>
      <c r="D52">
        <v>1.0114000000000001</v>
      </c>
      <c r="E52">
        <v>0.441604</v>
      </c>
      <c r="F52">
        <v>1</v>
      </c>
      <c r="G52">
        <v>1</v>
      </c>
      <c r="L52">
        <v>1</v>
      </c>
      <c r="M52">
        <v>0.99116800000000005</v>
      </c>
      <c r="N52">
        <v>8.8320800000000008E-3</v>
      </c>
      <c r="O52">
        <v>0.98</v>
      </c>
      <c r="P52">
        <v>0.02</v>
      </c>
    </row>
    <row r="53" spans="1:16" x14ac:dyDescent="0.25">
      <c r="A53">
        <v>1.01325</v>
      </c>
      <c r="B53">
        <v>1</v>
      </c>
      <c r="C53">
        <v>78.310299999999998</v>
      </c>
      <c r="D53">
        <v>1</v>
      </c>
      <c r="E53">
        <v>0.43643399999999999</v>
      </c>
      <c r="F53">
        <v>1</v>
      </c>
      <c r="G53">
        <v>1</v>
      </c>
      <c r="L53">
        <v>1</v>
      </c>
      <c r="M53">
        <v>1</v>
      </c>
      <c r="N53">
        <v>0</v>
      </c>
      <c r="O53">
        <v>1</v>
      </c>
      <c r="P53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68D8-83E2-4C8C-844B-2FBD4DFE62E5}">
  <dimension ref="A1:K105"/>
  <sheetViews>
    <sheetView topLeftCell="H51" zoomScale="70" zoomScaleNormal="70" workbookViewId="0">
      <selection activeCell="H55" sqref="H55:H105"/>
    </sheetView>
  </sheetViews>
  <sheetFormatPr defaultColWidth="8.85546875" defaultRowHeight="15" x14ac:dyDescent="0.25"/>
  <cols>
    <col min="1" max="1" width="8" bestFit="1" customWidth="1"/>
    <col min="2" max="2" width="20" bestFit="1" customWidth="1"/>
    <col min="3" max="3" width="11.85546875" bestFit="1" customWidth="1"/>
    <col min="4" max="4" width="19.7109375" bestFit="1" customWidth="1"/>
    <col min="5" max="5" width="17.28515625" bestFit="1" customWidth="1"/>
    <col min="6" max="6" width="25.28515625" bestFit="1" customWidth="1"/>
    <col min="7" max="7" width="22.85546875" bestFit="1" customWidth="1"/>
    <col min="8" max="8" width="31.140625" bestFit="1" customWidth="1"/>
    <col min="9" max="9" width="28.5703125" bestFit="1" customWidth="1"/>
    <col min="10" max="10" width="31.140625" bestFit="1" customWidth="1"/>
    <col min="11" max="11" width="28.5703125" bestFit="1" customWidth="1"/>
  </cols>
  <sheetData>
    <row r="1" spans="1:1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s="3" t="s">
        <v>17</v>
      </c>
      <c r="I1" s="3" t="s">
        <v>18</v>
      </c>
      <c r="J1" s="3" t="s">
        <v>19</v>
      </c>
      <c r="K1" s="3" t="s">
        <v>20</v>
      </c>
    </row>
    <row r="2" spans="1:11" x14ac:dyDescent="0.25">
      <c r="A2" t="s">
        <v>23</v>
      </c>
      <c r="C2" t="s">
        <v>24</v>
      </c>
      <c r="H2" s="15" t="s">
        <v>98</v>
      </c>
      <c r="I2" s="15"/>
      <c r="J2" s="15"/>
      <c r="K2" s="15"/>
    </row>
    <row r="3" spans="1:11" x14ac:dyDescent="0.25">
      <c r="A3">
        <v>1.01325</v>
      </c>
      <c r="B3">
        <v>0</v>
      </c>
      <c r="C3">
        <v>100.018</v>
      </c>
      <c r="D3">
        <v>14.6561</v>
      </c>
      <c r="E3">
        <v>1</v>
      </c>
      <c r="F3">
        <v>6.7512499999999998</v>
      </c>
      <c r="G3">
        <v>1</v>
      </c>
      <c r="H3" s="3">
        <v>0</v>
      </c>
      <c r="I3" s="3">
        <v>1</v>
      </c>
      <c r="J3" s="3">
        <v>0</v>
      </c>
      <c r="K3" s="3">
        <v>1</v>
      </c>
    </row>
    <row r="4" spans="1:11" x14ac:dyDescent="0.25">
      <c r="A4">
        <v>1.01325</v>
      </c>
      <c r="B4">
        <v>0.02</v>
      </c>
      <c r="C4">
        <v>94.185000000000002</v>
      </c>
      <c r="D4">
        <v>10.2254</v>
      </c>
      <c r="E4">
        <v>0.81172599999999995</v>
      </c>
      <c r="F4">
        <v>5.7327599999999999</v>
      </c>
      <c r="G4">
        <v>1.0017100000000001</v>
      </c>
      <c r="H4" s="3">
        <v>0.204509</v>
      </c>
      <c r="I4" s="3">
        <v>0.79549099999999995</v>
      </c>
      <c r="J4" s="3">
        <v>0.02</v>
      </c>
      <c r="K4" s="3">
        <v>0.98</v>
      </c>
    </row>
    <row r="5" spans="1:11" x14ac:dyDescent="0.25">
      <c r="A5">
        <v>1.01325</v>
      </c>
      <c r="B5">
        <v>0.04</v>
      </c>
      <c r="C5">
        <v>90.716200000000001</v>
      </c>
      <c r="D5">
        <v>7.7921899999999997</v>
      </c>
      <c r="E5">
        <v>0.71699199999999996</v>
      </c>
      <c r="F5">
        <v>4.9298099999999998</v>
      </c>
      <c r="G5">
        <v>1.0065</v>
      </c>
      <c r="H5" s="3">
        <v>0.31168800000000002</v>
      </c>
      <c r="I5" s="3">
        <v>0.68831200000000003</v>
      </c>
      <c r="J5" s="3">
        <v>0.04</v>
      </c>
      <c r="K5" s="3">
        <v>0.96</v>
      </c>
    </row>
    <row r="6" spans="1:11" x14ac:dyDescent="0.25">
      <c r="A6">
        <v>1.01325</v>
      </c>
      <c r="B6">
        <v>0.06</v>
      </c>
      <c r="C6">
        <v>88.477500000000006</v>
      </c>
      <c r="D6">
        <v>6.2701500000000001</v>
      </c>
      <c r="E6">
        <v>0.66360799999999998</v>
      </c>
      <c r="F6">
        <v>4.2957000000000001</v>
      </c>
      <c r="G6">
        <v>1.01393</v>
      </c>
      <c r="H6" s="3">
        <v>0.37620900000000002</v>
      </c>
      <c r="I6" s="3">
        <v>0.62379099999999998</v>
      </c>
      <c r="J6" s="3">
        <v>0.06</v>
      </c>
      <c r="K6" s="3">
        <v>0.94</v>
      </c>
    </row>
    <row r="7" spans="1:11" x14ac:dyDescent="0.25">
      <c r="A7">
        <v>1.01325</v>
      </c>
      <c r="B7">
        <v>0.08</v>
      </c>
      <c r="C7">
        <v>86.944599999999994</v>
      </c>
      <c r="D7">
        <v>5.2350300000000001</v>
      </c>
      <c r="E7">
        <v>0.63173599999999996</v>
      </c>
      <c r="F7">
        <v>3.7903799999999999</v>
      </c>
      <c r="G7">
        <v>1.02362</v>
      </c>
      <c r="H7" s="3">
        <v>0.41880299999999998</v>
      </c>
      <c r="I7" s="3">
        <v>0.58119799999999999</v>
      </c>
      <c r="J7" s="3">
        <v>0.08</v>
      </c>
      <c r="K7" s="3">
        <v>0.92</v>
      </c>
    </row>
    <row r="8" spans="1:11" x14ac:dyDescent="0.25">
      <c r="A8">
        <v>1.01325</v>
      </c>
      <c r="B8">
        <v>0.1</v>
      </c>
      <c r="C8">
        <v>85.844099999999997</v>
      </c>
      <c r="D8">
        <v>4.4890999999999996</v>
      </c>
      <c r="E8">
        <v>0.61232200000000003</v>
      </c>
      <c r="F8">
        <v>3.3831699999999998</v>
      </c>
      <c r="G8">
        <v>1.0352600000000001</v>
      </c>
      <c r="H8" s="3">
        <v>0.44890999999999998</v>
      </c>
      <c r="I8" s="3">
        <v>0.55108999999999997</v>
      </c>
      <c r="J8" s="3">
        <v>0.1</v>
      </c>
      <c r="K8" s="3">
        <v>0.9</v>
      </c>
    </row>
    <row r="9" spans="1:11" x14ac:dyDescent="0.25">
      <c r="A9">
        <v>1.01325</v>
      </c>
      <c r="B9">
        <v>0.12</v>
      </c>
      <c r="C9">
        <v>85.021000000000001</v>
      </c>
      <c r="D9">
        <v>3.9283299999999999</v>
      </c>
      <c r="E9">
        <v>0.60068200000000005</v>
      </c>
      <c r="F9">
        <v>3.0512600000000001</v>
      </c>
      <c r="G9">
        <v>1.0486200000000001</v>
      </c>
      <c r="H9" s="3">
        <v>0.47139999999999999</v>
      </c>
      <c r="I9" s="3">
        <v>0.52859999999999996</v>
      </c>
      <c r="J9" s="3">
        <v>0.12</v>
      </c>
      <c r="K9" s="3">
        <v>0.88</v>
      </c>
    </row>
    <row r="10" spans="1:11" x14ac:dyDescent="0.25">
      <c r="A10">
        <v>1.01325</v>
      </c>
      <c r="B10">
        <v>0.14000000000000001</v>
      </c>
      <c r="C10">
        <v>84.381799999999998</v>
      </c>
      <c r="D10">
        <v>3.4929399999999999</v>
      </c>
      <c r="E10">
        <v>0.59417200000000003</v>
      </c>
      <c r="F10">
        <v>2.7777500000000002</v>
      </c>
      <c r="G10">
        <v>1.06349</v>
      </c>
      <c r="H10" s="3">
        <v>0.489012</v>
      </c>
      <c r="I10" s="3">
        <v>0.510988</v>
      </c>
      <c r="J10" s="3">
        <v>0.14000000000000001</v>
      </c>
      <c r="K10" s="3">
        <v>0.86</v>
      </c>
    </row>
    <row r="11" spans="1:11" x14ac:dyDescent="0.25">
      <c r="A11">
        <v>1.01325</v>
      </c>
      <c r="B11">
        <v>0.16</v>
      </c>
      <c r="C11">
        <v>83.868099999999998</v>
      </c>
      <c r="D11">
        <v>3.1462300000000001</v>
      </c>
      <c r="E11">
        <v>0.59119500000000003</v>
      </c>
      <c r="F11">
        <v>2.5500600000000002</v>
      </c>
      <c r="G11">
        <v>1.0797099999999999</v>
      </c>
      <c r="H11" s="3">
        <v>0.50339699999999998</v>
      </c>
      <c r="I11" s="3">
        <v>0.49660399999999999</v>
      </c>
      <c r="J11" s="3">
        <v>0.16</v>
      </c>
      <c r="K11" s="3">
        <v>0.84</v>
      </c>
    </row>
    <row r="12" spans="1:11" x14ac:dyDescent="0.25">
      <c r="A12">
        <v>1.01325</v>
      </c>
      <c r="B12">
        <v>0.18</v>
      </c>
      <c r="C12">
        <v>83.441500000000005</v>
      </c>
      <c r="D12">
        <v>2.86443</v>
      </c>
      <c r="E12">
        <v>0.59073399999999998</v>
      </c>
      <c r="F12">
        <v>2.3587199999999999</v>
      </c>
      <c r="G12">
        <v>1.0971200000000001</v>
      </c>
      <c r="H12" s="3">
        <v>0.515598</v>
      </c>
      <c r="I12" s="3">
        <v>0.484402</v>
      </c>
      <c r="J12" s="3">
        <v>0.18</v>
      </c>
      <c r="K12" s="3">
        <v>0.82</v>
      </c>
    </row>
    <row r="13" spans="1:11" x14ac:dyDescent="0.25">
      <c r="A13">
        <v>1.01325</v>
      </c>
      <c r="B13">
        <v>0.2</v>
      </c>
      <c r="C13">
        <v>83.076899999999995</v>
      </c>
      <c r="D13">
        <v>2.6315200000000001</v>
      </c>
      <c r="E13">
        <v>0.59211999999999998</v>
      </c>
      <c r="F13">
        <v>2.1965599999999998</v>
      </c>
      <c r="G13">
        <v>1.11564</v>
      </c>
      <c r="H13" s="3">
        <v>0.52630399999999999</v>
      </c>
      <c r="I13" s="3">
        <v>0.47369600000000001</v>
      </c>
      <c r="J13" s="3">
        <v>0.2</v>
      </c>
      <c r="K13" s="3">
        <v>0.8</v>
      </c>
    </row>
    <row r="14" spans="1:11" x14ac:dyDescent="0.25">
      <c r="A14">
        <v>1.01325</v>
      </c>
      <c r="B14">
        <v>0.22</v>
      </c>
      <c r="C14">
        <v>82.756799999999998</v>
      </c>
      <c r="D14">
        <v>2.43628</v>
      </c>
      <c r="E14">
        <v>0.59489499999999995</v>
      </c>
      <c r="F14">
        <v>2.0580400000000001</v>
      </c>
      <c r="G14">
        <v>1.13514</v>
      </c>
      <c r="H14" s="3">
        <v>0.53598199999999996</v>
      </c>
      <c r="I14" s="3">
        <v>0.46401799999999999</v>
      </c>
      <c r="J14" s="3">
        <v>0.22</v>
      </c>
      <c r="K14" s="3">
        <v>0.78</v>
      </c>
    </row>
    <row r="15" spans="1:11" x14ac:dyDescent="0.25">
      <c r="A15">
        <v>1.01325</v>
      </c>
      <c r="B15">
        <v>0.24</v>
      </c>
      <c r="C15">
        <v>82.469300000000004</v>
      </c>
      <c r="D15">
        <v>2.27067</v>
      </c>
      <c r="E15">
        <v>0.59873699999999996</v>
      </c>
      <c r="F15">
        <v>1.9388799999999999</v>
      </c>
      <c r="G15">
        <v>1.1555599999999999</v>
      </c>
      <c r="H15" s="3">
        <v>0.54496</v>
      </c>
      <c r="I15" s="3">
        <v>0.45504</v>
      </c>
      <c r="J15" s="3">
        <v>0.24</v>
      </c>
      <c r="K15" s="3">
        <v>0.76</v>
      </c>
    </row>
    <row r="16" spans="1:11" x14ac:dyDescent="0.25">
      <c r="A16">
        <v>1.01325</v>
      </c>
      <c r="B16">
        <v>0.26</v>
      </c>
      <c r="C16">
        <v>82.206100000000006</v>
      </c>
      <c r="D16">
        <v>2.12873</v>
      </c>
      <c r="E16">
        <v>0.60341900000000004</v>
      </c>
      <c r="F16">
        <v>1.83571</v>
      </c>
      <c r="G16">
        <v>1.17683</v>
      </c>
      <c r="H16" s="3">
        <v>0.55347000000000002</v>
      </c>
      <c r="I16" s="3">
        <v>0.44652999999999998</v>
      </c>
      <c r="J16" s="3">
        <v>0.26</v>
      </c>
      <c r="K16" s="3">
        <v>0.74</v>
      </c>
    </row>
    <row r="17" spans="1:11" x14ac:dyDescent="0.25">
      <c r="A17">
        <v>1.01325</v>
      </c>
      <c r="B17">
        <v>0.28000000000000003</v>
      </c>
      <c r="C17">
        <v>81.961299999999994</v>
      </c>
      <c r="D17">
        <v>2.0060099999999998</v>
      </c>
      <c r="E17">
        <v>0.60877400000000004</v>
      </c>
      <c r="F17">
        <v>1.7458499999999999</v>
      </c>
      <c r="G17">
        <v>1.19889</v>
      </c>
      <c r="H17" s="3">
        <v>0.56168300000000004</v>
      </c>
      <c r="I17" s="3">
        <v>0.43831700000000001</v>
      </c>
      <c r="J17" s="3">
        <v>0.28000000000000003</v>
      </c>
      <c r="K17" s="3">
        <v>0.72</v>
      </c>
    </row>
    <row r="18" spans="1:11" x14ac:dyDescent="0.25">
      <c r="A18">
        <v>1.01325</v>
      </c>
      <c r="B18">
        <v>0.3</v>
      </c>
      <c r="C18">
        <v>81.730900000000005</v>
      </c>
      <c r="D18">
        <v>1.8990800000000001</v>
      </c>
      <c r="E18">
        <v>0.61468199999999995</v>
      </c>
      <c r="F18">
        <v>1.66717</v>
      </c>
      <c r="G18">
        <v>1.2216899999999999</v>
      </c>
      <c r="H18" s="3">
        <v>0.56972299999999998</v>
      </c>
      <c r="I18" s="3">
        <v>0.43027700000000002</v>
      </c>
      <c r="J18" s="3">
        <v>0.3</v>
      </c>
      <c r="K18" s="3">
        <v>0.7</v>
      </c>
    </row>
    <row r="19" spans="1:11" x14ac:dyDescent="0.25">
      <c r="A19">
        <v>1.01325</v>
      </c>
      <c r="B19">
        <v>0.32</v>
      </c>
      <c r="C19">
        <v>81.511799999999994</v>
      </c>
      <c r="D19">
        <v>1.8052600000000001</v>
      </c>
      <c r="E19">
        <v>0.62105399999999999</v>
      </c>
      <c r="F19">
        <v>1.59795</v>
      </c>
      <c r="G19">
        <v>1.24519</v>
      </c>
      <c r="H19" s="3">
        <v>0.57768299999999995</v>
      </c>
      <c r="I19" s="3">
        <v>0.422317</v>
      </c>
      <c r="J19" s="3">
        <v>0.32</v>
      </c>
      <c r="K19" s="3">
        <v>0.68</v>
      </c>
    </row>
    <row r="20" spans="1:11" x14ac:dyDescent="0.25">
      <c r="A20">
        <v>1.01325</v>
      </c>
      <c r="B20">
        <v>0.34</v>
      </c>
      <c r="C20">
        <v>81.302000000000007</v>
      </c>
      <c r="D20">
        <v>1.7224600000000001</v>
      </c>
      <c r="E20">
        <v>0.62782499999999997</v>
      </c>
      <c r="F20">
        <v>1.53678</v>
      </c>
      <c r="G20">
        <v>1.2693700000000001</v>
      </c>
      <c r="H20" s="3">
        <v>0.58563600000000005</v>
      </c>
      <c r="I20" s="3">
        <v>0.41436400000000001</v>
      </c>
      <c r="J20" s="3">
        <v>0.34</v>
      </c>
      <c r="K20" s="3">
        <v>0.66</v>
      </c>
    </row>
    <row r="21" spans="1:11" x14ac:dyDescent="0.25">
      <c r="A21">
        <v>1.01325</v>
      </c>
      <c r="B21">
        <v>0.36</v>
      </c>
      <c r="C21">
        <v>81.100099999999998</v>
      </c>
      <c r="D21">
        <v>1.6489799999999999</v>
      </c>
      <c r="E21">
        <v>0.63494600000000001</v>
      </c>
      <c r="F21">
        <v>1.4824900000000001</v>
      </c>
      <c r="G21">
        <v>1.2941800000000001</v>
      </c>
      <c r="H21" s="3">
        <v>0.59363500000000002</v>
      </c>
      <c r="I21" s="3">
        <v>0.40636499999999998</v>
      </c>
      <c r="J21" s="3">
        <v>0.36</v>
      </c>
      <c r="K21" s="3">
        <v>0.64</v>
      </c>
    </row>
    <row r="22" spans="1:11" x14ac:dyDescent="0.25">
      <c r="A22">
        <v>1.01325</v>
      </c>
      <c r="B22">
        <v>0.38</v>
      </c>
      <c r="C22">
        <v>80.905000000000001</v>
      </c>
      <c r="D22">
        <v>1.58348</v>
      </c>
      <c r="E22">
        <v>0.64238399999999996</v>
      </c>
      <c r="F22">
        <v>1.43415</v>
      </c>
      <c r="G22">
        <v>1.31962</v>
      </c>
      <c r="H22" s="3">
        <v>0.60172199999999998</v>
      </c>
      <c r="I22" s="3">
        <v>0.39827800000000002</v>
      </c>
      <c r="J22" s="3">
        <v>0.38</v>
      </c>
      <c r="K22" s="3">
        <v>0.62</v>
      </c>
    </row>
    <row r="23" spans="1:11" x14ac:dyDescent="0.25">
      <c r="A23">
        <v>1.01325</v>
      </c>
      <c r="B23">
        <v>0.4</v>
      </c>
      <c r="C23">
        <v>80.716099999999997</v>
      </c>
      <c r="D23">
        <v>1.5248299999999999</v>
      </c>
      <c r="E23">
        <v>0.65011799999999997</v>
      </c>
      <c r="F23">
        <v>1.3909400000000001</v>
      </c>
      <c r="G23">
        <v>1.3456699999999999</v>
      </c>
      <c r="H23" s="3">
        <v>0.60992900000000005</v>
      </c>
      <c r="I23" s="3">
        <v>0.390071</v>
      </c>
      <c r="J23" s="3">
        <v>0.4</v>
      </c>
      <c r="K23" s="3">
        <v>0.6</v>
      </c>
    </row>
    <row r="24" spans="1:11" x14ac:dyDescent="0.25">
      <c r="A24">
        <v>1.01325</v>
      </c>
      <c r="B24">
        <v>0.42</v>
      </c>
      <c r="C24">
        <v>80.533000000000001</v>
      </c>
      <c r="D24">
        <v>1.47211</v>
      </c>
      <c r="E24">
        <v>0.65812899999999996</v>
      </c>
      <c r="F24">
        <v>1.35222</v>
      </c>
      <c r="G24">
        <v>1.3723099999999999</v>
      </c>
      <c r="H24" s="3">
        <v>0.61828499999999997</v>
      </c>
      <c r="I24" s="3">
        <v>0.38171500000000003</v>
      </c>
      <c r="J24" s="3">
        <v>0.42</v>
      </c>
      <c r="K24" s="3">
        <v>0.57999999999999996</v>
      </c>
    </row>
    <row r="25" spans="1:11" x14ac:dyDescent="0.25">
      <c r="A25">
        <v>1.01325</v>
      </c>
      <c r="B25">
        <v>0.44</v>
      </c>
      <c r="C25">
        <v>80.3553</v>
      </c>
      <c r="D25">
        <v>1.4245699999999999</v>
      </c>
      <c r="E25">
        <v>0.66641300000000003</v>
      </c>
      <c r="F25">
        <v>1.31741</v>
      </c>
      <c r="G25">
        <v>1.3995599999999999</v>
      </c>
      <c r="H25" s="3">
        <v>0.62680899999999995</v>
      </c>
      <c r="I25" s="3">
        <v>0.37319099999999999</v>
      </c>
      <c r="J25" s="3">
        <v>0.44</v>
      </c>
      <c r="K25" s="3">
        <v>0.56000000000000005</v>
      </c>
    </row>
    <row r="26" spans="1:11" x14ac:dyDescent="0.25">
      <c r="A26">
        <v>1.01325</v>
      </c>
      <c r="B26">
        <v>0.46</v>
      </c>
      <c r="C26">
        <v>80.183000000000007</v>
      </c>
      <c r="D26">
        <v>1.3815599999999999</v>
      </c>
      <c r="E26">
        <v>0.67496800000000001</v>
      </c>
      <c r="F26">
        <v>1.2860400000000001</v>
      </c>
      <c r="G26">
        <v>1.4274</v>
      </c>
      <c r="H26" s="3">
        <v>0.635517</v>
      </c>
      <c r="I26" s="3">
        <v>0.364483</v>
      </c>
      <c r="J26" s="3">
        <v>0.46</v>
      </c>
      <c r="K26" s="3">
        <v>0.54</v>
      </c>
    </row>
    <row r="27" spans="1:11" x14ac:dyDescent="0.25">
      <c r="A27">
        <v>1.01325</v>
      </c>
      <c r="B27">
        <v>0.48</v>
      </c>
      <c r="C27">
        <v>80.016000000000005</v>
      </c>
      <c r="D27">
        <v>1.3425499999999999</v>
      </c>
      <c r="E27">
        <v>0.68379999999999996</v>
      </c>
      <c r="F27">
        <v>1.2577</v>
      </c>
      <c r="G27">
        <v>1.4558599999999999</v>
      </c>
      <c r="H27" s="3">
        <v>0.644424</v>
      </c>
      <c r="I27" s="3">
        <v>0.355576</v>
      </c>
      <c r="J27" s="3">
        <v>0.48</v>
      </c>
      <c r="K27" s="3">
        <v>0.52</v>
      </c>
    </row>
    <row r="28" spans="1:11" x14ac:dyDescent="0.25">
      <c r="A28">
        <v>1.01325</v>
      </c>
      <c r="B28">
        <v>0.5</v>
      </c>
      <c r="C28">
        <v>79.854299999999995</v>
      </c>
      <c r="D28">
        <v>1.3070900000000001</v>
      </c>
      <c r="E28">
        <v>0.69291599999999998</v>
      </c>
      <c r="F28">
        <v>1.2320500000000001</v>
      </c>
      <c r="G28">
        <v>1.4849300000000001</v>
      </c>
      <c r="H28" s="3">
        <v>0.65354199999999996</v>
      </c>
      <c r="I28" s="3">
        <v>0.34645799999999999</v>
      </c>
      <c r="J28" s="3">
        <v>0.5</v>
      </c>
      <c r="K28" s="3">
        <v>0.5</v>
      </c>
    </row>
    <row r="29" spans="1:11" x14ac:dyDescent="0.25">
      <c r="A29">
        <v>1.01325</v>
      </c>
      <c r="B29">
        <v>0.52</v>
      </c>
      <c r="C29">
        <v>79.697999999999993</v>
      </c>
      <c r="D29">
        <v>1.27477</v>
      </c>
      <c r="E29">
        <v>0.70233100000000004</v>
      </c>
      <c r="F29">
        <v>1.20878</v>
      </c>
      <c r="G29">
        <v>1.5146599999999999</v>
      </c>
      <c r="H29" s="3">
        <v>0.66288100000000005</v>
      </c>
      <c r="I29" s="3">
        <v>0.337119</v>
      </c>
      <c r="J29" s="3">
        <v>0.52</v>
      </c>
      <c r="K29" s="3">
        <v>0.48</v>
      </c>
    </row>
    <row r="30" spans="1:11" x14ac:dyDescent="0.25">
      <c r="A30">
        <v>1.01325</v>
      </c>
      <c r="B30">
        <v>0.54</v>
      </c>
      <c r="C30">
        <v>79.547200000000004</v>
      </c>
      <c r="D30">
        <v>1.2452799999999999</v>
      </c>
      <c r="E30">
        <v>0.71206400000000003</v>
      </c>
      <c r="F30">
        <v>1.18764</v>
      </c>
      <c r="G30">
        <v>1.54505</v>
      </c>
      <c r="H30" s="3">
        <v>0.67245100000000002</v>
      </c>
      <c r="I30" s="3">
        <v>0.32754899999999998</v>
      </c>
      <c r="J30" s="3">
        <v>0.54</v>
      </c>
      <c r="K30" s="3">
        <v>0.46</v>
      </c>
    </row>
    <row r="31" spans="1:11" x14ac:dyDescent="0.25">
      <c r="A31">
        <v>1.01325</v>
      </c>
      <c r="B31">
        <v>0.56000000000000005</v>
      </c>
      <c r="C31">
        <v>79.402000000000001</v>
      </c>
      <c r="D31">
        <v>1.2183200000000001</v>
      </c>
      <c r="E31">
        <v>0.72213799999999995</v>
      </c>
      <c r="F31">
        <v>1.16839</v>
      </c>
      <c r="G31">
        <v>1.57616</v>
      </c>
      <c r="H31" s="3">
        <v>0.68225899999999995</v>
      </c>
      <c r="I31" s="3">
        <v>0.317741</v>
      </c>
      <c r="J31" s="3">
        <v>0.56000000000000005</v>
      </c>
      <c r="K31" s="3">
        <v>0.44</v>
      </c>
    </row>
    <row r="32" spans="1:11" x14ac:dyDescent="0.25">
      <c r="A32">
        <v>1.01325</v>
      </c>
      <c r="B32">
        <v>0.57999999999999996</v>
      </c>
      <c r="C32">
        <v>79.262699999999995</v>
      </c>
      <c r="D32">
        <v>1.1936500000000001</v>
      </c>
      <c r="E32">
        <v>0.73258400000000001</v>
      </c>
      <c r="F32">
        <v>1.1508499999999999</v>
      </c>
      <c r="G32">
        <v>1.6080300000000001</v>
      </c>
      <c r="H32" s="3">
        <v>0.69231500000000001</v>
      </c>
      <c r="I32" s="3">
        <v>0.30768499999999999</v>
      </c>
      <c r="J32" s="3">
        <v>0.57999999999999996</v>
      </c>
      <c r="K32" s="3">
        <v>0.42</v>
      </c>
    </row>
    <row r="33" spans="1:11" x14ac:dyDescent="0.25">
      <c r="A33">
        <v>1.01325</v>
      </c>
      <c r="B33">
        <v>0.6</v>
      </c>
      <c r="C33">
        <v>79.129400000000004</v>
      </c>
      <c r="D33">
        <v>1.1710400000000001</v>
      </c>
      <c r="E33">
        <v>0.74343400000000004</v>
      </c>
      <c r="F33">
        <v>1.1348400000000001</v>
      </c>
      <c r="G33">
        <v>1.64072</v>
      </c>
      <c r="H33" s="3">
        <v>0.702627</v>
      </c>
      <c r="I33" s="3">
        <v>0.29737400000000003</v>
      </c>
      <c r="J33" s="3">
        <v>0.6</v>
      </c>
      <c r="K33" s="3">
        <v>0.4</v>
      </c>
    </row>
    <row r="34" spans="1:11" x14ac:dyDescent="0.25">
      <c r="A34">
        <v>1.01325</v>
      </c>
      <c r="B34">
        <v>0.62</v>
      </c>
      <c r="C34">
        <v>79.002200000000002</v>
      </c>
      <c r="D34">
        <v>1.1503300000000001</v>
      </c>
      <c r="E34">
        <v>0.75473000000000001</v>
      </c>
      <c r="F34">
        <v>1.1202099999999999</v>
      </c>
      <c r="G34">
        <v>1.6742900000000001</v>
      </c>
      <c r="H34" s="3">
        <v>0.71320300000000003</v>
      </c>
      <c r="I34" s="3">
        <v>0.28679700000000002</v>
      </c>
      <c r="J34" s="3">
        <v>0.62</v>
      </c>
      <c r="K34" s="3">
        <v>0.38</v>
      </c>
    </row>
    <row r="35" spans="1:11" x14ac:dyDescent="0.25">
      <c r="A35">
        <v>1.01325</v>
      </c>
      <c r="B35">
        <v>0.64</v>
      </c>
      <c r="C35">
        <v>78.881500000000003</v>
      </c>
      <c r="D35">
        <v>1.1313299999999999</v>
      </c>
      <c r="E35">
        <v>0.76651899999999995</v>
      </c>
      <c r="F35">
        <v>1.10683</v>
      </c>
      <c r="G35">
        <v>1.7088399999999999</v>
      </c>
      <c r="H35" s="3">
        <v>0.72405299999999995</v>
      </c>
      <c r="I35" s="3">
        <v>0.275947</v>
      </c>
      <c r="J35" s="3">
        <v>0.64</v>
      </c>
      <c r="K35" s="3">
        <v>0.36</v>
      </c>
    </row>
    <row r="36" spans="1:11" x14ac:dyDescent="0.25">
      <c r="A36">
        <v>1.01325</v>
      </c>
      <c r="B36">
        <v>0.66</v>
      </c>
      <c r="C36">
        <v>78.767300000000006</v>
      </c>
      <c r="D36">
        <v>1.11392</v>
      </c>
      <c r="E36">
        <v>0.77885700000000002</v>
      </c>
      <c r="F36">
        <v>1.09459</v>
      </c>
      <c r="G36">
        <v>1.7444500000000001</v>
      </c>
      <c r="H36" s="3">
        <v>0.73518899999999998</v>
      </c>
      <c r="I36" s="3">
        <v>0.26481100000000002</v>
      </c>
      <c r="J36" s="3">
        <v>0.66</v>
      </c>
      <c r="K36" s="3">
        <v>0.34</v>
      </c>
    </row>
    <row r="37" spans="1:11" x14ac:dyDescent="0.25">
      <c r="A37">
        <v>1.01325</v>
      </c>
      <c r="B37">
        <v>0.68</v>
      </c>
      <c r="C37">
        <v>78.6601</v>
      </c>
      <c r="D37">
        <v>1.0979699999999999</v>
      </c>
      <c r="E37">
        <v>0.79180799999999996</v>
      </c>
      <c r="F37">
        <v>1.0833699999999999</v>
      </c>
      <c r="G37">
        <v>1.78125</v>
      </c>
      <c r="H37" s="3">
        <v>0.74662099999999998</v>
      </c>
      <c r="I37" s="3">
        <v>0.25337900000000002</v>
      </c>
      <c r="J37" s="3">
        <v>0.68</v>
      </c>
      <c r="K37" s="3">
        <v>0.32</v>
      </c>
    </row>
    <row r="38" spans="1:11" x14ac:dyDescent="0.25">
      <c r="A38">
        <v>1.01325</v>
      </c>
      <c r="B38">
        <v>0.7</v>
      </c>
      <c r="C38">
        <v>78.56</v>
      </c>
      <c r="D38">
        <v>1.08338</v>
      </c>
      <c r="E38">
        <v>0.80545</v>
      </c>
      <c r="F38">
        <v>1.0730900000000001</v>
      </c>
      <c r="G38">
        <v>1.8193699999999999</v>
      </c>
      <c r="H38" s="3">
        <v>0.75836499999999996</v>
      </c>
      <c r="I38" s="3">
        <v>0.24163499999999999</v>
      </c>
      <c r="J38" s="3">
        <v>0.7</v>
      </c>
      <c r="K38" s="3">
        <v>0.3</v>
      </c>
    </row>
    <row r="39" spans="1:11" x14ac:dyDescent="0.25">
      <c r="A39">
        <v>1.01325</v>
      </c>
      <c r="B39">
        <v>0.72</v>
      </c>
      <c r="C39">
        <v>78.467399999999998</v>
      </c>
      <c r="D39">
        <v>1.0700499999999999</v>
      </c>
      <c r="E39">
        <v>0.81986899999999996</v>
      </c>
      <c r="F39">
        <v>1.06368</v>
      </c>
      <c r="G39">
        <v>1.8589899999999999</v>
      </c>
      <c r="H39" s="3">
        <v>0.77043700000000004</v>
      </c>
      <c r="I39" s="3">
        <v>0.22956299999999999</v>
      </c>
      <c r="J39" s="3">
        <v>0.72</v>
      </c>
      <c r="K39" s="3">
        <v>0.28000000000000003</v>
      </c>
    </row>
    <row r="40" spans="1:11" x14ac:dyDescent="0.25">
      <c r="A40">
        <v>1.01325</v>
      </c>
      <c r="B40">
        <v>0.74</v>
      </c>
      <c r="C40">
        <v>78.382499999999993</v>
      </c>
      <c r="D40">
        <v>1.0579099999999999</v>
      </c>
      <c r="E40">
        <v>0.83516999999999997</v>
      </c>
      <c r="F40">
        <v>1.05505</v>
      </c>
      <c r="G40">
        <v>1.90029</v>
      </c>
      <c r="H40" s="3">
        <v>0.782856</v>
      </c>
      <c r="I40" s="3">
        <v>0.217144</v>
      </c>
      <c r="J40" s="3">
        <v>0.74</v>
      </c>
      <c r="K40" s="3">
        <v>0.26</v>
      </c>
    </row>
    <row r="41" spans="1:11" x14ac:dyDescent="0.25">
      <c r="A41">
        <v>1.01325</v>
      </c>
      <c r="B41">
        <v>0.76</v>
      </c>
      <c r="C41">
        <v>78.305800000000005</v>
      </c>
      <c r="D41">
        <v>1.0468999999999999</v>
      </c>
      <c r="E41">
        <v>0.85147499999999998</v>
      </c>
      <c r="F41">
        <v>1.0471600000000001</v>
      </c>
      <c r="G41">
        <v>1.9435199999999999</v>
      </c>
      <c r="H41" s="3">
        <v>0.79564599999999996</v>
      </c>
      <c r="I41" s="3">
        <v>0.20435400000000001</v>
      </c>
      <c r="J41" s="3">
        <v>0.76</v>
      </c>
      <c r="K41" s="3">
        <v>0.24</v>
      </c>
    </row>
    <row r="42" spans="1:11" x14ac:dyDescent="0.25">
      <c r="A42">
        <v>1.01325</v>
      </c>
      <c r="B42">
        <v>0.78</v>
      </c>
      <c r="C42">
        <v>78.2376</v>
      </c>
      <c r="D42">
        <v>1.0369699999999999</v>
      </c>
      <c r="E42">
        <v>0.86892899999999995</v>
      </c>
      <c r="F42">
        <v>1.0399499999999999</v>
      </c>
      <c r="G42">
        <v>1.9889399999999999</v>
      </c>
      <c r="H42" s="3">
        <v>0.808836</v>
      </c>
      <c r="I42" s="3">
        <v>0.191164</v>
      </c>
      <c r="J42" s="3">
        <v>0.78</v>
      </c>
      <c r="K42" s="3">
        <v>0.22</v>
      </c>
    </row>
    <row r="43" spans="1:11" x14ac:dyDescent="0.25">
      <c r="A43">
        <v>1.01325</v>
      </c>
      <c r="B43">
        <v>0.8</v>
      </c>
      <c r="C43">
        <v>78.178600000000003</v>
      </c>
      <c r="D43">
        <v>1.0280800000000001</v>
      </c>
      <c r="E43">
        <v>0.88770199999999999</v>
      </c>
      <c r="F43">
        <v>1.03338</v>
      </c>
      <c r="G43">
        <v>2.03688</v>
      </c>
      <c r="H43" s="3">
        <v>0.82245999999999997</v>
      </c>
      <c r="I43" s="3">
        <v>0.17754</v>
      </c>
      <c r="J43" s="3">
        <v>0.8</v>
      </c>
      <c r="K43" s="3">
        <v>0.2</v>
      </c>
    </row>
    <row r="44" spans="1:11" x14ac:dyDescent="0.25">
      <c r="A44">
        <v>1.01325</v>
      </c>
      <c r="B44">
        <v>0.82</v>
      </c>
      <c r="C44">
        <v>78.129099999999994</v>
      </c>
      <c r="D44">
        <v>1.0202</v>
      </c>
      <c r="E44">
        <v>0.90800000000000003</v>
      </c>
      <c r="F44">
        <v>1.0274099999999999</v>
      </c>
      <c r="G44">
        <v>2.0877400000000002</v>
      </c>
      <c r="H44" s="3">
        <v>0.83655999999999997</v>
      </c>
      <c r="I44" s="3">
        <v>0.16344</v>
      </c>
      <c r="J44" s="3">
        <v>0.82</v>
      </c>
      <c r="K44" s="3">
        <v>0.18</v>
      </c>
    </row>
    <row r="45" spans="1:11" x14ac:dyDescent="0.25">
      <c r="A45">
        <v>1.01325</v>
      </c>
      <c r="B45">
        <v>0.84</v>
      </c>
      <c r="C45">
        <v>78.09</v>
      </c>
      <c r="D45">
        <v>1.01332</v>
      </c>
      <c r="E45">
        <v>0.93006900000000003</v>
      </c>
      <c r="F45">
        <v>1.02203</v>
      </c>
      <c r="G45">
        <v>2.1419800000000002</v>
      </c>
      <c r="H45" s="3">
        <v>0.85118899999999997</v>
      </c>
      <c r="I45" s="3">
        <v>0.148811</v>
      </c>
      <c r="J45" s="3">
        <v>0.84</v>
      </c>
      <c r="K45" s="3">
        <v>0.16</v>
      </c>
    </row>
    <row r="46" spans="1:11" x14ac:dyDescent="0.25">
      <c r="A46">
        <v>1.01325</v>
      </c>
      <c r="B46">
        <v>0.86</v>
      </c>
      <c r="C46">
        <v>78.062100000000001</v>
      </c>
      <c r="D46">
        <v>1.00746</v>
      </c>
      <c r="E46">
        <v>0.954206</v>
      </c>
      <c r="F46">
        <v>1.0172000000000001</v>
      </c>
      <c r="G46">
        <v>2.20017</v>
      </c>
      <c r="H46" s="3">
        <v>0.86641100000000004</v>
      </c>
      <c r="I46" s="3">
        <v>0.13358900000000001</v>
      </c>
      <c r="J46" s="3">
        <v>0.86</v>
      </c>
      <c r="K46" s="3">
        <v>0.14000000000000001</v>
      </c>
    </row>
    <row r="47" spans="1:11" x14ac:dyDescent="0.25">
      <c r="A47">
        <v>1.01325</v>
      </c>
      <c r="B47">
        <v>0.88</v>
      </c>
      <c r="C47">
        <v>78.046400000000006</v>
      </c>
      <c r="D47">
        <v>1.0026200000000001</v>
      </c>
      <c r="E47">
        <v>0.98077300000000001</v>
      </c>
      <c r="F47">
        <v>1.0129300000000001</v>
      </c>
      <c r="G47">
        <v>2.2629899999999998</v>
      </c>
      <c r="H47" s="3">
        <v>0.88230699999999995</v>
      </c>
      <c r="I47" s="3">
        <v>0.11769300000000001</v>
      </c>
      <c r="J47" s="3">
        <v>0.88</v>
      </c>
      <c r="K47" s="3">
        <v>0.12</v>
      </c>
    </row>
    <row r="48" spans="1:11" x14ac:dyDescent="0.25">
      <c r="A48">
        <v>1.01325</v>
      </c>
      <c r="B48">
        <v>0.9</v>
      </c>
      <c r="C48">
        <v>78.0441</v>
      </c>
      <c r="D48">
        <v>0.998865</v>
      </c>
      <c r="E48">
        <v>1.0102199999999999</v>
      </c>
      <c r="F48">
        <v>1.00922</v>
      </c>
      <c r="G48">
        <v>2.3312599999999999</v>
      </c>
      <c r="H48" s="3">
        <v>0.89897800000000005</v>
      </c>
      <c r="I48" s="3">
        <v>0.101022</v>
      </c>
      <c r="J48" s="3">
        <v>0.9</v>
      </c>
      <c r="K48" s="3">
        <v>0.1</v>
      </c>
    </row>
    <row r="49" spans="1:11" x14ac:dyDescent="0.25">
      <c r="A49">
        <v>1.01325</v>
      </c>
      <c r="B49">
        <v>0.92</v>
      </c>
      <c r="C49">
        <v>78.056799999999996</v>
      </c>
      <c r="D49">
        <v>0.99625300000000006</v>
      </c>
      <c r="E49">
        <v>1.0430900000000001</v>
      </c>
      <c r="F49">
        <v>1.0060800000000001</v>
      </c>
      <c r="G49">
        <v>2.4060000000000001</v>
      </c>
      <c r="H49" s="3">
        <v>0.91655200000000003</v>
      </c>
      <c r="I49" s="3">
        <v>8.3447499999999994E-2</v>
      </c>
      <c r="J49" s="3">
        <v>0.92</v>
      </c>
      <c r="K49" s="3">
        <v>0.08</v>
      </c>
    </row>
    <row r="50" spans="1:11" x14ac:dyDescent="0.25">
      <c r="A50">
        <v>1.01325</v>
      </c>
      <c r="B50">
        <v>0.94</v>
      </c>
      <c r="C50">
        <v>78.086699999999993</v>
      </c>
      <c r="D50">
        <v>0.99488799999999999</v>
      </c>
      <c r="E50">
        <v>1.08009</v>
      </c>
      <c r="F50">
        <v>1.0035400000000001</v>
      </c>
      <c r="G50">
        <v>2.4884599999999999</v>
      </c>
      <c r="H50" s="3">
        <v>0.93519399999999997</v>
      </c>
      <c r="I50" s="3">
        <v>6.4805699999999994E-2</v>
      </c>
      <c r="J50" s="3">
        <v>0.94</v>
      </c>
      <c r="K50" s="3">
        <v>0.06</v>
      </c>
    </row>
    <row r="51" spans="1:11" x14ac:dyDescent="0.25">
      <c r="A51">
        <v>1.01325</v>
      </c>
      <c r="B51">
        <v>0.96</v>
      </c>
      <c r="C51">
        <v>78.136399999999995</v>
      </c>
      <c r="D51">
        <v>0.99491300000000005</v>
      </c>
      <c r="E51">
        <v>1.1221000000000001</v>
      </c>
      <c r="F51">
        <v>1.00163</v>
      </c>
      <c r="G51">
        <v>2.5801699999999999</v>
      </c>
      <c r="H51" s="3">
        <v>0.95511599999999997</v>
      </c>
      <c r="I51" s="3">
        <v>4.4884100000000003E-2</v>
      </c>
      <c r="J51" s="3">
        <v>0.96</v>
      </c>
      <c r="K51" s="3">
        <v>0.04</v>
      </c>
    </row>
    <row r="52" spans="1:11" x14ac:dyDescent="0.25">
      <c r="A52">
        <v>1.01325</v>
      </c>
      <c r="B52">
        <v>0.98</v>
      </c>
      <c r="C52">
        <v>78.209299999999999</v>
      </c>
      <c r="D52">
        <v>0.99652600000000002</v>
      </c>
      <c r="E52">
        <v>1.17025</v>
      </c>
      <c r="F52">
        <v>1.0004200000000001</v>
      </c>
      <c r="G52">
        <v>2.6830799999999999</v>
      </c>
      <c r="H52" s="3">
        <v>0.97659499999999999</v>
      </c>
      <c r="I52" s="3">
        <v>2.3404999999999999E-2</v>
      </c>
      <c r="J52" s="3">
        <v>0.98</v>
      </c>
      <c r="K52" s="3">
        <v>0.02</v>
      </c>
    </row>
    <row r="53" spans="1:11" x14ac:dyDescent="0.25">
      <c r="A53">
        <v>1.01325</v>
      </c>
      <c r="B53">
        <v>1</v>
      </c>
      <c r="C53">
        <v>78.310299999999998</v>
      </c>
      <c r="D53">
        <v>1</v>
      </c>
      <c r="E53">
        <v>1.22603</v>
      </c>
      <c r="F53">
        <v>1</v>
      </c>
      <c r="G53">
        <v>2.7996300000000001</v>
      </c>
      <c r="H53" s="3">
        <v>1</v>
      </c>
      <c r="I53" s="3">
        <v>0</v>
      </c>
      <c r="J53" s="3">
        <v>1</v>
      </c>
      <c r="K53" s="3">
        <v>0</v>
      </c>
    </row>
    <row r="54" spans="1:11" x14ac:dyDescent="0.25">
      <c r="H54" s="14" t="s">
        <v>99</v>
      </c>
      <c r="I54" s="14"/>
      <c r="J54" s="14"/>
      <c r="K54" s="14"/>
    </row>
    <row r="55" spans="1:11" x14ac:dyDescent="0.25">
      <c r="H55">
        <v>0</v>
      </c>
      <c r="I55">
        <v>1</v>
      </c>
      <c r="J55">
        <v>0</v>
      </c>
      <c r="K55">
        <v>1</v>
      </c>
    </row>
    <row r="56" spans="1:11" x14ac:dyDescent="0.25">
      <c r="H56">
        <v>4.33283E-2</v>
      </c>
      <c r="I56">
        <v>0.95667199999999997</v>
      </c>
      <c r="J56">
        <v>0.02</v>
      </c>
      <c r="K56">
        <v>0.98</v>
      </c>
    </row>
    <row r="57" spans="1:11" x14ac:dyDescent="0.25">
      <c r="H57">
        <v>8.4718299999999996E-2</v>
      </c>
      <c r="I57">
        <v>0.91528200000000004</v>
      </c>
      <c r="J57">
        <v>0.04</v>
      </c>
      <c r="K57">
        <v>0.96</v>
      </c>
    </row>
    <row r="58" spans="1:11" x14ac:dyDescent="0.25">
      <c r="H58">
        <v>0.12429</v>
      </c>
      <c r="I58">
        <v>0.87570999999999999</v>
      </c>
      <c r="J58">
        <v>0.06</v>
      </c>
      <c r="K58">
        <v>0.94</v>
      </c>
    </row>
    <row r="59" spans="1:11" x14ac:dyDescent="0.25">
      <c r="H59">
        <v>0.16215399999999999</v>
      </c>
      <c r="I59">
        <v>0.83784599999999998</v>
      </c>
      <c r="J59">
        <v>0.08</v>
      </c>
      <c r="K59">
        <v>0.92</v>
      </c>
    </row>
    <row r="60" spans="1:11" x14ac:dyDescent="0.25">
      <c r="H60">
        <v>0.19841300000000001</v>
      </c>
      <c r="I60">
        <v>0.80158700000000005</v>
      </c>
      <c r="J60">
        <v>0.1</v>
      </c>
      <c r="K60">
        <v>0.9</v>
      </c>
    </row>
    <row r="61" spans="1:11" x14ac:dyDescent="0.25">
      <c r="H61">
        <v>0.23316100000000001</v>
      </c>
      <c r="I61">
        <v>0.76683900000000005</v>
      </c>
      <c r="J61">
        <v>0.12</v>
      </c>
      <c r="K61">
        <v>0.88</v>
      </c>
    </row>
    <row r="62" spans="1:11" x14ac:dyDescent="0.25">
      <c r="H62">
        <v>0.266486</v>
      </c>
      <c r="I62">
        <v>0.733514</v>
      </c>
      <c r="J62">
        <v>0.14000000000000001</v>
      </c>
      <c r="K62">
        <v>0.86</v>
      </c>
    </row>
    <row r="63" spans="1:11" x14ac:dyDescent="0.25">
      <c r="H63">
        <v>0.29846899999999998</v>
      </c>
      <c r="I63">
        <v>0.70153100000000002</v>
      </c>
      <c r="J63">
        <v>0.16</v>
      </c>
      <c r="K63">
        <v>0.84</v>
      </c>
    </row>
    <row r="64" spans="1:11" x14ac:dyDescent="0.25">
      <c r="H64">
        <v>0.32918599999999998</v>
      </c>
      <c r="I64">
        <v>0.67081500000000005</v>
      </c>
      <c r="J64">
        <v>0.18</v>
      </c>
      <c r="K64">
        <v>0.82</v>
      </c>
    </row>
    <row r="65" spans="8:11" x14ac:dyDescent="0.25">
      <c r="H65">
        <v>0.358705</v>
      </c>
      <c r="I65">
        <v>0.64129499999999995</v>
      </c>
      <c r="J65">
        <v>0.2</v>
      </c>
      <c r="K65">
        <v>0.8</v>
      </c>
    </row>
    <row r="66" spans="8:11" x14ac:dyDescent="0.25">
      <c r="H66">
        <v>0.38709300000000002</v>
      </c>
      <c r="I66">
        <v>0.61290699999999998</v>
      </c>
      <c r="J66">
        <v>0.22</v>
      </c>
      <c r="K66">
        <v>0.78</v>
      </c>
    </row>
    <row r="67" spans="8:11" x14ac:dyDescent="0.25">
      <c r="H67">
        <v>0.41440900000000003</v>
      </c>
      <c r="I67">
        <v>0.58559099999999997</v>
      </c>
      <c r="J67">
        <v>0.24</v>
      </c>
      <c r="K67">
        <v>0.76</v>
      </c>
    </row>
    <row r="68" spans="8:11" x14ac:dyDescent="0.25">
      <c r="H68">
        <v>0.44071100000000002</v>
      </c>
      <c r="I68">
        <v>0.55928900000000004</v>
      </c>
      <c r="J68">
        <v>0.26</v>
      </c>
      <c r="K68">
        <v>0.74</v>
      </c>
    </row>
    <row r="69" spans="8:11" x14ac:dyDescent="0.25">
      <c r="H69">
        <v>0.46605200000000002</v>
      </c>
      <c r="I69">
        <v>0.53394799999999998</v>
      </c>
      <c r="J69">
        <v>0.28000000000000003</v>
      </c>
      <c r="K69">
        <v>0.72</v>
      </c>
    </row>
    <row r="70" spans="8:11" x14ac:dyDescent="0.25">
      <c r="H70">
        <v>0.490479</v>
      </c>
      <c r="I70">
        <v>0.509521</v>
      </c>
      <c r="J70">
        <v>0.3</v>
      </c>
      <c r="K70">
        <v>0.7</v>
      </c>
    </row>
    <row r="71" spans="8:11" x14ac:dyDescent="0.25">
      <c r="H71">
        <v>0.51404000000000005</v>
      </c>
      <c r="I71">
        <v>0.48596</v>
      </c>
      <c r="J71">
        <v>0.32</v>
      </c>
      <c r="K71">
        <v>0.68</v>
      </c>
    </row>
    <row r="72" spans="8:11" x14ac:dyDescent="0.25">
      <c r="H72">
        <v>0.53677900000000001</v>
      </c>
      <c r="I72">
        <v>0.46322099999999999</v>
      </c>
      <c r="J72">
        <v>0.34</v>
      </c>
      <c r="K72">
        <v>0.66</v>
      </c>
    </row>
    <row r="73" spans="8:11" x14ac:dyDescent="0.25">
      <c r="H73">
        <v>0.55873300000000004</v>
      </c>
      <c r="I73">
        <v>0.44126700000000002</v>
      </c>
      <c r="J73">
        <v>0.36</v>
      </c>
      <c r="K73">
        <v>0.64</v>
      </c>
    </row>
    <row r="74" spans="8:11" x14ac:dyDescent="0.25">
      <c r="H74">
        <v>0.57994199999999996</v>
      </c>
      <c r="I74">
        <v>0.42005799999999999</v>
      </c>
      <c r="J74">
        <v>0.38</v>
      </c>
      <c r="K74">
        <v>0.62</v>
      </c>
    </row>
    <row r="75" spans="8:11" x14ac:dyDescent="0.25">
      <c r="H75">
        <v>0.60044200000000003</v>
      </c>
      <c r="I75">
        <v>0.39955800000000002</v>
      </c>
      <c r="J75">
        <v>0.4</v>
      </c>
      <c r="K75">
        <v>0.6</v>
      </c>
    </row>
    <row r="76" spans="8:11" x14ac:dyDescent="0.25">
      <c r="H76">
        <v>0.62026499999999996</v>
      </c>
      <c r="I76">
        <v>0.37973499999999999</v>
      </c>
      <c r="J76">
        <v>0.42</v>
      </c>
      <c r="K76">
        <v>0.57999999999999996</v>
      </c>
    </row>
    <row r="77" spans="8:11" x14ac:dyDescent="0.25">
      <c r="H77">
        <v>0.63944299999999998</v>
      </c>
      <c r="I77">
        <v>0.36055700000000002</v>
      </c>
      <c r="J77">
        <v>0.44</v>
      </c>
      <c r="K77">
        <v>0.56000000000000005</v>
      </c>
    </row>
    <row r="78" spans="8:11" x14ac:dyDescent="0.25">
      <c r="H78">
        <v>0.65800499999999995</v>
      </c>
      <c r="I78">
        <v>0.34199499999999999</v>
      </c>
      <c r="J78">
        <v>0.46</v>
      </c>
      <c r="K78">
        <v>0.54</v>
      </c>
    </row>
    <row r="79" spans="8:11" x14ac:dyDescent="0.25">
      <c r="H79">
        <v>0.67598000000000003</v>
      </c>
      <c r="I79">
        <v>0.32401999999999997</v>
      </c>
      <c r="J79">
        <v>0.48</v>
      </c>
      <c r="K79">
        <v>0.52</v>
      </c>
    </row>
    <row r="80" spans="8:11" x14ac:dyDescent="0.25">
      <c r="H80">
        <v>0.69339300000000004</v>
      </c>
      <c r="I80">
        <v>0.30660700000000002</v>
      </c>
      <c r="J80">
        <v>0.5</v>
      </c>
      <c r="K80">
        <v>0.5</v>
      </c>
    </row>
    <row r="81" spans="8:11" x14ac:dyDescent="0.25">
      <c r="H81">
        <v>0.71026999999999996</v>
      </c>
      <c r="I81">
        <v>0.28972999999999999</v>
      </c>
      <c r="J81">
        <v>0.52</v>
      </c>
      <c r="K81">
        <v>0.48</v>
      </c>
    </row>
    <row r="82" spans="8:11" x14ac:dyDescent="0.25">
      <c r="H82">
        <v>0.72663299999999997</v>
      </c>
      <c r="I82">
        <v>0.27336700000000003</v>
      </c>
      <c r="J82">
        <v>0.54</v>
      </c>
      <c r="K82">
        <v>0.46</v>
      </c>
    </row>
    <row r="83" spans="8:11" x14ac:dyDescent="0.25">
      <c r="H83">
        <v>0.74250400000000005</v>
      </c>
      <c r="I83">
        <v>0.257496</v>
      </c>
      <c r="J83">
        <v>0.56000000000000005</v>
      </c>
      <c r="K83">
        <v>0.44</v>
      </c>
    </row>
    <row r="84" spans="8:11" x14ac:dyDescent="0.25">
      <c r="H84">
        <v>0.75790400000000002</v>
      </c>
      <c r="I84">
        <v>0.24209600000000001</v>
      </c>
      <c r="J84">
        <v>0.57999999999999996</v>
      </c>
      <c r="K84">
        <v>0.42</v>
      </c>
    </row>
    <row r="85" spans="8:11" x14ac:dyDescent="0.25">
      <c r="H85">
        <v>0.77285400000000004</v>
      </c>
      <c r="I85">
        <v>0.22714599999999999</v>
      </c>
      <c r="J85">
        <v>0.6</v>
      </c>
      <c r="K85">
        <v>0.4</v>
      </c>
    </row>
    <row r="86" spans="8:11" x14ac:dyDescent="0.25">
      <c r="H86">
        <v>0.78737199999999996</v>
      </c>
      <c r="I86">
        <v>0.21262800000000001</v>
      </c>
      <c r="J86">
        <v>0.62</v>
      </c>
      <c r="K86">
        <v>0.38</v>
      </c>
    </row>
    <row r="87" spans="8:11" x14ac:dyDescent="0.25">
      <c r="H87">
        <v>0.80147500000000005</v>
      </c>
      <c r="I87">
        <v>0.19852500000000001</v>
      </c>
      <c r="J87">
        <v>0.64</v>
      </c>
      <c r="K87">
        <v>0.36</v>
      </c>
    </row>
    <row r="88" spans="8:11" x14ac:dyDescent="0.25">
      <c r="H88">
        <v>0.81518000000000002</v>
      </c>
      <c r="I88">
        <v>0.18482000000000001</v>
      </c>
      <c r="J88">
        <v>0.66</v>
      </c>
      <c r="K88">
        <v>0.34</v>
      </c>
    </row>
    <row r="89" spans="8:11" x14ac:dyDescent="0.25">
      <c r="H89">
        <v>0.82850299999999999</v>
      </c>
      <c r="I89">
        <v>0.17149700000000001</v>
      </c>
      <c r="J89">
        <v>0.68</v>
      </c>
      <c r="K89">
        <v>0.32</v>
      </c>
    </row>
    <row r="90" spans="8:11" x14ac:dyDescent="0.25">
      <c r="H90">
        <v>0.84145899999999996</v>
      </c>
      <c r="I90">
        <v>0.15854199999999999</v>
      </c>
      <c r="J90">
        <v>0.7</v>
      </c>
      <c r="K90">
        <v>0.3</v>
      </c>
    </row>
    <row r="91" spans="8:11" x14ac:dyDescent="0.25">
      <c r="H91">
        <v>0.85406099999999996</v>
      </c>
      <c r="I91">
        <v>0.14593900000000001</v>
      </c>
      <c r="J91">
        <v>0.72</v>
      </c>
      <c r="K91">
        <v>0.28000000000000003</v>
      </c>
    </row>
    <row r="92" spans="8:11" x14ac:dyDescent="0.25">
      <c r="H92">
        <v>0.86632500000000001</v>
      </c>
      <c r="I92">
        <v>0.13367499999999999</v>
      </c>
      <c r="J92">
        <v>0.74</v>
      </c>
      <c r="K92">
        <v>0.26</v>
      </c>
    </row>
    <row r="93" spans="8:11" x14ac:dyDescent="0.25">
      <c r="H93">
        <v>0.87826300000000002</v>
      </c>
      <c r="I93">
        <v>0.121737</v>
      </c>
      <c r="J93">
        <v>0.76</v>
      </c>
      <c r="K93">
        <v>0.24</v>
      </c>
    </row>
    <row r="94" spans="8:11" x14ac:dyDescent="0.25">
      <c r="H94">
        <v>0.88988599999999995</v>
      </c>
      <c r="I94">
        <v>0.110114</v>
      </c>
      <c r="J94">
        <v>0.78</v>
      </c>
      <c r="K94">
        <v>0.22</v>
      </c>
    </row>
    <row r="95" spans="8:11" x14ac:dyDescent="0.25">
      <c r="H95">
        <v>0.90120699999999998</v>
      </c>
      <c r="I95">
        <v>9.8792699999999997E-2</v>
      </c>
      <c r="J95">
        <v>0.8</v>
      </c>
      <c r="K95">
        <v>0.2</v>
      </c>
    </row>
    <row r="96" spans="8:11" x14ac:dyDescent="0.25">
      <c r="H96">
        <v>0.91223699999999996</v>
      </c>
      <c r="I96">
        <v>8.7762800000000002E-2</v>
      </c>
      <c r="J96">
        <v>0.82</v>
      </c>
      <c r="K96">
        <v>0.18</v>
      </c>
    </row>
    <row r="97" spans="8:11" x14ac:dyDescent="0.25">
      <c r="H97">
        <v>0.922987</v>
      </c>
      <c r="I97">
        <v>7.7013499999999999E-2</v>
      </c>
      <c r="J97">
        <v>0.84</v>
      </c>
      <c r="K97">
        <v>0.16</v>
      </c>
    </row>
    <row r="98" spans="8:11" x14ac:dyDescent="0.25">
      <c r="H98">
        <v>0.93346499999999999</v>
      </c>
      <c r="I98">
        <v>6.6534599999999999E-2</v>
      </c>
      <c r="J98">
        <v>0.86</v>
      </c>
      <c r="K98">
        <v>0.14000000000000001</v>
      </c>
    </row>
    <row r="99" spans="8:11" x14ac:dyDescent="0.25">
      <c r="H99">
        <v>0.94368300000000005</v>
      </c>
      <c r="I99">
        <v>5.6316699999999997E-2</v>
      </c>
      <c r="J99">
        <v>0.88</v>
      </c>
      <c r="K99">
        <v>0.12</v>
      </c>
    </row>
    <row r="100" spans="8:11" x14ac:dyDescent="0.25">
      <c r="H100">
        <v>0.95365</v>
      </c>
      <c r="I100">
        <v>4.63504E-2</v>
      </c>
      <c r="J100">
        <v>0.9</v>
      </c>
      <c r="K100">
        <v>0.1</v>
      </c>
    </row>
    <row r="101" spans="8:11" x14ac:dyDescent="0.25">
      <c r="H101">
        <v>0.96337300000000003</v>
      </c>
      <c r="I101">
        <v>3.6626899999999997E-2</v>
      </c>
      <c r="J101">
        <v>0.92</v>
      </c>
      <c r="K101">
        <v>0.08</v>
      </c>
    </row>
    <row r="102" spans="8:11" x14ac:dyDescent="0.25">
      <c r="H102">
        <v>0.972862</v>
      </c>
      <c r="I102">
        <v>2.7137999999999999E-2</v>
      </c>
      <c r="J102">
        <v>0.94</v>
      </c>
      <c r="K102">
        <v>0.06</v>
      </c>
    </row>
    <row r="103" spans="8:11" x14ac:dyDescent="0.25">
      <c r="H103">
        <v>0.982124</v>
      </c>
      <c r="I103">
        <v>1.7875599999999998E-2</v>
      </c>
      <c r="J103">
        <v>0.96</v>
      </c>
      <c r="K103">
        <v>0.04</v>
      </c>
    </row>
    <row r="104" spans="8:11" x14ac:dyDescent="0.25">
      <c r="H104">
        <v>0.99116800000000005</v>
      </c>
      <c r="I104">
        <v>8.8320800000000008E-3</v>
      </c>
      <c r="J104">
        <v>0.98</v>
      </c>
      <c r="K104">
        <v>0.02</v>
      </c>
    </row>
    <row r="105" spans="8:11" x14ac:dyDescent="0.25">
      <c r="H105">
        <v>1</v>
      </c>
      <c r="I105">
        <v>0</v>
      </c>
      <c r="J105">
        <v>1</v>
      </c>
      <c r="K105">
        <v>0</v>
      </c>
    </row>
  </sheetData>
  <mergeCells count="2">
    <mergeCell ref="H2:K2"/>
    <mergeCell ref="H54:K5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766DA-D312-4F73-B9A4-9FF7CCEA3E6B}">
  <dimension ref="A1:R53"/>
  <sheetViews>
    <sheetView zoomScale="70" zoomScaleNormal="70" workbookViewId="0">
      <selection activeCell="W53" sqref="W53"/>
    </sheetView>
  </sheetViews>
  <sheetFormatPr defaultRowHeight="15" x14ac:dyDescent="0.25"/>
  <sheetData>
    <row r="1" spans="1:18" x14ac:dyDescent="0.25">
      <c r="A1" t="s">
        <v>5</v>
      </c>
      <c r="B1" t="s">
        <v>33</v>
      </c>
      <c r="C1" t="s">
        <v>7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16</v>
      </c>
      <c r="M1" s="3" t="s">
        <v>42</v>
      </c>
      <c r="N1" s="3" t="s">
        <v>43</v>
      </c>
      <c r="O1" s="3" t="s">
        <v>44</v>
      </c>
      <c r="P1" s="3" t="s">
        <v>45</v>
      </c>
      <c r="Q1" t="s">
        <v>46</v>
      </c>
      <c r="R1" t="s">
        <v>47</v>
      </c>
    </row>
    <row r="2" spans="1:18" x14ac:dyDescent="0.25">
      <c r="A2" t="s">
        <v>23</v>
      </c>
      <c r="C2" t="s">
        <v>24</v>
      </c>
      <c r="M2" s="3"/>
      <c r="N2" s="3"/>
      <c r="O2" s="3"/>
      <c r="P2" s="3"/>
    </row>
    <row r="3" spans="1:18" x14ac:dyDescent="0.25">
      <c r="A3">
        <v>1.01325</v>
      </c>
      <c r="B3">
        <v>0</v>
      </c>
      <c r="C3">
        <v>110.679</v>
      </c>
      <c r="D3">
        <v>1.70316</v>
      </c>
      <c r="E3">
        <v>1</v>
      </c>
      <c r="F3">
        <v>1.3127500000000001</v>
      </c>
      <c r="G3">
        <v>1</v>
      </c>
      <c r="L3">
        <v>1</v>
      </c>
      <c r="M3" s="3">
        <v>0</v>
      </c>
      <c r="N3" s="3">
        <v>1</v>
      </c>
      <c r="O3" s="3">
        <v>0</v>
      </c>
      <c r="P3" s="3">
        <v>1</v>
      </c>
    </row>
    <row r="4" spans="1:18" x14ac:dyDescent="0.25">
      <c r="A4">
        <v>1.01325</v>
      </c>
      <c r="B4">
        <v>0.02</v>
      </c>
      <c r="C4">
        <v>110.18</v>
      </c>
      <c r="D4">
        <v>1.6656200000000001</v>
      </c>
      <c r="E4">
        <v>0.98641599999999996</v>
      </c>
      <c r="F4">
        <v>1.30016</v>
      </c>
      <c r="G4">
        <v>1.0001</v>
      </c>
      <c r="L4">
        <v>1</v>
      </c>
      <c r="M4" s="3">
        <v>3.3312399999999999E-2</v>
      </c>
      <c r="N4" s="3">
        <v>0.96668799999999999</v>
      </c>
      <c r="O4" s="3">
        <v>0.02</v>
      </c>
      <c r="P4" s="3">
        <v>0.98</v>
      </c>
    </row>
    <row r="5" spans="1:18" x14ac:dyDescent="0.25">
      <c r="A5">
        <v>1.01325</v>
      </c>
      <c r="B5">
        <v>0.04</v>
      </c>
      <c r="C5">
        <v>109.702</v>
      </c>
      <c r="D5">
        <v>1.62991</v>
      </c>
      <c r="E5">
        <v>0.97375400000000001</v>
      </c>
      <c r="F5">
        <v>1.28783</v>
      </c>
      <c r="G5">
        <v>1.0004</v>
      </c>
      <c r="L5">
        <v>1</v>
      </c>
      <c r="M5" s="3">
        <v>6.5196199999999996E-2</v>
      </c>
      <c r="N5" s="3">
        <v>0.93480399999999997</v>
      </c>
      <c r="O5" s="3">
        <v>0.04</v>
      </c>
      <c r="P5" s="3">
        <v>0.96</v>
      </c>
    </row>
    <row r="6" spans="1:18" x14ac:dyDescent="0.25">
      <c r="A6">
        <v>1.01325</v>
      </c>
      <c r="B6">
        <v>0.06</v>
      </c>
      <c r="C6">
        <v>109.244</v>
      </c>
      <c r="D6">
        <v>1.5959099999999999</v>
      </c>
      <c r="E6">
        <v>0.96196300000000001</v>
      </c>
      <c r="F6">
        <v>1.2757499999999999</v>
      </c>
      <c r="G6">
        <v>1.00091</v>
      </c>
      <c r="L6">
        <v>1</v>
      </c>
      <c r="M6" s="3">
        <v>9.5754300000000001E-2</v>
      </c>
      <c r="N6" s="3">
        <v>0.90424599999999999</v>
      </c>
      <c r="O6" s="3">
        <v>0.06</v>
      </c>
      <c r="P6" s="3">
        <v>0.94</v>
      </c>
    </row>
    <row r="7" spans="1:18" x14ac:dyDescent="0.25">
      <c r="A7">
        <v>1.01325</v>
      </c>
      <c r="B7">
        <v>0.08</v>
      </c>
      <c r="C7">
        <v>108.806</v>
      </c>
      <c r="D7">
        <v>1.56352</v>
      </c>
      <c r="E7">
        <v>0.95099800000000001</v>
      </c>
      <c r="F7">
        <v>1.26393</v>
      </c>
      <c r="G7">
        <v>1.00163</v>
      </c>
      <c r="L7">
        <v>1</v>
      </c>
      <c r="M7" s="3">
        <v>0.125082</v>
      </c>
      <c r="N7" s="3">
        <v>0.87491799999999997</v>
      </c>
      <c r="O7" s="3">
        <v>0.08</v>
      </c>
      <c r="P7" s="3">
        <v>0.92</v>
      </c>
    </row>
    <row r="8" spans="1:18" x14ac:dyDescent="0.25">
      <c r="A8">
        <v>1.01325</v>
      </c>
      <c r="B8">
        <v>0.1</v>
      </c>
      <c r="C8">
        <v>108.387</v>
      </c>
      <c r="D8">
        <v>1.53267</v>
      </c>
      <c r="E8">
        <v>0.94081499999999996</v>
      </c>
      <c r="F8">
        <v>1.25237</v>
      </c>
      <c r="G8">
        <v>1.00257</v>
      </c>
      <c r="L8">
        <v>1</v>
      </c>
      <c r="M8" s="3">
        <v>0.15326699999999999</v>
      </c>
      <c r="N8" s="3">
        <v>0.84673399999999999</v>
      </c>
      <c r="O8" s="3">
        <v>0.1</v>
      </c>
      <c r="P8" s="3">
        <v>0.9</v>
      </c>
    </row>
    <row r="9" spans="1:18" x14ac:dyDescent="0.25">
      <c r="A9">
        <v>1.01325</v>
      </c>
      <c r="B9">
        <v>0.12</v>
      </c>
      <c r="C9">
        <v>107.986</v>
      </c>
      <c r="D9">
        <v>1.50325</v>
      </c>
      <c r="E9">
        <v>0.93137499999999995</v>
      </c>
      <c r="F9">
        <v>1.2410699999999999</v>
      </c>
      <c r="G9">
        <v>1.0037199999999999</v>
      </c>
      <c r="L9">
        <v>1</v>
      </c>
      <c r="M9" s="3">
        <v>0.18038999999999999</v>
      </c>
      <c r="N9" s="3">
        <v>0.81960999999999995</v>
      </c>
      <c r="O9" s="3">
        <v>0.12</v>
      </c>
      <c r="P9" s="3">
        <v>0.88</v>
      </c>
    </row>
    <row r="10" spans="1:18" x14ac:dyDescent="0.25">
      <c r="A10">
        <v>1.01325</v>
      </c>
      <c r="B10">
        <v>0.14000000000000001</v>
      </c>
      <c r="C10">
        <v>107.601</v>
      </c>
      <c r="D10">
        <v>1.47519</v>
      </c>
      <c r="E10">
        <v>0.92264299999999999</v>
      </c>
      <c r="F10">
        <v>1.23004</v>
      </c>
      <c r="G10">
        <v>1.00509</v>
      </c>
      <c r="L10">
        <v>1</v>
      </c>
      <c r="M10" s="3">
        <v>0.20652699999999999</v>
      </c>
      <c r="N10" s="3">
        <v>0.79347299999999998</v>
      </c>
      <c r="O10" s="3">
        <v>0.14000000000000001</v>
      </c>
      <c r="P10" s="3">
        <v>0.86</v>
      </c>
    </row>
    <row r="11" spans="1:18" x14ac:dyDescent="0.25">
      <c r="A11">
        <v>1.01325</v>
      </c>
      <c r="B11">
        <v>0.16</v>
      </c>
      <c r="C11">
        <v>107.233</v>
      </c>
      <c r="D11">
        <v>1.4484300000000001</v>
      </c>
      <c r="E11">
        <v>0.91458600000000001</v>
      </c>
      <c r="F11">
        <v>1.2192700000000001</v>
      </c>
      <c r="G11">
        <v>1.00668</v>
      </c>
      <c r="L11">
        <v>1</v>
      </c>
      <c r="M11" s="3">
        <v>0.23174800000000001</v>
      </c>
      <c r="N11" s="3">
        <v>0.76825200000000005</v>
      </c>
      <c r="O11" s="3">
        <v>0.16</v>
      </c>
      <c r="P11" s="3">
        <v>0.84</v>
      </c>
    </row>
    <row r="12" spans="1:18" x14ac:dyDescent="0.25">
      <c r="A12">
        <v>1.01325</v>
      </c>
      <c r="B12">
        <v>0.18</v>
      </c>
      <c r="C12">
        <v>106.88</v>
      </c>
      <c r="D12">
        <v>1.4228799999999999</v>
      </c>
      <c r="E12">
        <v>0.90717300000000001</v>
      </c>
      <c r="F12">
        <v>1.2087699999999999</v>
      </c>
      <c r="G12">
        <v>1.00851</v>
      </c>
      <c r="L12">
        <v>1</v>
      </c>
      <c r="M12" s="3">
        <v>0.25611800000000001</v>
      </c>
      <c r="N12" s="3">
        <v>0.74388200000000004</v>
      </c>
      <c r="O12" s="3">
        <v>0.18</v>
      </c>
      <c r="P12" s="3">
        <v>0.82</v>
      </c>
    </row>
    <row r="13" spans="1:18" x14ac:dyDescent="0.25">
      <c r="A13">
        <v>1.01325</v>
      </c>
      <c r="B13">
        <v>0.2</v>
      </c>
      <c r="C13">
        <v>106.542</v>
      </c>
      <c r="D13">
        <v>1.39849</v>
      </c>
      <c r="E13">
        <v>0.90037800000000001</v>
      </c>
      <c r="F13">
        <v>1.1985300000000001</v>
      </c>
      <c r="G13">
        <v>1.0105599999999999</v>
      </c>
      <c r="L13">
        <v>1</v>
      </c>
      <c r="M13" s="3">
        <v>0.279698</v>
      </c>
      <c r="N13" s="3">
        <v>0.720302</v>
      </c>
      <c r="O13" s="3">
        <v>0.2</v>
      </c>
      <c r="P13" s="3">
        <v>0.8</v>
      </c>
    </row>
    <row r="14" spans="1:18" x14ac:dyDescent="0.25">
      <c r="A14">
        <v>1.01325</v>
      </c>
      <c r="B14">
        <v>0.22</v>
      </c>
      <c r="C14">
        <v>106.218</v>
      </c>
      <c r="D14">
        <v>1.3752</v>
      </c>
      <c r="E14">
        <v>0.89417400000000002</v>
      </c>
      <c r="F14">
        <v>1.1885600000000001</v>
      </c>
      <c r="G14">
        <v>1.01285</v>
      </c>
      <c r="L14">
        <v>1</v>
      </c>
      <c r="M14" s="3">
        <v>0.30254399999999998</v>
      </c>
      <c r="N14" s="3">
        <v>0.69745599999999996</v>
      </c>
      <c r="O14" s="3">
        <v>0.22</v>
      </c>
      <c r="P14" s="3">
        <v>0.78</v>
      </c>
    </row>
    <row r="15" spans="1:18" x14ac:dyDescent="0.25">
      <c r="A15">
        <v>1.01325</v>
      </c>
      <c r="B15">
        <v>0.24</v>
      </c>
      <c r="C15">
        <v>105.907</v>
      </c>
      <c r="D15">
        <v>1.3529599999999999</v>
      </c>
      <c r="E15">
        <v>0.88853899999999997</v>
      </c>
      <c r="F15">
        <v>1.17885</v>
      </c>
      <c r="G15">
        <v>1.0153799999999999</v>
      </c>
      <c r="L15">
        <v>1</v>
      </c>
      <c r="M15" s="3">
        <v>0.32471</v>
      </c>
      <c r="N15" s="3">
        <v>0.67528999999999995</v>
      </c>
      <c r="O15" s="3">
        <v>0.24</v>
      </c>
      <c r="P15" s="3">
        <v>0.76</v>
      </c>
    </row>
    <row r="16" spans="1:18" x14ac:dyDescent="0.25">
      <c r="A16">
        <v>1.01325</v>
      </c>
      <c r="B16">
        <v>0.26</v>
      </c>
      <c r="C16">
        <v>105.60899999999999</v>
      </c>
      <c r="D16">
        <v>1.33172</v>
      </c>
      <c r="E16">
        <v>0.88345099999999999</v>
      </c>
      <c r="F16">
        <v>1.1694100000000001</v>
      </c>
      <c r="G16">
        <v>1.01816</v>
      </c>
      <c r="L16">
        <v>1</v>
      </c>
      <c r="M16" s="3">
        <v>0.346246</v>
      </c>
      <c r="N16" s="3">
        <v>0.65375399999999995</v>
      </c>
      <c r="O16" s="3">
        <v>0.26</v>
      </c>
      <c r="P16" s="3">
        <v>0.74</v>
      </c>
    </row>
    <row r="17" spans="1:16" x14ac:dyDescent="0.25">
      <c r="A17">
        <v>1.01325</v>
      </c>
      <c r="B17">
        <v>0.28000000000000003</v>
      </c>
      <c r="C17">
        <v>105.324</v>
      </c>
      <c r="D17">
        <v>1.31142</v>
      </c>
      <c r="E17">
        <v>0.87889300000000004</v>
      </c>
      <c r="F17">
        <v>1.1602399999999999</v>
      </c>
      <c r="G17">
        <v>1.02118</v>
      </c>
      <c r="L17">
        <v>1</v>
      </c>
      <c r="M17" s="3">
        <v>0.367197</v>
      </c>
      <c r="N17" s="3">
        <v>0.632803</v>
      </c>
      <c r="O17" s="3">
        <v>0.28000000000000003</v>
      </c>
      <c r="P17" s="3">
        <v>0.72</v>
      </c>
    </row>
    <row r="18" spans="1:16" x14ac:dyDescent="0.25">
      <c r="A18">
        <v>1.01325</v>
      </c>
      <c r="B18">
        <v>0.3</v>
      </c>
      <c r="C18">
        <v>105.05</v>
      </c>
      <c r="D18">
        <v>1.29203</v>
      </c>
      <c r="E18">
        <v>0.87484499999999998</v>
      </c>
      <c r="F18">
        <v>1.15133</v>
      </c>
      <c r="G18">
        <v>1.0244500000000001</v>
      </c>
      <c r="L18">
        <v>1</v>
      </c>
      <c r="M18" s="3">
        <v>0.38760800000000001</v>
      </c>
      <c r="N18" s="3">
        <v>0.61239200000000005</v>
      </c>
      <c r="O18" s="3">
        <v>0.3</v>
      </c>
      <c r="P18" s="3">
        <v>0.7</v>
      </c>
    </row>
    <row r="19" spans="1:16" x14ac:dyDescent="0.25">
      <c r="A19">
        <v>1.01325</v>
      </c>
      <c r="B19">
        <v>0.32</v>
      </c>
      <c r="C19">
        <v>104.78700000000001</v>
      </c>
      <c r="D19">
        <v>1.2735099999999999</v>
      </c>
      <c r="E19">
        <v>0.87129299999999998</v>
      </c>
      <c r="F19">
        <v>1.1426799999999999</v>
      </c>
      <c r="G19">
        <v>1.02799</v>
      </c>
      <c r="L19">
        <v>1</v>
      </c>
      <c r="M19" s="3">
        <v>0.40751999999999999</v>
      </c>
      <c r="N19" s="3">
        <v>0.59248000000000001</v>
      </c>
      <c r="O19" s="3">
        <v>0.32</v>
      </c>
      <c r="P19" s="3">
        <v>0.68</v>
      </c>
    </row>
    <row r="20" spans="1:16" x14ac:dyDescent="0.25">
      <c r="A20">
        <v>1.01325</v>
      </c>
      <c r="B20">
        <v>0.34</v>
      </c>
      <c r="C20">
        <v>104.535</v>
      </c>
      <c r="D20">
        <v>1.2558100000000001</v>
      </c>
      <c r="E20">
        <v>0.86822200000000005</v>
      </c>
      <c r="F20">
        <v>1.1343000000000001</v>
      </c>
      <c r="G20">
        <v>1.0317799999999999</v>
      </c>
      <c r="L20">
        <v>1</v>
      </c>
      <c r="M20" s="3">
        <v>0.42697299999999999</v>
      </c>
      <c r="N20" s="3">
        <v>0.57302699999999995</v>
      </c>
      <c r="O20" s="3">
        <v>0.34</v>
      </c>
      <c r="P20" s="3">
        <v>0.66</v>
      </c>
    </row>
    <row r="21" spans="1:16" x14ac:dyDescent="0.25">
      <c r="A21">
        <v>1.01325</v>
      </c>
      <c r="B21">
        <v>0.36</v>
      </c>
      <c r="C21">
        <v>104.294</v>
      </c>
      <c r="D21">
        <v>1.2388999999999999</v>
      </c>
      <c r="E21">
        <v>0.865618</v>
      </c>
      <c r="F21">
        <v>1.12619</v>
      </c>
      <c r="G21">
        <v>1.03583</v>
      </c>
      <c r="L21">
        <v>1</v>
      </c>
      <c r="M21" s="3">
        <v>0.44600400000000001</v>
      </c>
      <c r="N21" s="3">
        <v>0.55399699999999996</v>
      </c>
      <c r="O21" s="3">
        <v>0.36</v>
      </c>
      <c r="P21" s="3">
        <v>0.64</v>
      </c>
    </row>
    <row r="22" spans="1:16" x14ac:dyDescent="0.25">
      <c r="A22">
        <v>1.01325</v>
      </c>
      <c r="B22">
        <v>0.38</v>
      </c>
      <c r="C22">
        <v>104.062</v>
      </c>
      <c r="D22">
        <v>1.2227600000000001</v>
      </c>
      <c r="E22">
        <v>0.86347200000000002</v>
      </c>
      <c r="F22">
        <v>1.11833</v>
      </c>
      <c r="G22">
        <v>1.04016</v>
      </c>
      <c r="L22">
        <v>1</v>
      </c>
      <c r="M22" s="3">
        <v>0.46464699999999998</v>
      </c>
      <c r="N22" s="3">
        <v>0.535354</v>
      </c>
      <c r="O22" s="3">
        <v>0.38</v>
      </c>
      <c r="P22" s="3">
        <v>0.62</v>
      </c>
    </row>
    <row r="23" spans="1:16" x14ac:dyDescent="0.25">
      <c r="A23">
        <v>1.01325</v>
      </c>
      <c r="B23">
        <v>0.4</v>
      </c>
      <c r="C23">
        <v>103.84</v>
      </c>
      <c r="D23">
        <v>1.2073400000000001</v>
      </c>
      <c r="E23">
        <v>0.86177199999999998</v>
      </c>
      <c r="F23">
        <v>1.1107400000000001</v>
      </c>
      <c r="G23">
        <v>1.04477</v>
      </c>
      <c r="L23">
        <v>1</v>
      </c>
      <c r="M23" s="3">
        <v>0.48293700000000001</v>
      </c>
      <c r="N23" s="3">
        <v>0.51706300000000005</v>
      </c>
      <c r="O23" s="3">
        <v>0.4</v>
      </c>
      <c r="P23" s="3">
        <v>0.6</v>
      </c>
    </row>
    <row r="24" spans="1:16" x14ac:dyDescent="0.25">
      <c r="A24">
        <v>1.01325</v>
      </c>
      <c r="B24">
        <v>0.42</v>
      </c>
      <c r="C24">
        <v>103.628</v>
      </c>
      <c r="D24">
        <v>1.1926300000000001</v>
      </c>
      <c r="E24">
        <v>0.86051</v>
      </c>
      <c r="F24">
        <v>1.1033999999999999</v>
      </c>
      <c r="G24">
        <v>1.04965</v>
      </c>
      <c r="L24">
        <v>1</v>
      </c>
      <c r="M24" s="3">
        <v>0.50090400000000002</v>
      </c>
      <c r="N24" s="3">
        <v>0.49909599999999998</v>
      </c>
      <c r="O24" s="3">
        <v>0.42</v>
      </c>
      <c r="P24" s="3">
        <v>0.57999999999999996</v>
      </c>
    </row>
    <row r="25" spans="1:16" x14ac:dyDescent="0.25">
      <c r="A25">
        <v>1.01325</v>
      </c>
      <c r="B25">
        <v>0.44</v>
      </c>
      <c r="C25">
        <v>103.42400000000001</v>
      </c>
      <c r="D25">
        <v>1.17859</v>
      </c>
      <c r="E25">
        <v>0.85967800000000005</v>
      </c>
      <c r="F25">
        <v>1.09633</v>
      </c>
      <c r="G25">
        <v>1.0548200000000001</v>
      </c>
      <c r="L25">
        <v>1</v>
      </c>
      <c r="M25" s="3">
        <v>0.51858099999999996</v>
      </c>
      <c r="N25" s="3">
        <v>0.48142000000000001</v>
      </c>
      <c r="O25" s="3">
        <v>0.44</v>
      </c>
      <c r="P25" s="3">
        <v>0.56000000000000005</v>
      </c>
    </row>
    <row r="26" spans="1:16" x14ac:dyDescent="0.25">
      <c r="A26">
        <v>1.01325</v>
      </c>
      <c r="B26">
        <v>0.46</v>
      </c>
      <c r="C26">
        <v>103.229</v>
      </c>
      <c r="D26">
        <v>1.1652100000000001</v>
      </c>
      <c r="E26">
        <v>0.85926899999999995</v>
      </c>
      <c r="F26">
        <v>1.08952</v>
      </c>
      <c r="G26">
        <v>1.0602799999999999</v>
      </c>
      <c r="L26">
        <v>1</v>
      </c>
      <c r="M26" s="3">
        <v>0.535995</v>
      </c>
      <c r="N26" s="3">
        <v>0.464005</v>
      </c>
      <c r="O26" s="3">
        <v>0.46</v>
      </c>
      <c r="P26" s="3">
        <v>0.54</v>
      </c>
    </row>
    <row r="27" spans="1:16" x14ac:dyDescent="0.25">
      <c r="A27">
        <v>1.01325</v>
      </c>
      <c r="B27">
        <v>0.48</v>
      </c>
      <c r="C27">
        <v>103.042</v>
      </c>
      <c r="D27">
        <v>1.15245</v>
      </c>
      <c r="E27">
        <v>0.85927799999999999</v>
      </c>
      <c r="F27">
        <v>1.0829599999999999</v>
      </c>
      <c r="G27">
        <v>1.0660400000000001</v>
      </c>
      <c r="L27">
        <v>1</v>
      </c>
      <c r="M27" s="3">
        <v>0.55317499999999997</v>
      </c>
      <c r="N27" s="3">
        <v>0.44682500000000003</v>
      </c>
      <c r="O27" s="3">
        <v>0.48</v>
      </c>
      <c r="P27" s="3">
        <v>0.52</v>
      </c>
    </row>
    <row r="28" spans="1:16" x14ac:dyDescent="0.25">
      <c r="A28">
        <v>1.01325</v>
      </c>
      <c r="B28">
        <v>0.5</v>
      </c>
      <c r="C28">
        <v>102.863</v>
      </c>
      <c r="D28">
        <v>1.1403000000000001</v>
      </c>
      <c r="E28">
        <v>0.85970100000000005</v>
      </c>
      <c r="F28">
        <v>1.07666</v>
      </c>
      <c r="G28">
        <v>1.0721000000000001</v>
      </c>
      <c r="L28">
        <v>1</v>
      </c>
      <c r="M28" s="3">
        <v>0.57015000000000005</v>
      </c>
      <c r="N28" s="3">
        <v>0.42985000000000001</v>
      </c>
      <c r="O28" s="3">
        <v>0.5</v>
      </c>
      <c r="P28" s="3">
        <v>0.5</v>
      </c>
    </row>
    <row r="29" spans="1:16" x14ac:dyDescent="0.25">
      <c r="A29">
        <v>1.01325</v>
      </c>
      <c r="B29">
        <v>0.52</v>
      </c>
      <c r="C29">
        <v>102.69199999999999</v>
      </c>
      <c r="D29">
        <v>1.1287400000000001</v>
      </c>
      <c r="E29">
        <v>0.86053299999999999</v>
      </c>
      <c r="F29">
        <v>1.0706100000000001</v>
      </c>
      <c r="G29">
        <v>1.07847</v>
      </c>
      <c r="L29">
        <v>1</v>
      </c>
      <c r="M29" s="3">
        <v>0.58694400000000002</v>
      </c>
      <c r="N29" s="3">
        <v>0.41305599999999998</v>
      </c>
      <c r="O29" s="3">
        <v>0.52</v>
      </c>
      <c r="P29" s="3">
        <v>0.48</v>
      </c>
    </row>
    <row r="30" spans="1:16" x14ac:dyDescent="0.25">
      <c r="A30">
        <v>1.01325</v>
      </c>
      <c r="B30">
        <v>0.54</v>
      </c>
      <c r="C30">
        <v>102.529</v>
      </c>
      <c r="D30">
        <v>1.11775</v>
      </c>
      <c r="E30">
        <v>0.86177400000000004</v>
      </c>
      <c r="F30">
        <v>1.0648200000000001</v>
      </c>
      <c r="G30">
        <v>1.0851599999999999</v>
      </c>
      <c r="L30">
        <v>1</v>
      </c>
      <c r="M30" s="3">
        <v>0.60358400000000001</v>
      </c>
      <c r="N30" s="3">
        <v>0.39641599999999999</v>
      </c>
      <c r="O30" s="3">
        <v>0.54</v>
      </c>
      <c r="P30" s="3">
        <v>0.46</v>
      </c>
    </row>
    <row r="31" spans="1:16" x14ac:dyDescent="0.25">
      <c r="A31">
        <v>1.01325</v>
      </c>
      <c r="B31">
        <v>0.56000000000000005</v>
      </c>
      <c r="C31">
        <v>102.374</v>
      </c>
      <c r="D31">
        <v>1.10731</v>
      </c>
      <c r="E31">
        <v>0.86341999999999997</v>
      </c>
      <c r="F31">
        <v>1.0592900000000001</v>
      </c>
      <c r="G31">
        <v>1.0921700000000001</v>
      </c>
      <c r="L31">
        <v>1</v>
      </c>
      <c r="M31" s="3">
        <v>0.62009499999999995</v>
      </c>
      <c r="N31" s="3">
        <v>0.37990499999999999</v>
      </c>
      <c r="O31" s="3">
        <v>0.56000000000000005</v>
      </c>
      <c r="P31" s="3">
        <v>0.44</v>
      </c>
    </row>
    <row r="32" spans="1:16" x14ac:dyDescent="0.25">
      <c r="A32">
        <v>1.01325</v>
      </c>
      <c r="B32">
        <v>0.57999999999999996</v>
      </c>
      <c r="C32">
        <v>102.22499999999999</v>
      </c>
      <c r="D32">
        <v>1.0974200000000001</v>
      </c>
      <c r="E32">
        <v>0.86547200000000002</v>
      </c>
      <c r="F32">
        <v>1.054</v>
      </c>
      <c r="G32">
        <v>1.0994999999999999</v>
      </c>
      <c r="L32">
        <v>1</v>
      </c>
      <c r="M32" s="3">
        <v>0.63650099999999998</v>
      </c>
      <c r="N32" s="3">
        <v>0.36349900000000002</v>
      </c>
      <c r="O32" s="3">
        <v>0.57999999999999996</v>
      </c>
      <c r="P32" s="3">
        <v>0.42</v>
      </c>
    </row>
    <row r="33" spans="1:16" x14ac:dyDescent="0.25">
      <c r="A33">
        <v>1.01325</v>
      </c>
      <c r="B33">
        <v>0.6</v>
      </c>
      <c r="C33">
        <v>102.084</v>
      </c>
      <c r="D33">
        <v>1.08805</v>
      </c>
      <c r="E33">
        <v>0.86793100000000001</v>
      </c>
      <c r="F33">
        <v>1.04897</v>
      </c>
      <c r="G33">
        <v>1.1071800000000001</v>
      </c>
      <c r="L33">
        <v>1</v>
      </c>
      <c r="M33" s="3">
        <v>0.65282700000000005</v>
      </c>
      <c r="N33" s="3">
        <v>0.34717300000000001</v>
      </c>
      <c r="O33" s="3">
        <v>0.6</v>
      </c>
      <c r="P33" s="3">
        <v>0.4</v>
      </c>
    </row>
    <row r="34" spans="1:16" x14ac:dyDescent="0.25">
      <c r="A34">
        <v>1.01325</v>
      </c>
      <c r="B34">
        <v>0.62</v>
      </c>
      <c r="C34">
        <v>101.949</v>
      </c>
      <c r="D34">
        <v>1.0791900000000001</v>
      </c>
      <c r="E34">
        <v>0.87079799999999996</v>
      </c>
      <c r="F34">
        <v>1.0441800000000001</v>
      </c>
      <c r="G34">
        <v>1.1151899999999999</v>
      </c>
      <c r="L34">
        <v>1</v>
      </c>
      <c r="M34" s="3">
        <v>0.66909700000000005</v>
      </c>
      <c r="N34" s="3">
        <v>0.330903</v>
      </c>
      <c r="O34" s="3">
        <v>0.62</v>
      </c>
      <c r="P34" s="3">
        <v>0.38</v>
      </c>
    </row>
    <row r="35" spans="1:16" x14ac:dyDescent="0.25">
      <c r="A35">
        <v>1.01325</v>
      </c>
      <c r="B35">
        <v>0.64</v>
      </c>
      <c r="C35">
        <v>101.822</v>
      </c>
      <c r="D35">
        <v>1.0708299999999999</v>
      </c>
      <c r="E35">
        <v>0.87407500000000005</v>
      </c>
      <c r="F35">
        <v>1.03965</v>
      </c>
      <c r="G35">
        <v>1.1235599999999999</v>
      </c>
      <c r="L35">
        <v>1</v>
      </c>
      <c r="M35" s="3">
        <v>0.68533299999999997</v>
      </c>
      <c r="N35" s="3">
        <v>0.31466699999999997</v>
      </c>
      <c r="O35" s="3">
        <v>0.64</v>
      </c>
      <c r="P35" s="3">
        <v>0.36</v>
      </c>
    </row>
    <row r="36" spans="1:16" x14ac:dyDescent="0.25">
      <c r="A36">
        <v>1.01325</v>
      </c>
      <c r="B36">
        <v>0.66</v>
      </c>
      <c r="C36">
        <v>101.702</v>
      </c>
      <c r="D36">
        <v>1.06297</v>
      </c>
      <c r="E36">
        <v>0.87776600000000005</v>
      </c>
      <c r="F36">
        <v>1.0353600000000001</v>
      </c>
      <c r="G36">
        <v>1.13228</v>
      </c>
      <c r="L36">
        <v>1</v>
      </c>
      <c r="M36" s="3">
        <v>0.70155900000000004</v>
      </c>
      <c r="N36" s="3">
        <v>0.29844100000000001</v>
      </c>
      <c r="O36" s="3">
        <v>0.66</v>
      </c>
      <c r="P36" s="3">
        <v>0.34</v>
      </c>
    </row>
    <row r="37" spans="1:16" x14ac:dyDescent="0.25">
      <c r="A37">
        <v>1.01325</v>
      </c>
      <c r="B37">
        <v>0.68</v>
      </c>
      <c r="C37">
        <v>101.58799999999999</v>
      </c>
      <c r="D37">
        <v>1.05559</v>
      </c>
      <c r="E37">
        <v>0.88187499999999996</v>
      </c>
      <c r="F37">
        <v>1.03132</v>
      </c>
      <c r="G37">
        <v>1.14137</v>
      </c>
      <c r="L37">
        <v>1</v>
      </c>
      <c r="M37" s="3">
        <v>0.71779999999999999</v>
      </c>
      <c r="N37" s="3">
        <v>0.28220000000000001</v>
      </c>
      <c r="O37" s="3">
        <v>0.68</v>
      </c>
      <c r="P37" s="3">
        <v>0.32</v>
      </c>
    </row>
    <row r="38" spans="1:16" x14ac:dyDescent="0.25">
      <c r="A38">
        <v>1.01325</v>
      </c>
      <c r="B38">
        <v>0.7</v>
      </c>
      <c r="C38">
        <v>101.48099999999999</v>
      </c>
      <c r="D38">
        <v>1.0486800000000001</v>
      </c>
      <c r="E38">
        <v>0.886409</v>
      </c>
      <c r="F38">
        <v>1.0275300000000001</v>
      </c>
      <c r="G38">
        <v>1.15083</v>
      </c>
      <c r="L38">
        <v>1</v>
      </c>
      <c r="M38" s="3">
        <v>0.73407699999999998</v>
      </c>
      <c r="N38" s="3">
        <v>0.26592300000000002</v>
      </c>
      <c r="O38" s="3">
        <v>0.7</v>
      </c>
      <c r="P38" s="3">
        <v>0.3</v>
      </c>
    </row>
    <row r="39" spans="1:16" x14ac:dyDescent="0.25">
      <c r="A39">
        <v>1.01325</v>
      </c>
      <c r="B39">
        <v>0.72</v>
      </c>
      <c r="C39">
        <v>101.381</v>
      </c>
      <c r="D39">
        <v>1.0422400000000001</v>
      </c>
      <c r="E39">
        <v>0.89137299999999997</v>
      </c>
      <c r="F39">
        <v>1.0239799999999999</v>
      </c>
      <c r="G39">
        <v>1.1606799999999999</v>
      </c>
      <c r="L39">
        <v>1</v>
      </c>
      <c r="M39" s="3">
        <v>0.75041500000000005</v>
      </c>
      <c r="N39" s="3">
        <v>0.249585</v>
      </c>
      <c r="O39" s="3">
        <v>0.72</v>
      </c>
      <c r="P39" s="3">
        <v>0.28000000000000003</v>
      </c>
    </row>
    <row r="40" spans="1:16" x14ac:dyDescent="0.25">
      <c r="A40">
        <v>1.01325</v>
      </c>
      <c r="B40">
        <v>0.74</v>
      </c>
      <c r="C40">
        <v>101.28700000000001</v>
      </c>
      <c r="D40">
        <v>1.03627</v>
      </c>
      <c r="E40">
        <v>0.89677600000000002</v>
      </c>
      <c r="F40">
        <v>1.02068</v>
      </c>
      <c r="G40">
        <v>1.17092</v>
      </c>
      <c r="L40">
        <v>1</v>
      </c>
      <c r="M40" s="3">
        <v>0.76683800000000002</v>
      </c>
      <c r="N40" s="3">
        <v>0.23316200000000001</v>
      </c>
      <c r="O40" s="3">
        <v>0.74</v>
      </c>
      <c r="P40" s="3">
        <v>0.26</v>
      </c>
    </row>
    <row r="41" spans="1:16" x14ac:dyDescent="0.25">
      <c r="A41">
        <v>1.01325</v>
      </c>
      <c r="B41">
        <v>0.76</v>
      </c>
      <c r="C41">
        <v>101.2</v>
      </c>
      <c r="D41">
        <v>1.0307500000000001</v>
      </c>
      <c r="E41">
        <v>0.90262600000000004</v>
      </c>
      <c r="F41">
        <v>1.01763</v>
      </c>
      <c r="G41">
        <v>1.1815599999999999</v>
      </c>
      <c r="L41">
        <v>1</v>
      </c>
      <c r="M41" s="3">
        <v>0.78337000000000001</v>
      </c>
      <c r="N41" s="3">
        <v>0.21663099999999999</v>
      </c>
      <c r="O41" s="3">
        <v>0.76</v>
      </c>
      <c r="P41" s="3">
        <v>0.24</v>
      </c>
    </row>
    <row r="42" spans="1:16" x14ac:dyDescent="0.25">
      <c r="A42">
        <v>1.01325</v>
      </c>
      <c r="B42">
        <v>0.78</v>
      </c>
      <c r="C42">
        <v>101.12</v>
      </c>
      <c r="D42">
        <v>1.02569</v>
      </c>
      <c r="E42">
        <v>0.90893400000000002</v>
      </c>
      <c r="F42">
        <v>1.01481</v>
      </c>
      <c r="G42">
        <v>1.19262</v>
      </c>
      <c r="L42">
        <v>1</v>
      </c>
      <c r="M42" s="3">
        <v>0.80003400000000002</v>
      </c>
      <c r="N42" s="3">
        <v>0.199966</v>
      </c>
      <c r="O42" s="3">
        <v>0.78</v>
      </c>
      <c r="P42" s="3">
        <v>0.22</v>
      </c>
    </row>
    <row r="43" spans="1:16" x14ac:dyDescent="0.25">
      <c r="A43">
        <v>1.01325</v>
      </c>
      <c r="B43">
        <v>0.8</v>
      </c>
      <c r="C43">
        <v>101.047</v>
      </c>
      <c r="D43">
        <v>1.0210699999999999</v>
      </c>
      <c r="E43">
        <v>0.91571100000000005</v>
      </c>
      <c r="F43">
        <v>1.0122500000000001</v>
      </c>
      <c r="G43">
        <v>1.2040900000000001</v>
      </c>
      <c r="L43">
        <v>1</v>
      </c>
      <c r="M43" s="3">
        <v>0.81685799999999997</v>
      </c>
      <c r="N43" s="3">
        <v>0.183142</v>
      </c>
      <c r="O43" s="3">
        <v>0.8</v>
      </c>
      <c r="P43" s="3">
        <v>0.2</v>
      </c>
    </row>
    <row r="44" spans="1:16" x14ac:dyDescent="0.25">
      <c r="A44">
        <v>1.01325</v>
      </c>
      <c r="B44">
        <v>0.82</v>
      </c>
      <c r="C44">
        <v>100.98099999999999</v>
      </c>
      <c r="D44">
        <v>1.01691</v>
      </c>
      <c r="E44">
        <v>0.92296900000000004</v>
      </c>
      <c r="F44">
        <v>1.0099199999999999</v>
      </c>
      <c r="G44">
        <v>1.216</v>
      </c>
      <c r="L44">
        <v>1</v>
      </c>
      <c r="M44" s="3">
        <v>0.833866</v>
      </c>
      <c r="N44" s="3">
        <v>0.166135</v>
      </c>
      <c r="O44" s="3">
        <v>0.82</v>
      </c>
      <c r="P44" s="3">
        <v>0.18</v>
      </c>
    </row>
    <row r="45" spans="1:16" x14ac:dyDescent="0.25">
      <c r="A45">
        <v>1.01325</v>
      </c>
      <c r="B45">
        <v>0.84</v>
      </c>
      <c r="C45">
        <v>100.922</v>
      </c>
      <c r="D45">
        <v>1.0132000000000001</v>
      </c>
      <c r="E45">
        <v>0.93072200000000005</v>
      </c>
      <c r="F45">
        <v>1.0078499999999999</v>
      </c>
      <c r="G45">
        <v>1.22834</v>
      </c>
      <c r="L45">
        <v>1</v>
      </c>
      <c r="M45" s="3">
        <v>0.85108399999999995</v>
      </c>
      <c r="N45" s="3">
        <v>0.14891599999999999</v>
      </c>
      <c r="O45" s="3">
        <v>0.84</v>
      </c>
      <c r="P45" s="3">
        <v>0.16</v>
      </c>
    </row>
    <row r="46" spans="1:16" x14ac:dyDescent="0.25">
      <c r="A46">
        <v>1.01325</v>
      </c>
      <c r="B46">
        <v>0.86</v>
      </c>
      <c r="C46">
        <v>100.87</v>
      </c>
      <c r="D46">
        <v>1.00993</v>
      </c>
      <c r="E46">
        <v>0.93898700000000002</v>
      </c>
      <c r="F46">
        <v>1.0060100000000001</v>
      </c>
      <c r="G46">
        <v>1.2411399999999999</v>
      </c>
      <c r="L46">
        <v>1</v>
      </c>
      <c r="M46" s="3">
        <v>0.86854200000000004</v>
      </c>
      <c r="N46" s="3">
        <v>0.13145799999999999</v>
      </c>
      <c r="O46" s="3">
        <v>0.86</v>
      </c>
      <c r="P46" s="3">
        <v>0.14000000000000001</v>
      </c>
    </row>
    <row r="47" spans="1:16" x14ac:dyDescent="0.25">
      <c r="A47">
        <v>1.01325</v>
      </c>
      <c r="B47">
        <v>0.88</v>
      </c>
      <c r="C47">
        <v>100.825</v>
      </c>
      <c r="D47">
        <v>1.00712</v>
      </c>
      <c r="E47">
        <v>0.94777900000000004</v>
      </c>
      <c r="F47">
        <v>1.0044200000000001</v>
      </c>
      <c r="G47">
        <v>1.25441</v>
      </c>
      <c r="L47">
        <v>1</v>
      </c>
      <c r="M47" s="3">
        <v>0.88626700000000003</v>
      </c>
      <c r="N47" s="3">
        <v>0.113734</v>
      </c>
      <c r="O47" s="3">
        <v>0.88</v>
      </c>
      <c r="P47" s="3">
        <v>0.12</v>
      </c>
    </row>
    <row r="48" spans="1:16" x14ac:dyDescent="0.25">
      <c r="A48">
        <v>1.01325</v>
      </c>
      <c r="B48">
        <v>0.9</v>
      </c>
      <c r="C48">
        <v>100.788</v>
      </c>
      <c r="D48">
        <v>1.0047699999999999</v>
      </c>
      <c r="E48">
        <v>0.95711800000000002</v>
      </c>
      <c r="F48">
        <v>1.0030699999999999</v>
      </c>
      <c r="G48">
        <v>1.2681500000000001</v>
      </c>
      <c r="L48">
        <v>1</v>
      </c>
      <c r="M48" s="3">
        <v>0.90428799999999998</v>
      </c>
      <c r="N48" s="3">
        <v>9.5711699999999997E-2</v>
      </c>
      <c r="O48" s="3">
        <v>0.9</v>
      </c>
      <c r="P48" s="3">
        <v>0.1</v>
      </c>
    </row>
    <row r="49" spans="1:16" x14ac:dyDescent="0.25">
      <c r="A49">
        <v>1.01325</v>
      </c>
      <c r="B49">
        <v>0.92</v>
      </c>
      <c r="C49">
        <v>100.759</v>
      </c>
      <c r="D49">
        <v>1.0028699999999999</v>
      </c>
      <c r="E49">
        <v>0.96702399999999999</v>
      </c>
      <c r="F49">
        <v>1.00197</v>
      </c>
      <c r="G49">
        <v>1.28237</v>
      </c>
      <c r="L49">
        <v>1</v>
      </c>
      <c r="M49" s="3">
        <v>0.92263799999999996</v>
      </c>
      <c r="N49" s="3">
        <v>7.7361899999999997E-2</v>
      </c>
      <c r="O49" s="3">
        <v>0.92</v>
      </c>
      <c r="P49" s="3">
        <v>0.08</v>
      </c>
    </row>
    <row r="50" spans="1:16" x14ac:dyDescent="0.25">
      <c r="A50">
        <v>1.01325</v>
      </c>
      <c r="B50">
        <v>0.94</v>
      </c>
      <c r="C50">
        <v>100.738</v>
      </c>
      <c r="D50">
        <v>1.0014400000000001</v>
      </c>
      <c r="E50">
        <v>0.97751900000000003</v>
      </c>
      <c r="F50">
        <v>1.0011099999999999</v>
      </c>
      <c r="G50">
        <v>1.2970999999999999</v>
      </c>
      <c r="L50">
        <v>1</v>
      </c>
      <c r="M50" s="3">
        <v>0.94134899999999999</v>
      </c>
      <c r="N50" s="3">
        <v>5.8651099999999998E-2</v>
      </c>
      <c r="O50" s="3">
        <v>0.94</v>
      </c>
      <c r="P50" s="3">
        <v>0.06</v>
      </c>
    </row>
    <row r="51" spans="1:16" x14ac:dyDescent="0.25">
      <c r="A51">
        <v>1.01325</v>
      </c>
      <c r="B51">
        <v>0.96</v>
      </c>
      <c r="C51">
        <v>100.72499999999999</v>
      </c>
      <c r="D51">
        <v>1.00047</v>
      </c>
      <c r="E51">
        <v>0.98862799999999995</v>
      </c>
      <c r="F51">
        <v>1.0004900000000001</v>
      </c>
      <c r="G51">
        <v>1.3123400000000001</v>
      </c>
      <c r="L51">
        <v>1</v>
      </c>
      <c r="M51" s="3">
        <v>0.96045499999999995</v>
      </c>
      <c r="N51" s="3">
        <v>3.95451E-2</v>
      </c>
      <c r="O51" s="3">
        <v>0.96</v>
      </c>
      <c r="P51" s="3">
        <v>0.04</v>
      </c>
    </row>
    <row r="52" spans="1:16" x14ac:dyDescent="0.25">
      <c r="A52">
        <v>1.01325</v>
      </c>
      <c r="B52">
        <v>0.98</v>
      </c>
      <c r="C52">
        <v>100.721</v>
      </c>
      <c r="D52">
        <v>0.99999199999999999</v>
      </c>
      <c r="E52">
        <v>1.00038</v>
      </c>
      <c r="F52">
        <v>1.0001199999999999</v>
      </c>
      <c r="G52">
        <v>1.3281000000000001</v>
      </c>
      <c r="L52">
        <v>1</v>
      </c>
      <c r="M52" s="3">
        <v>0.979993</v>
      </c>
      <c r="N52" s="3">
        <v>2.0007500000000001E-2</v>
      </c>
      <c r="O52" s="3">
        <v>0.98</v>
      </c>
      <c r="P52" s="3">
        <v>0.02</v>
      </c>
    </row>
    <row r="53" spans="1:16" x14ac:dyDescent="0.25">
      <c r="A53">
        <v>1.01325</v>
      </c>
      <c r="B53">
        <v>1</v>
      </c>
      <c r="C53">
        <v>100.726</v>
      </c>
      <c r="D53">
        <v>1</v>
      </c>
      <c r="E53">
        <v>1.0127999999999999</v>
      </c>
      <c r="F53">
        <v>1</v>
      </c>
      <c r="G53">
        <v>1.3444</v>
      </c>
      <c r="L53">
        <v>1</v>
      </c>
      <c r="M53" s="3">
        <v>1</v>
      </c>
      <c r="N53" s="3">
        <v>0</v>
      </c>
      <c r="O53" s="3">
        <v>1</v>
      </c>
      <c r="P53" s="3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10181-DB46-43BB-8B21-9C2DDD28D2C0}">
  <dimension ref="A1:I24"/>
  <sheetViews>
    <sheetView tabSelected="1" workbookViewId="0">
      <selection activeCell="S32" sqref="S32"/>
    </sheetView>
  </sheetViews>
  <sheetFormatPr defaultColWidth="11.42578125" defaultRowHeight="15" x14ac:dyDescent="0.25"/>
  <sheetData>
    <row r="1" spans="1:9" x14ac:dyDescent="0.25">
      <c r="A1" t="s">
        <v>100</v>
      </c>
      <c r="C1" t="s">
        <v>101</v>
      </c>
    </row>
    <row r="2" spans="1:9" x14ac:dyDescent="0.25">
      <c r="A2" t="s">
        <v>102</v>
      </c>
      <c r="B2">
        <f>B4-B3</f>
        <v>84.724799999999988</v>
      </c>
      <c r="C2" t="s">
        <v>103</v>
      </c>
      <c r="D2" t="s">
        <v>104</v>
      </c>
      <c r="E2">
        <f>E4-E3</f>
        <v>5.410199999999989</v>
      </c>
      <c r="F2" t="s">
        <v>103</v>
      </c>
      <c r="G2" t="s">
        <v>105</v>
      </c>
      <c r="H2">
        <v>1.3435999999999999</v>
      </c>
      <c r="I2" t="s">
        <v>103</v>
      </c>
    </row>
    <row r="3" spans="1:9" x14ac:dyDescent="0.25">
      <c r="A3" t="s">
        <v>106</v>
      </c>
      <c r="B3">
        <v>120.35380000000001</v>
      </c>
      <c r="C3" t="s">
        <v>103</v>
      </c>
      <c r="D3" t="s">
        <v>107</v>
      </c>
      <c r="E3">
        <v>115.55370000000001</v>
      </c>
      <c r="F3" t="s">
        <v>103</v>
      </c>
      <c r="G3" t="s">
        <v>108</v>
      </c>
      <c r="H3">
        <v>1.5150999999999999</v>
      </c>
      <c r="I3" t="s">
        <v>103</v>
      </c>
    </row>
    <row r="4" spans="1:9" x14ac:dyDescent="0.25">
      <c r="A4" t="s">
        <v>109</v>
      </c>
      <c r="B4">
        <v>205.07859999999999</v>
      </c>
      <c r="C4" t="s">
        <v>103</v>
      </c>
      <c r="D4" t="s">
        <v>108</v>
      </c>
      <c r="E4">
        <v>120.9639</v>
      </c>
      <c r="F4" t="s">
        <v>103</v>
      </c>
      <c r="H4">
        <f>H3-H2</f>
        <v>0.17149999999999999</v>
      </c>
      <c r="I4">
        <f>H4/B2*100</f>
        <v>0.20242007062867073</v>
      </c>
    </row>
    <row r="5" spans="1:9" x14ac:dyDescent="0.25">
      <c r="A5" t="s">
        <v>110</v>
      </c>
      <c r="B5">
        <v>205.1112</v>
      </c>
      <c r="C5" t="s">
        <v>103</v>
      </c>
      <c r="D5" t="s">
        <v>111</v>
      </c>
      <c r="E5">
        <f>E2/B7*100</f>
        <v>89.63666186192151</v>
      </c>
      <c r="F5" t="s">
        <v>112</v>
      </c>
      <c r="G5" t="s">
        <v>113</v>
      </c>
      <c r="H5">
        <f>B5-B4</f>
        <v>3.2600000000002183E-2</v>
      </c>
      <c r="I5" t="s">
        <v>103</v>
      </c>
    </row>
    <row r="6" spans="1:9" x14ac:dyDescent="0.25">
      <c r="A6" t="s">
        <v>108</v>
      </c>
      <c r="B6">
        <v>199.07550000000001</v>
      </c>
      <c r="C6" t="s">
        <v>103</v>
      </c>
      <c r="G6" t="s">
        <v>114</v>
      </c>
      <c r="H6">
        <f>H5*1000/B2/0.001</f>
        <v>384.77517798805292</v>
      </c>
      <c r="I6" t="s">
        <v>115</v>
      </c>
    </row>
    <row r="7" spans="1:9" x14ac:dyDescent="0.25">
      <c r="A7" t="s">
        <v>116</v>
      </c>
      <c r="B7">
        <f>B5-B6</f>
        <v>6.0356999999999914</v>
      </c>
    </row>
    <row r="9" spans="1:9" x14ac:dyDescent="0.25">
      <c r="A9" t="s">
        <v>117</v>
      </c>
      <c r="C9" t="s">
        <v>118</v>
      </c>
    </row>
    <row r="10" spans="1:9" x14ac:dyDescent="0.25">
      <c r="A10" t="s">
        <v>102</v>
      </c>
      <c r="B10">
        <f>B12-B11</f>
        <v>89.801799999999986</v>
      </c>
      <c r="C10" t="s">
        <v>103</v>
      </c>
      <c r="D10" t="s">
        <v>104</v>
      </c>
      <c r="E10">
        <f>E12-E11</f>
        <v>11.306700000000006</v>
      </c>
      <c r="F10" t="s">
        <v>103</v>
      </c>
      <c r="G10" t="s">
        <v>105</v>
      </c>
      <c r="H10">
        <v>1.3717999999999999</v>
      </c>
      <c r="I10" t="s">
        <v>103</v>
      </c>
    </row>
    <row r="11" spans="1:9" x14ac:dyDescent="0.25">
      <c r="A11" t="s">
        <v>106</v>
      </c>
      <c r="B11">
        <v>127.3751</v>
      </c>
      <c r="C11" t="s">
        <v>103</v>
      </c>
      <c r="D11" t="s">
        <v>107</v>
      </c>
      <c r="E11">
        <v>129.4196</v>
      </c>
      <c r="F11" t="s">
        <v>103</v>
      </c>
      <c r="G11" t="s">
        <v>108</v>
      </c>
      <c r="H11">
        <v>1.6245000000000001</v>
      </c>
      <c r="I11" t="s">
        <v>103</v>
      </c>
    </row>
    <row r="12" spans="1:9" x14ac:dyDescent="0.25">
      <c r="A12" t="s">
        <v>109</v>
      </c>
      <c r="B12">
        <v>217.17689999999999</v>
      </c>
      <c r="C12" t="s">
        <v>103</v>
      </c>
      <c r="D12" t="s">
        <v>108</v>
      </c>
      <c r="E12">
        <v>140.72630000000001</v>
      </c>
      <c r="F12" t="s">
        <v>103</v>
      </c>
      <c r="H12">
        <f>H11-H10</f>
        <v>0.25270000000000015</v>
      </c>
      <c r="I12">
        <f>H12/B10*100</f>
        <v>0.28139747755612937</v>
      </c>
    </row>
    <row r="13" spans="1:9" x14ac:dyDescent="0.25">
      <c r="A13" t="s">
        <v>110</v>
      </c>
      <c r="B13">
        <v>217.25399999999999</v>
      </c>
      <c r="C13" t="s">
        <v>103</v>
      </c>
      <c r="D13" t="s">
        <v>111</v>
      </c>
      <c r="E13">
        <f>E10/B15*100</f>
        <v>95.731061985115474</v>
      </c>
      <c r="F13" t="s">
        <v>112</v>
      </c>
      <c r="G13" t="s">
        <v>113</v>
      </c>
      <c r="H13">
        <f>B13-B12</f>
        <v>7.7100000000001501E-2</v>
      </c>
      <c r="I13" t="s">
        <v>103</v>
      </c>
    </row>
    <row r="14" spans="1:9" x14ac:dyDescent="0.25">
      <c r="A14" t="s">
        <v>108</v>
      </c>
      <c r="B14">
        <v>205.44309999999999</v>
      </c>
      <c r="C14" t="s">
        <v>103</v>
      </c>
      <c r="G14" t="s">
        <v>114</v>
      </c>
      <c r="H14">
        <f>H13*1000/B10/0.001</f>
        <v>858.55740085389732</v>
      </c>
      <c r="I14" t="s">
        <v>115</v>
      </c>
    </row>
    <row r="15" spans="1:9" x14ac:dyDescent="0.25">
      <c r="A15" t="s">
        <v>116</v>
      </c>
      <c r="B15">
        <f>B13-B14</f>
        <v>11.810900000000004</v>
      </c>
    </row>
    <row r="17" spans="1:9" x14ac:dyDescent="0.25">
      <c r="A17" t="s">
        <v>119</v>
      </c>
      <c r="C17" t="s">
        <v>120</v>
      </c>
    </row>
    <row r="18" spans="1:9" x14ac:dyDescent="0.25">
      <c r="C18" t="s">
        <v>121</v>
      </c>
    </row>
    <row r="19" spans="1:9" x14ac:dyDescent="0.25">
      <c r="A19" t="s">
        <v>102</v>
      </c>
      <c r="B19">
        <f>B21-B20</f>
        <v>88.057000000000002</v>
      </c>
      <c r="C19" t="s">
        <v>103</v>
      </c>
      <c r="D19" t="s">
        <v>104</v>
      </c>
      <c r="E19">
        <f>E21-E20</f>
        <v>8.408299999999997</v>
      </c>
      <c r="F19" t="s">
        <v>103</v>
      </c>
      <c r="G19" t="s">
        <v>105</v>
      </c>
      <c r="H19">
        <v>1.3438000000000001</v>
      </c>
      <c r="I19" t="s">
        <v>103</v>
      </c>
    </row>
    <row r="20" spans="1:9" x14ac:dyDescent="0.25">
      <c r="A20" t="s">
        <v>106</v>
      </c>
      <c r="B20">
        <v>119.2521</v>
      </c>
      <c r="C20" t="s">
        <v>103</v>
      </c>
      <c r="D20" t="s">
        <v>107</v>
      </c>
      <c r="E20">
        <v>127.0445</v>
      </c>
      <c r="F20" t="s">
        <v>103</v>
      </c>
      <c r="G20" t="s">
        <v>108</v>
      </c>
      <c r="H20">
        <v>1.5587</v>
      </c>
      <c r="I20" t="s">
        <v>103</v>
      </c>
    </row>
    <row r="21" spans="1:9" x14ac:dyDescent="0.25">
      <c r="A21" t="s">
        <v>109</v>
      </c>
      <c r="B21">
        <v>207.3091</v>
      </c>
      <c r="C21" t="s">
        <v>103</v>
      </c>
      <c r="D21" t="s">
        <v>108</v>
      </c>
      <c r="E21">
        <v>135.4528</v>
      </c>
      <c r="F21" t="s">
        <v>103</v>
      </c>
      <c r="H21">
        <f>H20-H19</f>
        <v>0.21489999999999987</v>
      </c>
      <c r="I21">
        <f>H21/B19*100</f>
        <v>0.24404646990017811</v>
      </c>
    </row>
    <row r="22" spans="1:9" x14ac:dyDescent="0.25">
      <c r="A22" t="s">
        <v>110</v>
      </c>
      <c r="B22">
        <v>207.52789999999999</v>
      </c>
      <c r="C22" t="s">
        <v>103</v>
      </c>
      <c r="D22" t="s">
        <v>111</v>
      </c>
      <c r="E22">
        <f>E19/B24*100</f>
        <v>85.487560621003283</v>
      </c>
      <c r="F22" t="s">
        <v>112</v>
      </c>
      <c r="G22" t="s">
        <v>113</v>
      </c>
      <c r="H22">
        <f>B22-B21</f>
        <v>0.21879999999998745</v>
      </c>
      <c r="I22" t="s">
        <v>103</v>
      </c>
    </row>
    <row r="23" spans="1:9" x14ac:dyDescent="0.25">
      <c r="A23" t="s">
        <v>108</v>
      </c>
      <c r="B23">
        <v>197.69220000000001</v>
      </c>
      <c r="C23" t="s">
        <v>103</v>
      </c>
      <c r="G23" t="s">
        <v>114</v>
      </c>
      <c r="H23">
        <f>H22*1000/B19/0.001</f>
        <v>2484.7541933064654</v>
      </c>
      <c r="I23" t="s">
        <v>115</v>
      </c>
    </row>
    <row r="24" spans="1:9" x14ac:dyDescent="0.25">
      <c r="A24" t="s">
        <v>116</v>
      </c>
      <c r="B24">
        <f>B22-B23</f>
        <v>9.8356999999999744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Refraction Index</vt:lpstr>
      <vt:lpstr>Boil-up &amp; Heating</vt:lpstr>
      <vt:lpstr>Boil-up &amp; Heating (2)</vt:lpstr>
      <vt:lpstr>UNIFAC</vt:lpstr>
      <vt:lpstr>IDEAL</vt:lpstr>
      <vt:lpstr>UNIFAC_IDEAL</vt:lpstr>
      <vt:lpstr>METHYL-TOLUENE-UNIFAC</vt:lpstr>
      <vt:lpstr>Titration080623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Moure Abelenda, Alejandro</dc:creator>
  <cp:lastModifiedBy>Moure Abelenda, Alejandro</cp:lastModifiedBy>
  <dcterms:created xsi:type="dcterms:W3CDTF">2023-07-05T12:17:45Z</dcterms:created>
  <dcterms:modified xsi:type="dcterms:W3CDTF">2024-01-17T21:36:59Z</dcterms:modified>
</cp:coreProperties>
</file>