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M:\Programma\Projecten\19NRM03 SI-Hg\WP1\VSL vs VSL\07072022 data processing\"/>
    </mc:Choice>
  </mc:AlternateContent>
  <xr:revisionPtr revIDLastSave="0" documentId="13_ncr:1_{0DE71F4D-E169-428B-8B7A-AE573AAE7051}" xr6:coauthVersionLast="47" xr6:coauthVersionMax="47" xr10:uidLastSave="{00000000-0000-0000-0000-000000000000}"/>
  <bookViews>
    <workbookView xWindow="-28920" yWindow="-90" windowWidth="29040" windowHeight="15840" xr2:uid="{00000000-000D-0000-FFFF-FFFF00000000}"/>
  </bookViews>
  <sheets>
    <sheet name="General" sheetId="11" r:id="rId1"/>
    <sheet name="Candidate G1" sheetId="23" r:id="rId2"/>
    <sheet name="Flow G1" sheetId="22" r:id="rId3"/>
    <sheet name="PMGS G2" sheetId="26" r:id="rId4"/>
    <sheet name="Flow G2" sheetId="30" r:id="rId5"/>
    <sheet name="Data" sheetId="29" r:id="rId6"/>
  </sheets>
  <definedNames>
    <definedName name="_04_09_2018_10" localSheetId="1">'Candidate G1'!#REF!</definedName>
    <definedName name="_04_09_2018_11" localSheetId="1">'Candidate G1'!#REF!</definedName>
    <definedName name="_04_09_2018_12" localSheetId="1">'Candidate G1'!#REF!</definedName>
    <definedName name="_04_09_2018_13" localSheetId="1">'Candidate G1'!#REF!</definedName>
    <definedName name="_04_09_2018_14" localSheetId="1">'Candidate G1'!#REF!</definedName>
    <definedName name="_04_09_2018_15" localSheetId="1">'Candidate G1'!#REF!</definedName>
    <definedName name="_04_09_2018_16" localSheetId="1">'Candidate G1'!#REF!</definedName>
    <definedName name="_04_09_2018_17" localSheetId="1">'Candidate G1'!#REF!</definedName>
    <definedName name="_04_09_2018_18" localSheetId="1">'Candidate G1'!#REF!</definedName>
    <definedName name="_04_09_2018_19" localSheetId="1">'Candidate G1'!#REF!</definedName>
    <definedName name="_04_09_2018_20" localSheetId="1">'Candidate G1'!#REF!</definedName>
    <definedName name="_04_09_2018_21" localSheetId="1">'Candidate G1'!#REF!</definedName>
    <definedName name="_04_09_2018_22" localSheetId="1">'Candidate G1'!#REF!</definedName>
    <definedName name="_04_09_2018_23" localSheetId="1">'Candidate G1'!#REF!</definedName>
    <definedName name="_04_09_2018_24" localSheetId="1">'Candidate G1'!#REF!</definedName>
    <definedName name="_04_09_2018_3" localSheetId="1">'Candidate G1'!#REF!</definedName>
    <definedName name="_04_09_2018_4" localSheetId="1">'Candidate G1'!#REF!</definedName>
    <definedName name="_04_09_2018_7" localSheetId="1">'Candidate G1'!#REF!</definedName>
    <definedName name="_04_09_2018_8" localSheetId="1">'Candidate G1'!#REF!</definedName>
    <definedName name="_04_09_2018_9" localSheetId="1">'Candidate G1'!#REF!</definedName>
    <definedName name="_08_09_2017_10" localSheetId="1">'Candidate G1'!#REF!</definedName>
    <definedName name="_08_09_2017_11" localSheetId="1">'Candidate G1'!#REF!</definedName>
    <definedName name="_08_09_2017_12" localSheetId="1">'Candidate G1'!#REF!</definedName>
    <definedName name="_08_09_2017_13" localSheetId="1">'Candidate G1'!#REF!</definedName>
    <definedName name="_08_09_2017_14" localSheetId="1">'Candidate G1'!#REF!</definedName>
    <definedName name="_08_09_2017_15" localSheetId="1">'Candidate G1'!#REF!</definedName>
    <definedName name="_08_09_2017_16" localSheetId="1">'Candidate G1'!#REF!</definedName>
    <definedName name="_08_09_2017_17" localSheetId="1">'Candidate G1'!#REF!</definedName>
    <definedName name="_08_09_2017_18" localSheetId="1">'Candidate G1'!#REF!</definedName>
    <definedName name="_08_09_2017_19" localSheetId="1">'Candidate G1'!#REF!</definedName>
    <definedName name="_08_09_2017_20" localSheetId="1">'Candidate G1'!#REF!</definedName>
    <definedName name="_08_09_2017_21" localSheetId="1">'Candidate G1'!#REF!</definedName>
    <definedName name="_08_09_2017_22" localSheetId="1">'Candidate G1'!#REF!</definedName>
    <definedName name="_08_09_2017_23" localSheetId="1">'Candidate G1'!#REF!</definedName>
    <definedName name="_08_09_2017_24" localSheetId="1">'Candidate G1'!#REF!</definedName>
    <definedName name="_08_09_2017_25" localSheetId="1">'Candidate G1'!#REF!</definedName>
    <definedName name="_08_09_2017_5" localSheetId="1">'Candidate G1'!#REF!</definedName>
    <definedName name="_08_09_2017_6" localSheetId="1">'Candidate G1'!#REF!</definedName>
    <definedName name="_08_09_2017_7" localSheetId="1">'Candidate G1'!#REF!</definedName>
    <definedName name="_08_09_2017_8" localSheetId="1">'Candidate G1'!#REF!</definedName>
    <definedName name="_08_09_2017_9" localSheetId="1">'Candidate G1'!#REF!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23" l="1"/>
  <c r="H19" i="23"/>
  <c r="H19" i="26" l="1"/>
  <c r="H20" i="26" s="1"/>
  <c r="D18" i="26"/>
  <c r="E18" i="26"/>
  <c r="F18" i="26"/>
  <c r="G18" i="26"/>
  <c r="G19" i="26" s="1"/>
  <c r="H18" i="26"/>
  <c r="C18" i="26"/>
  <c r="C19" i="26" s="1"/>
  <c r="F19" i="26"/>
  <c r="D19" i="26"/>
  <c r="E19" i="26"/>
  <c r="G20" i="26" l="1"/>
  <c r="D20" i="26"/>
  <c r="F20" i="26"/>
  <c r="C20" i="26"/>
  <c r="E20" i="26"/>
  <c r="B9" i="26"/>
  <c r="G18" i="23" l="1"/>
  <c r="G19" i="23"/>
  <c r="D18" i="23"/>
  <c r="D19" i="23" s="1"/>
  <c r="E18" i="23"/>
  <c r="E19" i="23" s="1"/>
  <c r="F18" i="23"/>
  <c r="F19" i="23" s="1"/>
  <c r="C18" i="23"/>
  <c r="C19" i="23" s="1"/>
  <c r="B9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3E000000}" name="08-09-2017" type="6" refreshedVersion="3" background="1" saveData="1">
    <textPr codePage="850" sourceFile="C:\Users\Chemistry\Desktop\08-09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0"/>
        <textField position="57"/>
        <textField position="63"/>
        <textField position="71"/>
      </textFields>
    </textPr>
  </connection>
  <connection id="2" xr16:uid="{00000000-0015-0000-FFFF-FFFF6F000000}" name="10-05-20171" type="6" refreshedVersion="3" background="1" saveData="1">
    <textPr codePage="850" sourceFile="C:\Users\Chemistry\Desktop\10-05-2017.txt" delimited="0" decimal="," thousands=".">
      <textFields count="13">
        <textField/>
        <textField position="8"/>
        <textField position="17"/>
        <textField position="22"/>
        <textField position="24"/>
        <textField position="28"/>
        <textField position="30"/>
        <textField position="37"/>
        <textField position="44"/>
        <textField position="50"/>
        <textField position="57"/>
        <textField position="63"/>
        <textField position="71"/>
      </textFields>
    </textPr>
  </connection>
  <connection id="3" xr16:uid="{00000000-0015-0000-FFFF-FFFF70000000}" name="11-08-2017111" type="6" refreshedVersion="3" background="1" saveData="1">
    <textPr codePage="850" sourceFile="C:\Users\Chemistry\Desktop\11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1"/>
        <textField position="57"/>
        <textField position="64"/>
        <textField position="72"/>
      </textFields>
    </textPr>
  </connection>
  <connection id="4" xr16:uid="{00000000-0015-0000-FFFF-FFFF71000000}" name="11-08-201731" type="6" refreshedVersion="3" background="1" saveData="1">
    <textPr codePage="850" sourceFile="C:\Users\Chemistry\Desktop\11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1"/>
        <textField position="57"/>
        <textField position="63"/>
        <textField position="71"/>
      </textFields>
    </textPr>
  </connection>
  <connection id="5" xr16:uid="{00000000-0015-0000-FFFF-FFFF72000000}" name="11-08-201741" type="6" refreshedVersion="3" background="1" saveData="1">
    <textPr codePage="850" sourceFile="C:\Users\Chemistry\Desktop\11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1"/>
        <textField position="57"/>
        <textField position="64"/>
        <textField position="72"/>
      </textFields>
    </textPr>
  </connection>
  <connection id="6" xr16:uid="{00000000-0015-0000-FFFF-FFFF73000000}" name="11-08-201751" type="6" refreshedVersion="3" background="1" saveData="1">
    <textPr codePage="850" sourceFile="C:\Users\Chemistry\Desktop\11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0"/>
        <textField position="57"/>
        <textField position="63"/>
        <textField position="71"/>
      </textFields>
    </textPr>
  </connection>
  <connection id="7" xr16:uid="{00000000-0015-0000-FFFF-FFFF74000000}" name="11-08-201761" type="6" refreshedVersion="3" background="1" saveData="1">
    <textPr codePage="850" sourceFile="C:\Users\Chemistry\Desktop\11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0"/>
        <textField position="57"/>
        <textField position="63"/>
        <textField position="71"/>
      </textFields>
    </textPr>
  </connection>
  <connection id="8" xr16:uid="{00000000-0015-0000-FFFF-FFFF75000000}" name="11-08-20177" type="6" refreshedVersion="3" background="1" saveData="1">
    <textPr codePage="850" sourceFile="C:\Users\Chemistry\Desktop\11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1"/>
        <textField position="57"/>
        <textField position="63"/>
        <textField position="71"/>
      </textFields>
    </textPr>
  </connection>
  <connection id="9" xr16:uid="{00000000-0015-0000-FFFF-FFFF76000000}" name="12-09-2101731" type="6" refreshedVersion="3" background="1" saveData="1">
    <textPr codePage="850" sourceFile="C:\Users\Chemistry\Desktop\12-09-21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0"/>
        <textField position="57"/>
        <textField position="63"/>
        <textField position="71"/>
      </textFields>
    </textPr>
  </connection>
  <connection id="10" xr16:uid="{00000000-0015-0000-FFFF-FFFF77000000}" name="15-08-201711" type="6" refreshedVersion="3" background="1" saveData="1">
    <textPr codePage="850" sourceFile="C:\Users\Chemistry\Desktop\15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1"/>
        <textField position="57"/>
        <textField position="63"/>
        <textField position="71"/>
      </textFields>
    </textPr>
  </connection>
  <connection id="11" xr16:uid="{00000000-0015-0000-FFFF-FFFF78000000}" name="15-08-201721" type="6" refreshedVersion="3" background="1" saveData="1">
    <textPr codePage="850" sourceFile="C:\Users\Chemistry\Desktop\15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1"/>
        <textField position="57"/>
        <textField position="64"/>
        <textField position="72"/>
      </textFields>
    </textPr>
  </connection>
  <connection id="12" xr16:uid="{00000000-0015-0000-FFFF-FFFF79000000}" name="15-08-201731" type="6" refreshedVersion="3" background="1" saveData="1">
    <textPr codePage="850" sourceFile="C:\Users\Chemistry\Desktop\15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0"/>
        <textField position="57"/>
        <textField position="63"/>
        <textField position="71"/>
      </textFields>
    </textPr>
  </connection>
  <connection id="13" xr16:uid="{00000000-0015-0000-FFFF-FFFF7A000000}" name="15-08-201741" type="6" refreshedVersion="3" background="1" saveData="1">
    <textPr codePage="850" sourceFile="C:\Users\Chemistry\Desktop\15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1"/>
        <textField position="57"/>
        <textField position="63"/>
        <textField position="71"/>
      </textFields>
    </textPr>
  </connection>
  <connection id="14" xr16:uid="{00000000-0015-0000-FFFF-FFFF7B000000}" name="15-08-201751" type="6" refreshedVersion="3" background="1" saveData="1">
    <textPr codePage="850" sourceFile="C:\Users\Chemistry\Desktop\15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1"/>
        <textField position="57"/>
        <textField position="64"/>
        <textField position="72"/>
      </textFields>
    </textPr>
  </connection>
  <connection id="15" xr16:uid="{00000000-0015-0000-FFFF-FFFF7C000000}" name="15-08-20176" type="6" refreshedVersion="3" background="1" saveData="1">
    <textPr codePage="850" sourceFile="C:\Users\Chemistry\Desktop\15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1"/>
        <textField position="57"/>
        <textField position="63"/>
        <textField position="71"/>
      </textFields>
    </textPr>
  </connection>
  <connection id="16" xr16:uid="{00000000-0015-0000-FFFF-FFFF7D000000}" name="16-08-201711" type="6" refreshedVersion="3" background="1" saveData="1">
    <textPr codePage="850" sourceFile="C:\Users\Chemistry\Desktop\16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0"/>
        <textField position="57"/>
        <textField position="63"/>
        <textField position="71"/>
      </textFields>
    </textPr>
  </connection>
  <connection id="17" xr16:uid="{00000000-0015-0000-FFFF-FFFF7E000000}" name="16-08-201721" type="6" refreshedVersion="3" background="1" saveData="1">
    <textPr codePage="850" sourceFile="C:\Users\Chemistry\Desktop\16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0"/>
        <textField position="57"/>
        <textField position="63"/>
        <textField position="71"/>
      </textFields>
    </textPr>
  </connection>
  <connection id="18" xr16:uid="{00000000-0015-0000-FFFF-FFFF7F000000}" name="16-08-201731" type="6" refreshedVersion="3" background="1" saveData="1">
    <textPr codePage="850" sourceFile="C:\Users\Chemistry\Desktop\16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0"/>
        <textField position="57"/>
        <textField position="63"/>
        <textField position="71"/>
      </textFields>
    </textPr>
  </connection>
  <connection id="19" xr16:uid="{00000000-0015-0000-FFFF-FFFF80000000}" name="16-08-201741" type="6" refreshedVersion="3" background="1" saveData="1">
    <textPr codePage="850" sourceFile="C:\Users\Chemistry\Desktop\16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1"/>
        <textField position="57"/>
        <textField position="63"/>
        <textField position="71"/>
      </textFields>
    </textPr>
  </connection>
  <connection id="20" xr16:uid="{00000000-0015-0000-FFFF-FFFF81000000}" name="16-08-20175" type="6" refreshedVersion="3" background="1" saveData="1">
    <textPr codePage="850" sourceFile="C:\Users\Chemistry\Desktop\16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1"/>
        <textField position="57"/>
        <textField position="63"/>
        <textField position="71"/>
      </textFields>
    </textPr>
  </connection>
  <connection id="21" xr16:uid="{00000000-0015-0000-FFFF-FFFF82000000}" name="17-08-201711" type="6" refreshedVersion="3" background="1" saveData="1">
    <textPr codePage="850" sourceFile="C:\Users\Chemistry\Desktop\17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0"/>
        <textField position="57"/>
        <textField position="63"/>
        <textField position="71"/>
      </textFields>
    </textPr>
  </connection>
  <connection id="22" xr16:uid="{00000000-0015-0000-FFFF-FFFF83000000}" name="17-08-201721" type="6" refreshedVersion="3" background="1" saveData="1">
    <textPr codePage="850" sourceFile="C:\Users\Chemistry\Desktop\17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0"/>
        <textField position="36"/>
        <textField position="44"/>
        <textField position="50"/>
        <textField position="57"/>
        <textField position="63"/>
        <textField position="71"/>
      </textFields>
    </textPr>
  </connection>
  <connection id="23" xr16:uid="{00000000-0015-0000-FFFF-FFFF84000000}" name="17-08-201741" type="6" refreshedVersion="3" background="1" saveData="1">
    <textPr codePage="850" sourceFile="C:\Users\Chemistry\Desktop\17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0"/>
        <textField position="57"/>
        <textField position="63"/>
        <textField position="71"/>
      </textFields>
    </textPr>
  </connection>
  <connection id="24" xr16:uid="{00000000-0015-0000-FFFF-FFFF85000000}" name="17-08-20175" type="6" refreshedVersion="3" background="1" saveData="1">
    <textPr codePage="850" sourceFile="C:\Users\Chemistry\Desktop\17-08-2017.txt" delimited="0" decimal="," thousands=".">
      <textFields count="13">
        <textField/>
        <textField position="8"/>
        <textField position="17"/>
        <textField position="22"/>
        <textField position="24"/>
        <textField position="27"/>
        <textField position="31"/>
        <textField position="37"/>
        <textField position="44"/>
        <textField position="51"/>
        <textField position="57"/>
        <textField position="63"/>
        <textField position="71"/>
      </textFields>
    </textPr>
  </connection>
</connections>
</file>

<file path=xl/sharedStrings.xml><?xml version="1.0" encoding="utf-8"?>
<sst xmlns="http://schemas.openxmlformats.org/spreadsheetml/2006/main" count="349" uniqueCount="90">
  <si>
    <t>L</t>
  </si>
  <si>
    <t>Date:</t>
  </si>
  <si>
    <t>Operator:</t>
  </si>
  <si>
    <t>Generator:</t>
  </si>
  <si>
    <t>Mercury diffusion:</t>
  </si>
  <si>
    <t>Diffusion cells:</t>
  </si>
  <si>
    <t>numbers</t>
  </si>
  <si>
    <t>1,2 or 3</t>
  </si>
  <si>
    <r>
      <t>ng min</t>
    </r>
    <r>
      <rPr>
        <vertAlign val="superscript"/>
        <sz val="11"/>
        <color theme="1"/>
        <rFont val="Calibri"/>
        <family val="2"/>
        <scheme val="minor"/>
      </rPr>
      <t>-1</t>
    </r>
  </si>
  <si>
    <t>Analyser:</t>
  </si>
  <si>
    <t>Sample time:</t>
  </si>
  <si>
    <t>Min</t>
  </si>
  <si>
    <t>Sample flow:</t>
  </si>
  <si>
    <r>
      <t>L min</t>
    </r>
    <r>
      <rPr>
        <vertAlign val="superscript"/>
        <sz val="11"/>
        <color theme="1"/>
        <rFont val="Calibri"/>
        <family val="2"/>
        <scheme val="minor"/>
      </rPr>
      <t>-1</t>
    </r>
  </si>
  <si>
    <t>Set point MFC nitrogen:</t>
  </si>
  <si>
    <t>Set point MFC air:</t>
  </si>
  <si>
    <r>
      <t>ng m</t>
    </r>
    <r>
      <rPr>
        <vertAlign val="superscript"/>
        <sz val="11"/>
        <color theme="1"/>
        <rFont val="Calibri"/>
        <family val="2"/>
        <scheme val="minor"/>
      </rPr>
      <t>-3</t>
    </r>
  </si>
  <si>
    <t>Total flow:</t>
  </si>
  <si>
    <t>Primary Mercury Gas Standard</t>
  </si>
  <si>
    <t>Mercury concentration:</t>
  </si>
  <si>
    <r>
      <rPr>
        <i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 = 1</t>
    </r>
  </si>
  <si>
    <t>Hg</t>
  </si>
  <si>
    <t>Project:</t>
  </si>
  <si>
    <t>Remarks:</t>
  </si>
  <si>
    <t>Range:</t>
  </si>
  <si>
    <t>(PMGS)</t>
  </si>
  <si>
    <t>L min-1</t>
  </si>
  <si>
    <t>Date</t>
  </si>
  <si>
    <t>Model equation y = a[0] + a[1]*x</t>
  </si>
  <si>
    <t>Regression coefficients:</t>
  </si>
  <si>
    <t>a[0]</t>
  </si>
  <si>
    <t>a[1]</t>
  </si>
  <si>
    <t>Bell-jar sheet for data from bell-jar injections</t>
  </si>
  <si>
    <t>Flow sheet for data from the calibration of the MFC with the BIOS</t>
  </si>
  <si>
    <t>%</t>
  </si>
  <si>
    <t>Calibration coeficients</t>
  </si>
  <si>
    <t>PMGS sheet for data from primary mercury gas standard</t>
  </si>
  <si>
    <t>Fill out the green cells</t>
  </si>
  <si>
    <t>Summary sheet to obtain a table for CurveFit calculation</t>
  </si>
  <si>
    <t>Blue cells can be used as input for CurveFit</t>
  </si>
  <si>
    <t>Instruction:</t>
  </si>
  <si>
    <t>Unknown sheet for data from unknown mercury gas generator</t>
  </si>
  <si>
    <t>u mercury diffusion:</t>
  </si>
  <si>
    <t>Measurement uncertainty:</t>
  </si>
  <si>
    <t xml:space="preserve">Total system flow: </t>
  </si>
  <si>
    <t>Version:</t>
  </si>
  <si>
    <t>New template</t>
  </si>
  <si>
    <t>Description</t>
  </si>
  <si>
    <t>MFC:</t>
  </si>
  <si>
    <t>Calibration date:</t>
  </si>
  <si>
    <t>Data file:</t>
  </si>
  <si>
    <t>Certificate:</t>
  </si>
  <si>
    <t>-</t>
  </si>
  <si>
    <t>ml min-1</t>
  </si>
  <si>
    <t>Set point MFC:</t>
  </si>
  <si>
    <t>Read out MFM:</t>
  </si>
  <si>
    <t>Air diffusion chamber 1</t>
  </si>
  <si>
    <t>Nitrogen diffusion chamber 1</t>
  </si>
  <si>
    <t>Analysis method:</t>
  </si>
  <si>
    <t>0.5-25</t>
  </si>
  <si>
    <t>K:\Beheer\Hg\MFC\2022-03-28\2022-03-28 Template_Calibration Hg MFCs.xlsx</t>
  </si>
  <si>
    <t>PMGS/Reference Standard:</t>
  </si>
  <si>
    <t>Candidate generator:</t>
  </si>
  <si>
    <t>Setpoint:</t>
  </si>
  <si>
    <t>Sampled via PSA stream selector</t>
  </si>
  <si>
    <r>
      <t>U mercury concentration (</t>
    </r>
    <r>
      <rPr>
        <i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 = 2):</t>
    </r>
  </si>
  <si>
    <t>DateTime</t>
  </si>
  <si>
    <t>Pk Area</t>
  </si>
  <si>
    <t>Name</t>
  </si>
  <si>
    <t>Valid</t>
  </si>
  <si>
    <t>Setpoint_candidate</t>
  </si>
  <si>
    <t>Sample Stream 3B Zero Air</t>
  </si>
  <si>
    <t>Sample Stream 3A Zero Air</t>
  </si>
  <si>
    <t>RZ</t>
  </si>
  <si>
    <t>PSA SG II</t>
  </si>
  <si>
    <t>F5min measureAR10</t>
  </si>
  <si>
    <t>VSL</t>
  </si>
  <si>
    <t>0.9 – 2.5 ug/m3</t>
  </si>
  <si>
    <t>SI-Hg</t>
  </si>
  <si>
    <t>Air diffusion chamber 2</t>
  </si>
  <si>
    <t>Nitrogen diffusion chamber 2</t>
  </si>
  <si>
    <t>18, 19, 20</t>
  </si>
  <si>
    <t>Sample Stream 1A 3x3mm</t>
  </si>
  <si>
    <t>Sample Stream 1B 3x3mm</t>
  </si>
  <si>
    <t>Sample Stream 2A 1x 8mm</t>
  </si>
  <si>
    <t>Sample Stream 2B 1x 8mm</t>
  </si>
  <si>
    <t>0.5 - 25</t>
  </si>
  <si>
    <t>Model equation y = a[0] + a[1]*x + a[2]*x^2 + a[3]*x^3</t>
  </si>
  <si>
    <t>a[2]</t>
  </si>
  <si>
    <t>a[3]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</si>
</sst>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9" fontId="10" fillId="0" borderId="0" applyFont="0" applyFill="0" applyBorder="0" applyAlignment="0" applyProtection="0"/>
  </cellStyleXfs>
  <cellXfs count="51">
    <xf numFmtId="0" fontId="0" fillId="0" borderId="0" xfId="0"/>
    <xf numFmtId="14" fontId="0" fillId="0" borderId="0" xfId="0" applyNumberFormat="1"/>
    <xf numFmtId="0" fontId="0" fillId="3" borderId="0" xfId="0" applyFill="1"/>
    <xf numFmtId="0" fontId="0" fillId="0" borderId="0" xfId="0" applyAlignment="1">
      <alignment horizontal="left"/>
    </xf>
    <xf numFmtId="164" fontId="3" fillId="0" borderId="0" xfId="0" applyNumberFormat="1" applyFont="1" applyAlignment="1">
      <alignment horizontal="right" vertical="center"/>
    </xf>
    <xf numFmtId="2" fontId="3" fillId="3" borderId="0" xfId="0" applyNumberFormat="1" applyFont="1" applyFill="1" applyAlignment="1">
      <alignment horizontal="right" vertical="center"/>
    </xf>
    <xf numFmtId="10" fontId="0" fillId="0" borderId="0" xfId="0" applyNumberFormat="1"/>
    <xf numFmtId="0" fontId="5" fillId="0" borderId="0" xfId="0" applyFont="1"/>
    <xf numFmtId="0" fontId="6" fillId="0" borderId="0" xfId="0" applyFont="1"/>
    <xf numFmtId="164" fontId="3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right"/>
    </xf>
    <xf numFmtId="2" fontId="3" fillId="0" borderId="0" xfId="0" applyNumberFormat="1" applyFont="1" applyAlignment="1">
      <alignment horizontal="right" vertical="center"/>
    </xf>
    <xf numFmtId="14" fontId="0" fillId="3" borderId="0" xfId="0" applyNumberFormat="1" applyFill="1"/>
    <xf numFmtId="0" fontId="0" fillId="3" borderId="1" xfId="0" applyFill="1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3" borderId="2" xfId="0" applyFill="1" applyBorder="1"/>
    <xf numFmtId="0" fontId="0" fillId="0" borderId="6" xfId="0" applyBorder="1"/>
    <xf numFmtId="0" fontId="0" fillId="4" borderId="0" xfId="0" applyFill="1"/>
    <xf numFmtId="0" fontId="0" fillId="0" borderId="0" xfId="0" applyAlignment="1">
      <alignment wrapText="1"/>
    </xf>
    <xf numFmtId="0" fontId="0" fillId="3" borderId="3" xfId="0" applyFill="1" applyBorder="1"/>
    <xf numFmtId="0" fontId="0" fillId="3" borderId="8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14" fontId="8" fillId="3" borderId="0" xfId="1" applyNumberFormat="1" applyFill="1"/>
    <xf numFmtId="164" fontId="0" fillId="3" borderId="0" xfId="0" applyNumberFormat="1" applyFill="1"/>
    <xf numFmtId="11" fontId="0" fillId="3" borderId="0" xfId="0" applyNumberFormat="1" applyFill="1"/>
    <xf numFmtId="11" fontId="0" fillId="3" borderId="1" xfId="0" applyNumberFormat="1" applyFill="1" applyBorder="1"/>
    <xf numFmtId="11" fontId="0" fillId="3" borderId="2" xfId="0" applyNumberFormat="1" applyFill="1" applyBorder="1"/>
    <xf numFmtId="11" fontId="0" fillId="3" borderId="7" xfId="0" applyNumberFormat="1" applyFill="1" applyBorder="1"/>
    <xf numFmtId="4" fontId="1" fillId="0" borderId="0" xfId="0" applyNumberFormat="1" applyFont="1"/>
    <xf numFmtId="0" fontId="9" fillId="0" borderId="0" xfId="0" applyFont="1"/>
    <xf numFmtId="1" fontId="3" fillId="0" borderId="0" xfId="0" applyNumberFormat="1" applyFont="1" applyAlignment="1">
      <alignment horizontal="right" vertical="center"/>
    </xf>
    <xf numFmtId="1" fontId="3" fillId="3" borderId="0" xfId="0" applyNumberFormat="1" applyFont="1" applyFill="1" applyAlignment="1">
      <alignment horizontal="right" vertical="center"/>
    </xf>
    <xf numFmtId="9" fontId="0" fillId="0" borderId="0" xfId="2" applyFont="1"/>
    <xf numFmtId="22" fontId="0" fillId="0" borderId="0" xfId="0" applyNumberFormat="1"/>
    <xf numFmtId="2" fontId="0" fillId="3" borderId="0" xfId="0" applyNumberFormat="1" applyFill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11" fontId="0" fillId="3" borderId="13" xfId="0" applyNumberFormat="1" applyFill="1" applyBorder="1"/>
    <xf numFmtId="0" fontId="0" fillId="3" borderId="14" xfId="0" applyFill="1" applyBorder="1"/>
    <xf numFmtId="11" fontId="0" fillId="3" borderId="15" xfId="0" applyNumberFormat="1" applyFill="1" applyBorder="1"/>
    <xf numFmtId="11" fontId="0" fillId="3" borderId="16" xfId="0" applyNumberFormat="1" applyFill="1" applyBorder="1"/>
    <xf numFmtId="0" fontId="0" fillId="5" borderId="0" xfId="0" applyFill="1"/>
    <xf numFmtId="1" fontId="0" fillId="0" borderId="0" xfId="0" applyNumberFormat="1"/>
    <xf numFmtId="0" fontId="3" fillId="2" borderId="0" xfId="0" applyFont="1" applyFill="1" applyAlignment="1">
      <alignment horizontal="center"/>
    </xf>
  </cellXfs>
  <cellStyles count="3">
    <cellStyle name="Hyperlink" xfId="1" builtinId="8"/>
    <cellStyle name="Procent" xfId="2" builtinId="5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file:///\\ad.nmi\data\312\Beheer\Hg\MFC\2022-03-28\2022-03-28%20Template_Calibration%20Hg%20MFCs.xlsx" TargetMode="External"/><Relationship Id="rId1" Type="http://schemas.openxmlformats.org/officeDocument/2006/relationships/hyperlink" Target="file:///\\ad.nmi\data\312\Beheer\Hg\MFC\2022-03-28\2022-03-28%20Template_Calibration%20Hg%20MFCs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file:///\\ad.nmi\data\312\Beheer\Hg\MFC\2022-03-28\2022-03-28%20Template_Calibration%20Hg%20MFCs.xlsx" TargetMode="External"/><Relationship Id="rId1" Type="http://schemas.openxmlformats.org/officeDocument/2006/relationships/hyperlink" Target="file:///\\ad.nmi\data\312\Beheer\Hg\MFC\2022-03-28\2022-03-28%20Template_Calibration%20Hg%20MFCs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/>
  </sheetViews>
  <sheetFormatPr defaultRowHeight="15" x14ac:dyDescent="0.25"/>
  <cols>
    <col min="1" max="1" width="25.5703125" bestFit="1" customWidth="1"/>
    <col min="2" max="2" width="67.5703125" bestFit="1" customWidth="1"/>
    <col min="3" max="3" width="17.85546875" bestFit="1" customWidth="1"/>
  </cols>
  <sheetData>
    <row r="1" spans="1:3" s="8" customFormat="1" ht="23.25" x14ac:dyDescent="0.35">
      <c r="A1" s="7" t="s">
        <v>21</v>
      </c>
      <c r="B1" s="7" t="s">
        <v>18</v>
      </c>
      <c r="C1" s="7" t="s">
        <v>25</v>
      </c>
    </row>
    <row r="4" spans="1:3" x14ac:dyDescent="0.25">
      <c r="A4" t="s">
        <v>1</v>
      </c>
      <c r="B4" s="12">
        <v>44749</v>
      </c>
    </row>
    <row r="5" spans="1:3" x14ac:dyDescent="0.25">
      <c r="A5" t="s">
        <v>2</v>
      </c>
      <c r="B5" s="2" t="s">
        <v>73</v>
      </c>
    </row>
    <row r="6" spans="1:3" x14ac:dyDescent="0.25">
      <c r="A6" t="s">
        <v>9</v>
      </c>
      <c r="B6" s="2" t="s">
        <v>74</v>
      </c>
    </row>
    <row r="7" spans="1:3" x14ac:dyDescent="0.25">
      <c r="A7" t="s">
        <v>58</v>
      </c>
      <c r="B7" s="2" t="s">
        <v>75</v>
      </c>
    </row>
    <row r="8" spans="1:3" x14ac:dyDescent="0.25">
      <c r="A8" t="s">
        <v>61</v>
      </c>
      <c r="B8" s="2" t="s">
        <v>76</v>
      </c>
    </row>
    <row r="9" spans="1:3" x14ac:dyDescent="0.25">
      <c r="A9" t="s">
        <v>62</v>
      </c>
      <c r="B9" s="2" t="s">
        <v>76</v>
      </c>
    </row>
    <row r="10" spans="1:3" x14ac:dyDescent="0.25">
      <c r="A10" t="s">
        <v>24</v>
      </c>
      <c r="B10" s="2" t="s">
        <v>77</v>
      </c>
    </row>
    <row r="11" spans="1:3" x14ac:dyDescent="0.25">
      <c r="A11" t="s">
        <v>22</v>
      </c>
      <c r="B11" s="2" t="s">
        <v>78</v>
      </c>
    </row>
    <row r="12" spans="1:3" ht="93" customHeight="1" x14ac:dyDescent="0.25">
      <c r="A12" t="s">
        <v>23</v>
      </c>
      <c r="B12" s="2"/>
    </row>
    <row r="14" spans="1:3" x14ac:dyDescent="0.25">
      <c r="B14" s="20"/>
    </row>
    <row r="16" spans="1:3" x14ac:dyDescent="0.25">
      <c r="A16" t="s">
        <v>40</v>
      </c>
      <c r="B16" t="s">
        <v>36</v>
      </c>
    </row>
    <row r="17" spans="1:14" x14ac:dyDescent="0.25">
      <c r="B17" t="s">
        <v>32</v>
      </c>
    </row>
    <row r="18" spans="1:14" x14ac:dyDescent="0.25">
      <c r="B18" t="s">
        <v>41</v>
      </c>
    </row>
    <row r="19" spans="1:14" x14ac:dyDescent="0.25">
      <c r="B19" t="s">
        <v>38</v>
      </c>
    </row>
    <row r="20" spans="1:14" x14ac:dyDescent="0.25">
      <c r="B20" t="s">
        <v>33</v>
      </c>
    </row>
    <row r="21" spans="1:14" x14ac:dyDescent="0.25">
      <c r="B21" s="2" t="s">
        <v>37</v>
      </c>
      <c r="K21" s="6"/>
      <c r="N21" s="6"/>
    </row>
    <row r="22" spans="1:14" x14ac:dyDescent="0.25">
      <c r="B22" s="19" t="s">
        <v>39</v>
      </c>
      <c r="K22" s="6"/>
      <c r="N22" s="6"/>
    </row>
    <row r="25" spans="1:14" x14ac:dyDescent="0.25">
      <c r="A25" t="s">
        <v>45</v>
      </c>
      <c r="B25" t="s">
        <v>47</v>
      </c>
      <c r="C25" t="s">
        <v>27</v>
      </c>
    </row>
    <row r="26" spans="1:14" x14ac:dyDescent="0.25">
      <c r="A26">
        <v>1</v>
      </c>
      <c r="B26" t="s">
        <v>46</v>
      </c>
      <c r="C26" s="1">
        <v>44966</v>
      </c>
    </row>
    <row r="27" spans="1:14" x14ac:dyDescent="0.25">
      <c r="C2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1"/>
  <sheetViews>
    <sheetView workbookViewId="0"/>
  </sheetViews>
  <sheetFormatPr defaultRowHeight="15" x14ac:dyDescent="0.25"/>
  <cols>
    <col min="1" max="1" width="30" bestFit="1" customWidth="1"/>
    <col min="2" max="2" width="23.5703125" bestFit="1" customWidth="1"/>
    <col min="3" max="14" width="9.140625" customWidth="1"/>
    <col min="16" max="16" width="9.140625" customWidth="1"/>
  </cols>
  <sheetData>
    <row r="1" spans="1:12" x14ac:dyDescent="0.25">
      <c r="A1" t="s">
        <v>3</v>
      </c>
      <c r="B1" s="2">
        <v>1</v>
      </c>
      <c r="C1" t="s">
        <v>7</v>
      </c>
      <c r="F1" t="s">
        <v>23</v>
      </c>
      <c r="G1" s="2"/>
      <c r="H1" s="2"/>
      <c r="I1" s="2"/>
      <c r="J1" s="2"/>
    </row>
    <row r="2" spans="1:12" x14ac:dyDescent="0.25">
      <c r="A2" t="s">
        <v>5</v>
      </c>
      <c r="B2" s="2">
        <v>33</v>
      </c>
      <c r="C2" t="s">
        <v>6</v>
      </c>
      <c r="G2" s="2"/>
      <c r="H2" s="2"/>
      <c r="I2" s="2"/>
      <c r="J2" s="2"/>
    </row>
    <row r="3" spans="1:12" ht="17.25" x14ac:dyDescent="0.25">
      <c r="A3" t="s">
        <v>4</v>
      </c>
      <c r="B3" s="38">
        <v>10.52</v>
      </c>
      <c r="C3" t="s">
        <v>8</v>
      </c>
      <c r="G3" s="2"/>
      <c r="H3" s="2"/>
      <c r="I3" s="2"/>
      <c r="J3" s="2"/>
    </row>
    <row r="4" spans="1:12" ht="17.25" x14ac:dyDescent="0.25">
      <c r="A4" t="s">
        <v>42</v>
      </c>
      <c r="B4" s="2">
        <v>0.31559999999999999</v>
      </c>
      <c r="C4" t="s">
        <v>8</v>
      </c>
      <c r="D4" t="s">
        <v>20</v>
      </c>
      <c r="G4" s="2"/>
      <c r="H4" s="2"/>
      <c r="I4" s="2"/>
      <c r="J4" s="2"/>
    </row>
    <row r="5" spans="1:12" x14ac:dyDescent="0.25">
      <c r="A5" t="s">
        <v>9</v>
      </c>
      <c r="B5" s="2" t="s">
        <v>74</v>
      </c>
      <c r="G5" s="2"/>
      <c r="H5" s="2"/>
      <c r="I5" s="2"/>
      <c r="J5" s="2"/>
    </row>
    <row r="6" spans="1:12" x14ac:dyDescent="0.25">
      <c r="A6" t="s">
        <v>43</v>
      </c>
      <c r="B6" s="2">
        <v>1.5</v>
      </c>
      <c r="C6" t="s">
        <v>34</v>
      </c>
      <c r="D6" t="s">
        <v>20</v>
      </c>
      <c r="G6" s="2"/>
      <c r="H6" s="2"/>
      <c r="I6" s="2"/>
      <c r="J6" s="2"/>
    </row>
    <row r="7" spans="1:12" x14ac:dyDescent="0.25">
      <c r="A7" t="s">
        <v>10</v>
      </c>
      <c r="B7" s="2">
        <v>5</v>
      </c>
      <c r="C7" t="s">
        <v>11</v>
      </c>
      <c r="G7" s="2"/>
      <c r="H7" s="2"/>
      <c r="I7" s="2"/>
      <c r="J7" s="2"/>
    </row>
    <row r="8" spans="1:12" ht="17.25" x14ac:dyDescent="0.25">
      <c r="A8" t="s">
        <v>12</v>
      </c>
      <c r="B8" s="2">
        <v>0.6</v>
      </c>
      <c r="C8" t="s">
        <v>13</v>
      </c>
      <c r="G8" s="2"/>
      <c r="H8" s="2"/>
      <c r="I8" s="2"/>
      <c r="J8" s="2"/>
    </row>
    <row r="9" spans="1:12" x14ac:dyDescent="0.25">
      <c r="A9" t="s">
        <v>17</v>
      </c>
      <c r="B9">
        <f>B7*B8</f>
        <v>3</v>
      </c>
      <c r="C9" t="s">
        <v>0</v>
      </c>
    </row>
    <row r="11" spans="1:12" x14ac:dyDescent="0.25">
      <c r="A11" s="50" t="s">
        <v>64</v>
      </c>
      <c r="B11" s="50"/>
      <c r="C11" s="50"/>
      <c r="D11" s="50"/>
      <c r="E11" s="50"/>
      <c r="F11" s="1"/>
    </row>
    <row r="12" spans="1:12" x14ac:dyDescent="0.25">
      <c r="A12" s="50"/>
      <c r="B12" s="50"/>
      <c r="C12" s="50"/>
      <c r="D12" s="50"/>
      <c r="E12" s="50"/>
    </row>
    <row r="15" spans="1:12" x14ac:dyDescent="0.25">
      <c r="A15" t="s">
        <v>63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</row>
    <row r="16" spans="1:12" ht="17.25" x14ac:dyDescent="0.25">
      <c r="A16" t="s">
        <v>14</v>
      </c>
      <c r="B16" t="s">
        <v>13</v>
      </c>
      <c r="C16" s="9">
        <v>0.5</v>
      </c>
      <c r="D16" s="9">
        <v>0.5</v>
      </c>
      <c r="E16" s="9">
        <v>0.5</v>
      </c>
      <c r="F16" s="9">
        <v>0.5</v>
      </c>
      <c r="G16" s="9">
        <v>0.5</v>
      </c>
      <c r="H16" s="9">
        <v>0.5</v>
      </c>
      <c r="I16" s="9"/>
      <c r="J16" s="9"/>
      <c r="K16" s="9"/>
      <c r="L16" s="9"/>
    </row>
    <row r="17" spans="1:13" ht="17.25" x14ac:dyDescent="0.25">
      <c r="A17" t="s">
        <v>15</v>
      </c>
      <c r="B17" t="s">
        <v>13</v>
      </c>
      <c r="C17" s="10">
        <v>3</v>
      </c>
      <c r="D17" s="10">
        <v>3.5</v>
      </c>
      <c r="E17" s="10">
        <v>4.1500000000000004</v>
      </c>
      <c r="F17" s="10">
        <v>5</v>
      </c>
      <c r="G17" s="10">
        <v>6.3</v>
      </c>
      <c r="H17" s="10">
        <v>8.25</v>
      </c>
      <c r="I17" s="10"/>
      <c r="J17" s="10"/>
      <c r="K17" s="10"/>
      <c r="L17" s="10"/>
    </row>
    <row r="18" spans="1:13" ht="17.25" x14ac:dyDescent="0.25">
      <c r="A18" s="3" t="s">
        <v>44</v>
      </c>
      <c r="B18" t="s">
        <v>13</v>
      </c>
      <c r="C18" s="11">
        <f>('Flow G1'!$B$12+('Flow G1'!$B$13*(C17))+('Flow G1'!$I$11/1000))</f>
        <v>4.1047055399999994</v>
      </c>
      <c r="D18" s="11">
        <f>('Flow G1'!$B$12+('Flow G1'!$B$13*(D17))+('Flow G1'!$I$11/1000))</f>
        <v>4.64901374</v>
      </c>
      <c r="E18" s="11">
        <f>('Flow G1'!$B$12+('Flow G1'!$B$13*(E17))+('Flow G1'!$I$11/1000))</f>
        <v>5.3566144000000007</v>
      </c>
      <c r="F18" s="11">
        <f>('Flow G1'!$B$12+('Flow G1'!$B$13*(F17))+('Flow G1'!$I$11/1000))</f>
        <v>6.2819383400000008</v>
      </c>
      <c r="G18" s="11">
        <f>('Flow G1'!$B$12+('Flow G1'!$B$13*(G17))+('Flow G1'!$I$11/1000))</f>
        <v>7.6971396600000004</v>
      </c>
      <c r="H18" s="11">
        <f>('Flow G1'!$B$12+('Flow G1'!$B$13*(H17))+('Flow G1'!$I$11/1000))</f>
        <v>9.8199416399999997</v>
      </c>
      <c r="I18" s="4"/>
      <c r="J18" s="4"/>
      <c r="K18" s="4"/>
      <c r="L18" s="4"/>
    </row>
    <row r="19" spans="1:13" ht="17.25" x14ac:dyDescent="0.25">
      <c r="A19" s="3" t="s">
        <v>19</v>
      </c>
      <c r="B19" t="s">
        <v>16</v>
      </c>
      <c r="C19" s="34">
        <f>$B$3/C18*1000</f>
        <v>2562.9122229313434</v>
      </c>
      <c r="D19" s="34">
        <f>$B$3/D18*1000</f>
        <v>2262.8455385033985</v>
      </c>
      <c r="E19" s="34">
        <f>$B$3/E18*1000</f>
        <v>1963.927065573359</v>
      </c>
      <c r="F19" s="34">
        <f t="shared" ref="F19:G19" si="0">$B$3/F18*1000</f>
        <v>1674.642352506758</v>
      </c>
      <c r="G19" s="34">
        <f t="shared" si="0"/>
        <v>1366.7414734163729</v>
      </c>
      <c r="H19" s="34">
        <f t="shared" ref="H19" si="1">$B$3/H18*1000</f>
        <v>1071.2894623679249</v>
      </c>
      <c r="I19" s="11"/>
      <c r="J19" s="11"/>
      <c r="K19" s="11"/>
      <c r="L19" s="11"/>
    </row>
    <row r="20" spans="1:13" ht="17.25" x14ac:dyDescent="0.25">
      <c r="A20" s="3" t="s">
        <v>65</v>
      </c>
      <c r="B20" t="s">
        <v>16</v>
      </c>
      <c r="C20" s="35"/>
      <c r="D20" s="35"/>
      <c r="E20" s="35"/>
      <c r="F20" s="35"/>
      <c r="G20" s="35"/>
      <c r="H20" s="5"/>
      <c r="I20" s="5"/>
      <c r="J20" s="5"/>
      <c r="K20" s="5"/>
      <c r="L20" s="5"/>
    </row>
    <row r="21" spans="1:13" x14ac:dyDescent="0.25">
      <c r="A21" s="3" t="s">
        <v>65</v>
      </c>
      <c r="B21" t="s">
        <v>34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2"/>
    </row>
  </sheetData>
  <mergeCells count="1">
    <mergeCell ref="A11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99"/>
  <sheetViews>
    <sheetView workbookViewId="0"/>
  </sheetViews>
  <sheetFormatPr defaultColWidth="9.140625" defaultRowHeight="15" x14ac:dyDescent="0.25"/>
  <cols>
    <col min="1" max="1" width="10.5703125" bestFit="1" customWidth="1"/>
    <col min="2" max="2" width="15.28515625" bestFit="1" customWidth="1"/>
    <col min="3" max="3" width="15.140625" bestFit="1" customWidth="1"/>
    <col min="4" max="9" width="18.7109375" bestFit="1" customWidth="1"/>
    <col min="10" max="10" width="17.42578125" bestFit="1" customWidth="1"/>
    <col min="11" max="11" width="18.7109375" bestFit="1" customWidth="1"/>
    <col min="12" max="12" width="24.85546875" bestFit="1" customWidth="1"/>
    <col min="13" max="13" width="27.85546875" bestFit="1" customWidth="1"/>
    <col min="14" max="14" width="22.7109375" bestFit="1" customWidth="1"/>
  </cols>
  <sheetData>
    <row r="1" spans="1:12" x14ac:dyDescent="0.25">
      <c r="A1" t="s">
        <v>48</v>
      </c>
      <c r="C1" s="12" t="s">
        <v>56</v>
      </c>
      <c r="H1" t="s">
        <v>48</v>
      </c>
      <c r="J1" s="12" t="s">
        <v>57</v>
      </c>
    </row>
    <row r="2" spans="1:12" x14ac:dyDescent="0.25">
      <c r="A2" t="s">
        <v>24</v>
      </c>
      <c r="C2" s="12" t="s">
        <v>59</v>
      </c>
      <c r="D2" t="s">
        <v>26</v>
      </c>
      <c r="H2" t="s">
        <v>24</v>
      </c>
      <c r="J2" s="27">
        <v>0.5</v>
      </c>
      <c r="K2" t="s">
        <v>26</v>
      </c>
    </row>
    <row r="3" spans="1:12" x14ac:dyDescent="0.25">
      <c r="A3" t="s">
        <v>49</v>
      </c>
      <c r="C3" s="12">
        <v>44648</v>
      </c>
      <c r="H3" t="s">
        <v>49</v>
      </c>
      <c r="J3" s="12">
        <v>44648</v>
      </c>
    </row>
    <row r="4" spans="1:12" x14ac:dyDescent="0.25">
      <c r="A4" t="s">
        <v>50</v>
      </c>
      <c r="C4" s="26" t="s">
        <v>60</v>
      </c>
      <c r="H4" t="s">
        <v>50</v>
      </c>
      <c r="J4" s="26" t="s">
        <v>60</v>
      </c>
    </row>
    <row r="5" spans="1:12" x14ac:dyDescent="0.25">
      <c r="A5" t="s">
        <v>51</v>
      </c>
      <c r="C5" s="12" t="s">
        <v>52</v>
      </c>
      <c r="H5" t="s">
        <v>51</v>
      </c>
      <c r="J5" s="12" t="s">
        <v>52</v>
      </c>
    </row>
    <row r="7" spans="1:12" x14ac:dyDescent="0.25">
      <c r="A7" s="50" t="s">
        <v>35</v>
      </c>
      <c r="B7" s="50"/>
      <c r="C7" s="50"/>
      <c r="D7" s="50"/>
      <c r="E7" s="50"/>
      <c r="H7" s="50" t="s">
        <v>35</v>
      </c>
      <c r="I7" s="50"/>
      <c r="J7" s="50"/>
      <c r="K7" s="50"/>
      <c r="L7" s="50"/>
    </row>
    <row r="8" spans="1:12" x14ac:dyDescent="0.25">
      <c r="A8" s="50"/>
      <c r="B8" s="50"/>
      <c r="C8" s="50"/>
      <c r="D8" s="50"/>
      <c r="E8" s="50"/>
      <c r="H8" s="50"/>
      <c r="I8" s="50"/>
      <c r="J8" s="50"/>
      <c r="K8" s="50"/>
      <c r="L8" s="50"/>
    </row>
    <row r="10" spans="1:12" x14ac:dyDescent="0.25">
      <c r="A10" s="21" t="s">
        <v>28</v>
      </c>
      <c r="B10" s="22"/>
      <c r="C10" s="23"/>
      <c r="H10" s="14" t="s">
        <v>54</v>
      </c>
      <c r="I10" s="22">
        <v>500</v>
      </c>
      <c r="J10" s="15" t="s">
        <v>53</v>
      </c>
    </row>
    <row r="11" spans="1:12" x14ac:dyDescent="0.25">
      <c r="A11" s="24" t="s">
        <v>29</v>
      </c>
      <c r="B11" s="2"/>
      <c r="C11" s="13"/>
      <c r="H11" s="18" t="s">
        <v>55</v>
      </c>
      <c r="I11" s="17">
        <v>525.22</v>
      </c>
      <c r="J11" s="16" t="s">
        <v>53</v>
      </c>
    </row>
    <row r="12" spans="1:12" x14ac:dyDescent="0.25">
      <c r="A12" s="24" t="s">
        <v>30</v>
      </c>
      <c r="B12" s="28">
        <v>0.31363634000000001</v>
      </c>
      <c r="C12" s="29">
        <v>2.7833926999999998E-3</v>
      </c>
    </row>
    <row r="13" spans="1:12" x14ac:dyDescent="0.25">
      <c r="A13" s="25" t="s">
        <v>31</v>
      </c>
      <c r="B13" s="30">
        <v>1.0886164</v>
      </c>
      <c r="C13" s="31">
        <v>7.2345107999999996E-4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6" customFormat="1" x14ac:dyDescent="0.25"/>
    <row r="37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9" customFormat="1" x14ac:dyDescent="0.25"/>
    <row r="190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7" customFormat="1" x14ac:dyDescent="0.25"/>
    <row r="198" customFormat="1" x14ac:dyDescent="0.25"/>
    <row r="199" customFormat="1" x14ac:dyDescent="0.25"/>
  </sheetData>
  <mergeCells count="2">
    <mergeCell ref="A7:E8"/>
    <mergeCell ref="H7:L8"/>
  </mergeCells>
  <phoneticPr fontId="7" type="noConversion"/>
  <hyperlinks>
    <hyperlink ref="C4" r:id="rId1" xr:uid="{82ECA71B-011E-4771-BA0C-3274BCA8B394}"/>
    <hyperlink ref="J4" r:id="rId2" xr:uid="{5F85BE0C-B6AB-41DE-8A4D-3F165209FAE9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32FC8-E3DA-46CD-9CDE-CE07110C5656}">
  <dimension ref="A1:M21"/>
  <sheetViews>
    <sheetView workbookViewId="0"/>
  </sheetViews>
  <sheetFormatPr defaultRowHeight="15" x14ac:dyDescent="0.25"/>
  <cols>
    <col min="1" max="1" width="30" bestFit="1" customWidth="1"/>
    <col min="2" max="2" width="23.5703125" bestFit="1" customWidth="1"/>
    <col min="3" max="3" width="10.5703125" bestFit="1" customWidth="1"/>
  </cols>
  <sheetData>
    <row r="1" spans="1:12" x14ac:dyDescent="0.25">
      <c r="A1" t="s">
        <v>3</v>
      </c>
      <c r="B1" s="2">
        <v>2</v>
      </c>
      <c r="C1" t="s">
        <v>7</v>
      </c>
      <c r="F1" t="s">
        <v>23</v>
      </c>
      <c r="G1" s="2"/>
      <c r="H1" s="2"/>
      <c r="I1" s="2"/>
      <c r="J1" s="2"/>
    </row>
    <row r="2" spans="1:12" x14ac:dyDescent="0.25">
      <c r="A2" t="s">
        <v>5</v>
      </c>
      <c r="B2" s="2" t="s">
        <v>81</v>
      </c>
      <c r="C2" t="s">
        <v>6</v>
      </c>
      <c r="G2" s="2"/>
      <c r="H2" s="2"/>
      <c r="I2" s="2"/>
      <c r="J2" s="2"/>
    </row>
    <row r="3" spans="1:12" ht="17.25" x14ac:dyDescent="0.25">
      <c r="A3" t="s">
        <v>4</v>
      </c>
      <c r="B3" s="2">
        <v>4.03</v>
      </c>
      <c r="C3" t="s">
        <v>8</v>
      </c>
      <c r="G3" s="2"/>
      <c r="H3" s="2"/>
      <c r="I3" s="2"/>
      <c r="J3" s="2"/>
    </row>
    <row r="4" spans="1:12" ht="17.25" x14ac:dyDescent="0.25">
      <c r="A4" t="s">
        <v>42</v>
      </c>
      <c r="B4" s="2">
        <v>0.12</v>
      </c>
      <c r="C4" t="s">
        <v>8</v>
      </c>
      <c r="D4" t="s">
        <v>20</v>
      </c>
      <c r="G4" s="2"/>
      <c r="H4" s="2"/>
      <c r="I4" s="2"/>
      <c r="J4" s="2"/>
    </row>
    <row r="5" spans="1:12" x14ac:dyDescent="0.25">
      <c r="A5" t="s">
        <v>9</v>
      </c>
      <c r="B5" s="2" t="s">
        <v>74</v>
      </c>
      <c r="G5" s="2"/>
      <c r="H5" s="2"/>
      <c r="I5" s="2"/>
      <c r="J5" s="2"/>
    </row>
    <row r="6" spans="1:12" x14ac:dyDescent="0.25">
      <c r="A6" t="s">
        <v>43</v>
      </c>
      <c r="B6" s="2">
        <v>1.5</v>
      </c>
      <c r="C6" t="s">
        <v>34</v>
      </c>
      <c r="D6" t="s">
        <v>20</v>
      </c>
      <c r="G6" s="2"/>
      <c r="H6" s="2"/>
      <c r="I6" s="2"/>
      <c r="J6" s="2"/>
    </row>
    <row r="7" spans="1:12" x14ac:dyDescent="0.25">
      <c r="A7" t="s">
        <v>10</v>
      </c>
      <c r="B7" s="2">
        <v>5</v>
      </c>
      <c r="C7" t="s">
        <v>11</v>
      </c>
      <c r="G7" s="2"/>
      <c r="H7" s="2"/>
      <c r="I7" s="2"/>
      <c r="J7" s="2"/>
    </row>
    <row r="8" spans="1:12" ht="17.25" x14ac:dyDescent="0.25">
      <c r="A8" t="s">
        <v>12</v>
      </c>
      <c r="B8" s="2">
        <v>0.6</v>
      </c>
      <c r="C8" t="s">
        <v>13</v>
      </c>
      <c r="G8" s="2"/>
      <c r="H8" s="2"/>
      <c r="I8" s="2"/>
      <c r="J8" s="2"/>
    </row>
    <row r="9" spans="1:12" x14ac:dyDescent="0.25">
      <c r="A9" t="s">
        <v>17</v>
      </c>
      <c r="B9">
        <f>B7*B8</f>
        <v>3</v>
      </c>
      <c r="C9" t="s">
        <v>0</v>
      </c>
    </row>
    <row r="11" spans="1:12" x14ac:dyDescent="0.25">
      <c r="A11" s="50" t="s">
        <v>64</v>
      </c>
      <c r="B11" s="50"/>
      <c r="C11" s="50"/>
      <c r="D11" s="50"/>
      <c r="E11" s="50"/>
      <c r="F11" s="1"/>
    </row>
    <row r="12" spans="1:12" x14ac:dyDescent="0.25">
      <c r="A12" s="50"/>
      <c r="B12" s="50"/>
      <c r="C12" s="50"/>
      <c r="D12" s="50"/>
      <c r="E12" s="50"/>
    </row>
    <row r="15" spans="1:12" x14ac:dyDescent="0.25">
      <c r="A15" t="s">
        <v>63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</row>
    <row r="16" spans="1:12" ht="17.25" x14ac:dyDescent="0.25">
      <c r="A16" t="s">
        <v>14</v>
      </c>
      <c r="B16" t="s">
        <v>13</v>
      </c>
      <c r="C16" s="9">
        <v>0.5</v>
      </c>
      <c r="D16" s="9">
        <v>0.5</v>
      </c>
      <c r="E16" s="9">
        <v>0.5</v>
      </c>
      <c r="F16" s="9">
        <v>0.5</v>
      </c>
      <c r="G16" s="9">
        <v>0.5</v>
      </c>
      <c r="H16" s="9">
        <v>0.5</v>
      </c>
      <c r="I16" s="9"/>
      <c r="J16" s="9"/>
      <c r="K16" s="9"/>
      <c r="L16" s="9"/>
    </row>
    <row r="17" spans="1:13" ht="17.25" x14ac:dyDescent="0.25">
      <c r="A17" t="s">
        <v>15</v>
      </c>
      <c r="B17" t="s">
        <v>13</v>
      </c>
      <c r="C17" s="10">
        <v>0.74</v>
      </c>
      <c r="D17" s="10">
        <v>1.01</v>
      </c>
      <c r="E17" s="10">
        <v>1.37</v>
      </c>
      <c r="F17" s="10">
        <v>1.93</v>
      </c>
      <c r="G17" s="10">
        <v>2.8</v>
      </c>
      <c r="H17" s="10">
        <v>0.74</v>
      </c>
      <c r="I17" s="10"/>
      <c r="J17" s="10"/>
      <c r="K17" s="10"/>
      <c r="L17" s="10"/>
    </row>
    <row r="18" spans="1:13" ht="17.25" x14ac:dyDescent="0.25">
      <c r="A18" s="3" t="s">
        <v>44</v>
      </c>
      <c r="B18" t="s">
        <v>13</v>
      </c>
      <c r="C18" s="11">
        <f>('Flow G2'!$B$12+('Flow G2'!$B$13*(C17)+'Flow G2'!$B$14*C17^2+'Flow G2'!$B$15*'PMGS G2'!C17^3)+('Flow G2'!$I$11/1000))</f>
        <v>1.8101641968479867</v>
      </c>
      <c r="D18" s="11">
        <f>('Flow G2'!$B$12+('Flow G2'!$B$13*(D17)+'Flow G2'!$B$14*D17^2+'Flow G2'!$B$15*'PMGS G2'!D17^3)+('Flow G2'!$I$11/1000))</f>
        <v>2.1135987983832294</v>
      </c>
      <c r="E18" s="11">
        <f>('Flow G2'!$B$12+('Flow G2'!$B$13*(E17)+'Flow G2'!$B$14*E17^2+'Flow G2'!$B$15*'PMGS G2'!E17^3)+('Flow G2'!$I$11/1000))</f>
        <v>2.5174851873778383</v>
      </c>
      <c r="F18" s="11">
        <f>('Flow G2'!$B$12+('Flow G2'!$B$13*(F17)+'Flow G2'!$B$14*F17^2+'Flow G2'!$B$15*'PMGS G2'!F17^3)+('Flow G2'!$I$11/1000))</f>
        <v>3.1442318776953027</v>
      </c>
      <c r="G18" s="11">
        <f>('Flow G2'!$B$12+('Flow G2'!$B$13*(G17)+'Flow G2'!$B$14*G17^2+'Flow G2'!$B$15*'PMGS G2'!G17^3)+('Flow G2'!$I$11/1000))</f>
        <v>4.1144485545153922</v>
      </c>
      <c r="H18" s="11">
        <f>('Flow G2'!$B$12+('Flow G2'!$B$13*(H17)+'Flow G2'!$B$14*H17^2+'Flow G2'!$B$15*'PMGS G2'!H17^3)+('Flow G2'!$I$11/1000))</f>
        <v>1.8101641968479867</v>
      </c>
      <c r="I18" s="4"/>
      <c r="J18" s="4"/>
      <c r="K18" s="4"/>
      <c r="L18" s="4"/>
    </row>
    <row r="19" spans="1:13" ht="17.25" x14ac:dyDescent="0.25">
      <c r="A19" s="3" t="s">
        <v>19</v>
      </c>
      <c r="B19" t="s">
        <v>16</v>
      </c>
      <c r="C19" s="34">
        <f>$B$3/C18*1000</f>
        <v>2226.3173733175049</v>
      </c>
      <c r="D19" s="34">
        <f t="shared" ref="D19:G19" si="0">$B$3/D18*1000</f>
        <v>1906.7005540894031</v>
      </c>
      <c r="E19" s="34">
        <f t="shared" si="0"/>
        <v>1600.8038578362268</v>
      </c>
      <c r="F19" s="34">
        <f t="shared" si="0"/>
        <v>1281.7120863725734</v>
      </c>
      <c r="G19" s="34">
        <f t="shared" si="0"/>
        <v>979.47512202510973</v>
      </c>
      <c r="H19" s="34">
        <f t="shared" ref="H19" si="1">$B$3/H18*1000</f>
        <v>2226.3173733175049</v>
      </c>
      <c r="I19" s="11"/>
      <c r="J19" s="11"/>
      <c r="K19" s="11"/>
      <c r="L19" s="11"/>
    </row>
    <row r="20" spans="1:13" ht="17.25" x14ac:dyDescent="0.25">
      <c r="A20" s="3" t="s">
        <v>65</v>
      </c>
      <c r="B20" t="s">
        <v>16</v>
      </c>
      <c r="C20" s="35">
        <f>C19*C21</f>
        <v>111.31586866587526</v>
      </c>
      <c r="D20" s="35">
        <f t="shared" ref="D20:G20" si="2">D19*D21</f>
        <v>95.335027704470164</v>
      </c>
      <c r="E20" s="35">
        <f t="shared" si="2"/>
        <v>80.040192891811344</v>
      </c>
      <c r="F20" s="35">
        <f t="shared" si="2"/>
        <v>64.085604318628668</v>
      </c>
      <c r="G20" s="35">
        <f t="shared" si="2"/>
        <v>48.973756101255489</v>
      </c>
      <c r="H20" s="35">
        <f t="shared" ref="H20" si="3">H19*H21</f>
        <v>111.31586866587526</v>
      </c>
      <c r="I20" s="5"/>
      <c r="J20" s="5"/>
      <c r="K20" s="5"/>
      <c r="L20" s="5"/>
    </row>
    <row r="21" spans="1:13" x14ac:dyDescent="0.25">
      <c r="A21" s="3" t="s">
        <v>65</v>
      </c>
      <c r="B21" t="s">
        <v>34</v>
      </c>
      <c r="C21" s="36">
        <v>0.05</v>
      </c>
      <c r="D21" s="36">
        <v>0.05</v>
      </c>
      <c r="E21" s="36">
        <v>0.05</v>
      </c>
      <c r="F21" s="36">
        <v>0.05</v>
      </c>
      <c r="G21" s="36">
        <v>0.05</v>
      </c>
      <c r="H21" s="36">
        <v>0.05</v>
      </c>
      <c r="I21" s="36"/>
      <c r="J21" s="36"/>
      <c r="K21" s="36"/>
      <c r="L21" s="36"/>
      <c r="M21" s="32"/>
    </row>
  </sheetData>
  <mergeCells count="1">
    <mergeCell ref="A11:E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4EF-5888-4452-AF45-841BCF6C5B3D}">
  <dimension ref="A1:L199"/>
  <sheetViews>
    <sheetView workbookViewId="0"/>
  </sheetViews>
  <sheetFormatPr defaultColWidth="9.140625" defaultRowHeight="15" x14ac:dyDescent="0.25"/>
  <cols>
    <col min="1" max="1" width="10.5703125" bestFit="1" customWidth="1"/>
    <col min="2" max="2" width="15.28515625" bestFit="1" customWidth="1"/>
    <col min="3" max="3" width="15.140625" bestFit="1" customWidth="1"/>
    <col min="4" max="9" width="18.7109375" bestFit="1" customWidth="1"/>
    <col min="10" max="10" width="17.42578125" bestFit="1" customWidth="1"/>
    <col min="11" max="11" width="18.7109375" bestFit="1" customWidth="1"/>
    <col min="12" max="12" width="24.85546875" bestFit="1" customWidth="1"/>
    <col min="13" max="13" width="27.85546875" bestFit="1" customWidth="1"/>
    <col min="14" max="14" width="22.7109375" bestFit="1" customWidth="1"/>
  </cols>
  <sheetData>
    <row r="1" spans="1:12" x14ac:dyDescent="0.25">
      <c r="A1" t="s">
        <v>48</v>
      </c>
      <c r="C1" s="12" t="s">
        <v>79</v>
      </c>
      <c r="H1" t="s">
        <v>48</v>
      </c>
      <c r="J1" s="12" t="s">
        <v>80</v>
      </c>
    </row>
    <row r="2" spans="1:12" x14ac:dyDescent="0.25">
      <c r="A2" t="s">
        <v>24</v>
      </c>
      <c r="C2" s="12" t="s">
        <v>86</v>
      </c>
      <c r="D2" t="s">
        <v>26</v>
      </c>
      <c r="H2" t="s">
        <v>24</v>
      </c>
      <c r="J2" s="27">
        <v>0.5</v>
      </c>
      <c r="K2" t="s">
        <v>26</v>
      </c>
    </row>
    <row r="3" spans="1:12" x14ac:dyDescent="0.25">
      <c r="A3" t="s">
        <v>49</v>
      </c>
      <c r="C3" s="12">
        <v>44648</v>
      </c>
      <c r="H3" t="s">
        <v>49</v>
      </c>
      <c r="J3" s="12">
        <v>44648</v>
      </c>
    </row>
    <row r="4" spans="1:12" x14ac:dyDescent="0.25">
      <c r="A4" t="s">
        <v>50</v>
      </c>
      <c r="C4" s="26" t="s">
        <v>60</v>
      </c>
      <c r="H4" t="s">
        <v>50</v>
      </c>
      <c r="J4" s="26" t="s">
        <v>60</v>
      </c>
    </row>
    <row r="5" spans="1:12" x14ac:dyDescent="0.25">
      <c r="A5" t="s">
        <v>51</v>
      </c>
      <c r="C5" s="12" t="s">
        <v>52</v>
      </c>
      <c r="H5" t="s">
        <v>51</v>
      </c>
      <c r="J5" s="12" t="s">
        <v>52</v>
      </c>
    </row>
    <row r="7" spans="1:12" x14ac:dyDescent="0.25">
      <c r="A7" s="50" t="s">
        <v>35</v>
      </c>
      <c r="B7" s="50"/>
      <c r="C7" s="50"/>
      <c r="D7" s="50"/>
      <c r="E7" s="50"/>
      <c r="H7" s="50" t="s">
        <v>35</v>
      </c>
      <c r="I7" s="50"/>
      <c r="J7" s="50"/>
      <c r="K7" s="50"/>
      <c r="L7" s="50"/>
    </row>
    <row r="8" spans="1:12" x14ac:dyDescent="0.25">
      <c r="A8" s="50"/>
      <c r="B8" s="50"/>
      <c r="C8" s="50"/>
      <c r="D8" s="50"/>
      <c r="E8" s="50"/>
      <c r="H8" s="50"/>
      <c r="I8" s="50"/>
      <c r="J8" s="50"/>
      <c r="K8" s="50"/>
      <c r="L8" s="50"/>
    </row>
    <row r="9" spans="1:12" ht="15.75" thickBot="1" x14ac:dyDescent="0.3"/>
    <row r="10" spans="1:12" x14ac:dyDescent="0.25">
      <c r="A10" s="39" t="s">
        <v>87</v>
      </c>
      <c r="B10" s="40"/>
      <c r="C10" s="41"/>
      <c r="H10" s="14" t="s">
        <v>54</v>
      </c>
      <c r="I10" s="22">
        <v>846</v>
      </c>
      <c r="J10" s="15" t="s">
        <v>53</v>
      </c>
    </row>
    <row r="11" spans="1:12" x14ac:dyDescent="0.25">
      <c r="A11" s="42" t="s">
        <v>29</v>
      </c>
      <c r="B11" s="2"/>
      <c r="C11" s="43"/>
      <c r="H11" s="18" t="s">
        <v>55</v>
      </c>
      <c r="I11" s="17">
        <v>501.4</v>
      </c>
      <c r="J11" s="16" t="s">
        <v>53</v>
      </c>
    </row>
    <row r="12" spans="1:12" x14ac:dyDescent="0.25">
      <c r="A12" s="42" t="s">
        <v>30</v>
      </c>
      <c r="B12" s="28">
        <v>0.47475549</v>
      </c>
      <c r="C12" s="44">
        <v>7.3608676999999999E-3</v>
      </c>
    </row>
    <row r="13" spans="1:12" x14ac:dyDescent="0.25">
      <c r="A13" s="42" t="s">
        <v>31</v>
      </c>
      <c r="B13" s="28">
        <v>1.1294535000000001</v>
      </c>
      <c r="C13" s="44">
        <v>4.4697349000000003E-3</v>
      </c>
    </row>
    <row r="14" spans="1:12" x14ac:dyDescent="0.25">
      <c r="A14" s="42" t="s">
        <v>88</v>
      </c>
      <c r="B14" s="28">
        <v>-3.3275443000000001E-3</v>
      </c>
      <c r="C14" s="44">
        <v>5.7489759000000002E-4</v>
      </c>
    </row>
    <row r="15" spans="1:12" ht="15.75" thickBot="1" x14ac:dyDescent="0.3">
      <c r="A15" s="45" t="s">
        <v>89</v>
      </c>
      <c r="B15" s="46">
        <v>8.7063221000000001E-5</v>
      </c>
      <c r="C15" s="47">
        <v>1.8028175999999999E-5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6" customFormat="1" x14ac:dyDescent="0.25"/>
    <row r="37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9" customFormat="1" x14ac:dyDescent="0.25"/>
    <row r="190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7" customFormat="1" x14ac:dyDescent="0.25"/>
    <row r="198" customFormat="1" x14ac:dyDescent="0.25"/>
    <row r="199" customFormat="1" x14ac:dyDescent="0.25"/>
  </sheetData>
  <mergeCells count="2">
    <mergeCell ref="A7:E8"/>
    <mergeCell ref="H7:L8"/>
  </mergeCells>
  <hyperlinks>
    <hyperlink ref="C4" r:id="rId1" xr:uid="{964B7A19-1BF0-451E-98D2-45E028C50EAF}"/>
    <hyperlink ref="J4" r:id="rId2" xr:uid="{31D62D5A-E16D-4B11-9E06-3806ED450BD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5164-5789-4837-B96F-CD9B792A1862}">
  <dimension ref="A1:F300"/>
  <sheetViews>
    <sheetView workbookViewId="0"/>
  </sheetViews>
  <sheetFormatPr defaultRowHeight="15" x14ac:dyDescent="0.25"/>
  <cols>
    <col min="2" max="2" width="14.5703125" bestFit="1" customWidth="1"/>
    <col min="3" max="3" width="9" bestFit="1" customWidth="1"/>
    <col min="4" max="4" width="24.85546875" bestFit="1" customWidth="1"/>
    <col min="5" max="5" width="20.5703125" bestFit="1" customWidth="1"/>
    <col min="6" max="6" width="11" bestFit="1" customWidth="1"/>
  </cols>
  <sheetData>
    <row r="1" spans="1:6" ht="15.75" x14ac:dyDescent="0.25">
      <c r="A1" s="33"/>
      <c r="B1" s="33" t="s">
        <v>66</v>
      </c>
      <c r="C1" s="33" t="s">
        <v>67</v>
      </c>
      <c r="D1" s="33" t="s">
        <v>68</v>
      </c>
      <c r="E1" s="33" t="s">
        <v>70</v>
      </c>
      <c r="F1" s="33" t="s">
        <v>69</v>
      </c>
    </row>
    <row r="2" spans="1:6" x14ac:dyDescent="0.25">
      <c r="A2">
        <v>0</v>
      </c>
      <c r="B2" s="37">
        <v>44749.719444444447</v>
      </c>
      <c r="C2">
        <v>131.922</v>
      </c>
      <c r="D2" t="s">
        <v>72</v>
      </c>
      <c r="E2">
        <v>0</v>
      </c>
      <c r="F2" t="b">
        <v>1</v>
      </c>
    </row>
    <row r="3" spans="1:6" x14ac:dyDescent="0.25">
      <c r="A3">
        <v>1</v>
      </c>
      <c r="B3" s="37">
        <v>44749.722916666666</v>
      </c>
      <c r="C3">
        <v>138.71299999999999</v>
      </c>
      <c r="D3" t="s">
        <v>71</v>
      </c>
      <c r="E3">
        <v>0</v>
      </c>
      <c r="F3" t="b">
        <v>1</v>
      </c>
    </row>
    <row r="4" spans="1:6" x14ac:dyDescent="0.25">
      <c r="A4">
        <v>2</v>
      </c>
      <c r="B4" s="37">
        <v>44749.726388888892</v>
      </c>
      <c r="C4">
        <v>118.306</v>
      </c>
      <c r="D4" t="s">
        <v>72</v>
      </c>
      <c r="E4">
        <v>0</v>
      </c>
      <c r="F4" t="b">
        <v>1</v>
      </c>
    </row>
    <row r="5" spans="1:6" x14ac:dyDescent="0.25">
      <c r="A5">
        <v>3</v>
      </c>
      <c r="B5" s="37">
        <v>44749.730555555558</v>
      </c>
      <c r="C5">
        <v>106.723</v>
      </c>
      <c r="D5" t="s">
        <v>71</v>
      </c>
      <c r="E5">
        <v>0</v>
      </c>
      <c r="F5" t="b">
        <v>1</v>
      </c>
    </row>
    <row r="6" spans="1:6" x14ac:dyDescent="0.25">
      <c r="A6">
        <v>4</v>
      </c>
      <c r="B6" s="37">
        <v>44749.734027777777</v>
      </c>
      <c r="C6">
        <v>86.16</v>
      </c>
      <c r="D6" t="s">
        <v>72</v>
      </c>
      <c r="E6">
        <v>0</v>
      </c>
      <c r="F6" t="b">
        <v>1</v>
      </c>
    </row>
    <row r="7" spans="1:6" x14ac:dyDescent="0.25">
      <c r="A7">
        <v>5</v>
      </c>
      <c r="B7" s="37">
        <v>44749.737500000003</v>
      </c>
      <c r="C7">
        <v>82.738</v>
      </c>
      <c r="D7" t="s">
        <v>71</v>
      </c>
      <c r="E7">
        <v>0</v>
      </c>
      <c r="F7" t="b">
        <v>1</v>
      </c>
    </row>
    <row r="8" spans="1:6" x14ac:dyDescent="0.25">
      <c r="A8">
        <v>6</v>
      </c>
      <c r="B8" s="37">
        <v>44749.741666666669</v>
      </c>
      <c r="C8">
        <v>67.174999999999997</v>
      </c>
      <c r="D8" t="s">
        <v>72</v>
      </c>
      <c r="E8">
        <v>0</v>
      </c>
      <c r="F8" t="b">
        <v>1</v>
      </c>
    </row>
    <row r="9" spans="1:6" x14ac:dyDescent="0.25">
      <c r="A9">
        <v>7</v>
      </c>
      <c r="B9" s="37">
        <v>44749.745138888888</v>
      </c>
      <c r="C9">
        <v>66.992999999999995</v>
      </c>
      <c r="D9" t="s">
        <v>71</v>
      </c>
      <c r="E9">
        <v>0</v>
      </c>
      <c r="F9" t="b">
        <v>1</v>
      </c>
    </row>
    <row r="10" spans="1:6" x14ac:dyDescent="0.25">
      <c r="A10">
        <v>8</v>
      </c>
      <c r="B10" s="37">
        <v>44749.748611111114</v>
      </c>
      <c r="C10">
        <v>50.557000000000002</v>
      </c>
      <c r="D10" t="s">
        <v>72</v>
      </c>
      <c r="E10">
        <v>0</v>
      </c>
      <c r="F10" t="b">
        <v>1</v>
      </c>
    </row>
    <row r="11" spans="1:6" x14ac:dyDescent="0.25">
      <c r="A11">
        <v>9</v>
      </c>
      <c r="B11" s="37">
        <v>44749.752083333333</v>
      </c>
      <c r="C11">
        <v>56.968000000000004</v>
      </c>
      <c r="D11" t="s">
        <v>71</v>
      </c>
      <c r="E11">
        <v>0</v>
      </c>
      <c r="F11" t="b">
        <v>1</v>
      </c>
    </row>
    <row r="12" spans="1:6" x14ac:dyDescent="0.25">
      <c r="A12">
        <v>10</v>
      </c>
      <c r="B12" s="37">
        <v>44749.756249999999</v>
      </c>
      <c r="C12">
        <v>43.530999999999999</v>
      </c>
      <c r="D12" t="s">
        <v>72</v>
      </c>
      <c r="E12">
        <v>0</v>
      </c>
      <c r="F12" t="b">
        <v>1</v>
      </c>
    </row>
    <row r="13" spans="1:6" x14ac:dyDescent="0.25">
      <c r="A13">
        <v>11</v>
      </c>
      <c r="B13" s="37">
        <v>44749.763888888891</v>
      </c>
      <c r="C13">
        <v>10.725</v>
      </c>
      <c r="D13" t="s">
        <v>71</v>
      </c>
      <c r="E13">
        <v>0</v>
      </c>
      <c r="F13" t="b">
        <v>1</v>
      </c>
    </row>
    <row r="14" spans="1:6" x14ac:dyDescent="0.25">
      <c r="A14">
        <v>12</v>
      </c>
      <c r="B14" s="37">
        <v>44749.767361111109</v>
      </c>
      <c r="C14" s="48">
        <v>5707.6059999999998</v>
      </c>
      <c r="D14" t="s">
        <v>82</v>
      </c>
      <c r="E14" s="49">
        <v>2563</v>
      </c>
      <c r="F14" t="b">
        <v>1</v>
      </c>
    </row>
    <row r="15" spans="1:6" x14ac:dyDescent="0.25">
      <c r="A15">
        <v>13</v>
      </c>
      <c r="B15" s="37">
        <v>44749.771527777775</v>
      </c>
      <c r="C15" s="48">
        <v>5705.0010000000002</v>
      </c>
      <c r="D15" t="s">
        <v>83</v>
      </c>
      <c r="E15" s="49">
        <v>2563</v>
      </c>
      <c r="F15" t="b">
        <v>1</v>
      </c>
    </row>
    <row r="16" spans="1:6" x14ac:dyDescent="0.25">
      <c r="A16">
        <v>14</v>
      </c>
      <c r="B16" s="37">
        <v>44749.775000000001</v>
      </c>
      <c r="C16" s="48">
        <v>6158.8980000000001</v>
      </c>
      <c r="D16" t="s">
        <v>84</v>
      </c>
      <c r="E16" s="49">
        <v>2563</v>
      </c>
      <c r="F16" t="b">
        <v>1</v>
      </c>
    </row>
    <row r="17" spans="1:6" x14ac:dyDescent="0.25">
      <c r="A17">
        <v>15</v>
      </c>
      <c r="B17" s="37">
        <v>44749.77847222222</v>
      </c>
      <c r="C17" s="48">
        <v>6103.03</v>
      </c>
      <c r="D17" t="s">
        <v>85</v>
      </c>
      <c r="E17" s="49">
        <v>2563</v>
      </c>
      <c r="F17" t="b">
        <v>1</v>
      </c>
    </row>
    <row r="18" spans="1:6" x14ac:dyDescent="0.25">
      <c r="A18">
        <v>16</v>
      </c>
      <c r="B18" s="37">
        <v>44749.782638888886</v>
      </c>
      <c r="C18" s="48">
        <v>5576.4629999999997</v>
      </c>
      <c r="D18" t="s">
        <v>82</v>
      </c>
      <c r="E18" s="49">
        <v>2563</v>
      </c>
      <c r="F18" t="b">
        <v>1</v>
      </c>
    </row>
    <row r="19" spans="1:6" x14ac:dyDescent="0.25">
      <c r="A19">
        <v>17</v>
      </c>
      <c r="B19" s="37">
        <v>44749.786111111112</v>
      </c>
      <c r="C19" s="48">
        <v>5558.723</v>
      </c>
      <c r="D19" t="s">
        <v>83</v>
      </c>
      <c r="E19" s="49">
        <v>2563</v>
      </c>
      <c r="F19" t="b">
        <v>1</v>
      </c>
    </row>
    <row r="20" spans="1:6" x14ac:dyDescent="0.25">
      <c r="A20">
        <v>18</v>
      </c>
      <c r="B20" s="37">
        <v>44749.789583333331</v>
      </c>
      <c r="C20" s="48">
        <v>5921.83</v>
      </c>
      <c r="D20" t="s">
        <v>84</v>
      </c>
      <c r="E20" s="49">
        <v>2563</v>
      </c>
      <c r="F20" t="b">
        <v>1</v>
      </c>
    </row>
    <row r="21" spans="1:6" x14ac:dyDescent="0.25">
      <c r="A21">
        <v>19</v>
      </c>
      <c r="B21" s="37">
        <v>44749.793749999997</v>
      </c>
      <c r="C21" s="48">
        <v>6026.857</v>
      </c>
      <c r="D21" t="s">
        <v>85</v>
      </c>
      <c r="E21" s="49">
        <v>2563</v>
      </c>
      <c r="F21" t="b">
        <v>1</v>
      </c>
    </row>
    <row r="22" spans="1:6" x14ac:dyDescent="0.25">
      <c r="A22">
        <v>20</v>
      </c>
      <c r="B22" s="37">
        <v>44749.797222222223</v>
      </c>
      <c r="C22" s="48">
        <v>5686.0810000000001</v>
      </c>
      <c r="D22" t="s">
        <v>82</v>
      </c>
      <c r="E22" s="49">
        <v>2563</v>
      </c>
      <c r="F22" t="b">
        <v>1</v>
      </c>
    </row>
    <row r="23" spans="1:6" x14ac:dyDescent="0.25">
      <c r="A23">
        <v>21</v>
      </c>
      <c r="B23" s="37">
        <v>44749.800694444442</v>
      </c>
      <c r="C23" s="48">
        <v>5497.6139999999996</v>
      </c>
      <c r="D23" t="s">
        <v>83</v>
      </c>
      <c r="E23" s="49">
        <v>2563</v>
      </c>
      <c r="F23" t="b">
        <v>1</v>
      </c>
    </row>
    <row r="24" spans="1:6" x14ac:dyDescent="0.25">
      <c r="A24">
        <v>22</v>
      </c>
      <c r="B24" s="37">
        <v>44749.804166666669</v>
      </c>
      <c r="C24" s="48">
        <v>5966.4719999999998</v>
      </c>
      <c r="D24" t="s">
        <v>84</v>
      </c>
      <c r="E24" s="49">
        <v>2563</v>
      </c>
      <c r="F24" t="b">
        <v>1</v>
      </c>
    </row>
    <row r="25" spans="1:6" x14ac:dyDescent="0.25">
      <c r="A25">
        <v>23</v>
      </c>
      <c r="B25" s="37">
        <v>44749.808333333334</v>
      </c>
      <c r="C25" s="48">
        <v>6104.2560000000003</v>
      </c>
      <c r="D25" t="s">
        <v>85</v>
      </c>
      <c r="E25" s="49">
        <v>2563</v>
      </c>
      <c r="F25" t="b">
        <v>1</v>
      </c>
    </row>
    <row r="26" spans="1:6" x14ac:dyDescent="0.25">
      <c r="A26">
        <v>24</v>
      </c>
      <c r="B26" s="37">
        <v>44749.811805555553</v>
      </c>
      <c r="C26" s="48">
        <v>5636.0630000000001</v>
      </c>
      <c r="D26" t="s">
        <v>82</v>
      </c>
      <c r="E26" s="49">
        <v>2563</v>
      </c>
      <c r="F26" t="b">
        <v>1</v>
      </c>
    </row>
    <row r="27" spans="1:6" x14ac:dyDescent="0.25">
      <c r="A27">
        <v>25</v>
      </c>
      <c r="B27" s="37">
        <v>44749.81527777778</v>
      </c>
      <c r="C27" s="48">
        <v>5681.5680000000002</v>
      </c>
      <c r="D27" t="s">
        <v>83</v>
      </c>
      <c r="E27" s="49">
        <v>2563</v>
      </c>
      <c r="F27" t="b">
        <v>1</v>
      </c>
    </row>
    <row r="28" spans="1:6" x14ac:dyDescent="0.25">
      <c r="A28">
        <v>26</v>
      </c>
      <c r="B28" s="37">
        <v>44749.819444444445</v>
      </c>
      <c r="C28" s="48">
        <v>6065.2529999999997</v>
      </c>
      <c r="D28" t="s">
        <v>84</v>
      </c>
      <c r="E28" s="49">
        <v>2563</v>
      </c>
      <c r="F28" t="b">
        <v>1</v>
      </c>
    </row>
    <row r="29" spans="1:6" x14ac:dyDescent="0.25">
      <c r="A29">
        <v>27</v>
      </c>
      <c r="B29" s="37">
        <v>44749.822916666664</v>
      </c>
      <c r="C29" s="48">
        <v>6089.4269999999997</v>
      </c>
      <c r="D29" t="s">
        <v>85</v>
      </c>
      <c r="E29" s="49">
        <v>2563</v>
      </c>
      <c r="F29" t="b">
        <v>1</v>
      </c>
    </row>
    <row r="30" spans="1:6" x14ac:dyDescent="0.25">
      <c r="A30">
        <v>28</v>
      </c>
      <c r="B30" s="37">
        <v>44749.826388888891</v>
      </c>
      <c r="C30" s="48">
        <v>5648.5929999999998</v>
      </c>
      <c r="D30" t="s">
        <v>82</v>
      </c>
      <c r="E30" s="49">
        <v>2563</v>
      </c>
      <c r="F30" t="b">
        <v>1</v>
      </c>
    </row>
    <row r="31" spans="1:6" x14ac:dyDescent="0.25">
      <c r="A31">
        <v>29</v>
      </c>
      <c r="B31" s="37">
        <v>44749.830555555556</v>
      </c>
      <c r="C31" s="48">
        <v>5564.5290000000005</v>
      </c>
      <c r="D31" t="s">
        <v>83</v>
      </c>
      <c r="E31" s="49">
        <v>2563</v>
      </c>
      <c r="F31" t="b">
        <v>1</v>
      </c>
    </row>
    <row r="32" spans="1:6" x14ac:dyDescent="0.25">
      <c r="A32">
        <v>30</v>
      </c>
      <c r="B32" s="37">
        <v>44749.834027777775</v>
      </c>
      <c r="C32" s="48">
        <v>6012.3010000000004</v>
      </c>
      <c r="D32" t="s">
        <v>84</v>
      </c>
      <c r="E32" s="49">
        <v>2563</v>
      </c>
      <c r="F32" t="b">
        <v>1</v>
      </c>
    </row>
    <row r="33" spans="1:6" x14ac:dyDescent="0.25">
      <c r="A33">
        <v>31</v>
      </c>
      <c r="B33" s="37">
        <v>44749.837500000001</v>
      </c>
      <c r="C33" s="48">
        <v>6133.6610000000001</v>
      </c>
      <c r="D33" t="s">
        <v>85</v>
      </c>
      <c r="E33" s="49">
        <v>2563</v>
      </c>
      <c r="F33" t="b">
        <v>1</v>
      </c>
    </row>
    <row r="34" spans="1:6" x14ac:dyDescent="0.25">
      <c r="A34">
        <v>32</v>
      </c>
      <c r="B34" s="37">
        <v>44749.84097222222</v>
      </c>
      <c r="C34" s="48">
        <v>5692.174</v>
      </c>
      <c r="D34" t="s">
        <v>82</v>
      </c>
      <c r="E34" s="49">
        <v>2563</v>
      </c>
      <c r="F34" t="b">
        <v>1</v>
      </c>
    </row>
    <row r="35" spans="1:6" x14ac:dyDescent="0.25">
      <c r="A35">
        <v>33</v>
      </c>
      <c r="B35" s="37">
        <v>44749.845138888886</v>
      </c>
      <c r="C35" s="48">
        <v>5672.2340000000004</v>
      </c>
      <c r="D35" t="s">
        <v>83</v>
      </c>
      <c r="E35" s="49">
        <v>2563</v>
      </c>
      <c r="F35" t="b">
        <v>1</v>
      </c>
    </row>
    <row r="36" spans="1:6" x14ac:dyDescent="0.25">
      <c r="A36">
        <v>34</v>
      </c>
      <c r="B36" s="37">
        <v>44749.848611111112</v>
      </c>
      <c r="C36" s="48">
        <v>5958.7139999999999</v>
      </c>
      <c r="D36" t="s">
        <v>84</v>
      </c>
      <c r="E36" s="49">
        <v>2563</v>
      </c>
      <c r="F36" t="b">
        <v>1</v>
      </c>
    </row>
    <row r="37" spans="1:6" x14ac:dyDescent="0.25">
      <c r="A37">
        <v>35</v>
      </c>
      <c r="B37" s="37">
        <v>44749.852083333331</v>
      </c>
      <c r="C37" s="48">
        <v>5946.5249999999996</v>
      </c>
      <c r="D37" t="s">
        <v>85</v>
      </c>
      <c r="E37" s="49">
        <v>2563</v>
      </c>
      <c r="F37" t="b">
        <v>1</v>
      </c>
    </row>
    <row r="38" spans="1:6" x14ac:dyDescent="0.25">
      <c r="A38">
        <v>36</v>
      </c>
      <c r="B38" s="37">
        <v>44750.356249999997</v>
      </c>
      <c r="C38" s="48">
        <v>4808.4369999999999</v>
      </c>
      <c r="D38" t="s">
        <v>82</v>
      </c>
      <c r="E38" s="49">
        <v>2263</v>
      </c>
      <c r="F38" t="b">
        <v>1</v>
      </c>
    </row>
    <row r="39" spans="1:6" x14ac:dyDescent="0.25">
      <c r="A39">
        <v>37</v>
      </c>
      <c r="B39" s="37">
        <v>44750.359722222223</v>
      </c>
      <c r="C39" s="48">
        <v>4895.7920000000004</v>
      </c>
      <c r="D39" t="s">
        <v>83</v>
      </c>
      <c r="E39" s="49">
        <v>2263</v>
      </c>
      <c r="F39" t="b">
        <v>1</v>
      </c>
    </row>
    <row r="40" spans="1:6" x14ac:dyDescent="0.25">
      <c r="A40">
        <v>38</v>
      </c>
      <c r="B40" s="37">
        <v>44750.363888888889</v>
      </c>
      <c r="C40" s="48">
        <v>5418.2169999999996</v>
      </c>
      <c r="D40" t="s">
        <v>84</v>
      </c>
      <c r="E40" s="49">
        <v>2263</v>
      </c>
      <c r="F40" t="b">
        <v>1</v>
      </c>
    </row>
    <row r="41" spans="1:6" x14ac:dyDescent="0.25">
      <c r="A41">
        <v>39</v>
      </c>
      <c r="B41" s="37">
        <v>44750.367361111108</v>
      </c>
      <c r="C41" s="48">
        <v>5416.36</v>
      </c>
      <c r="D41" t="s">
        <v>85</v>
      </c>
      <c r="E41" s="49">
        <v>2263</v>
      </c>
      <c r="F41" t="b">
        <v>1</v>
      </c>
    </row>
    <row r="42" spans="1:6" x14ac:dyDescent="0.25">
      <c r="A42">
        <v>40</v>
      </c>
      <c r="B42" s="37">
        <v>44750.370833333334</v>
      </c>
      <c r="C42" s="48">
        <v>4823.2060000000001</v>
      </c>
      <c r="D42" t="s">
        <v>82</v>
      </c>
      <c r="E42" s="49">
        <v>2263</v>
      </c>
      <c r="F42" t="b">
        <v>1</v>
      </c>
    </row>
    <row r="43" spans="1:6" x14ac:dyDescent="0.25">
      <c r="A43">
        <v>41</v>
      </c>
      <c r="B43" s="37">
        <v>44750.375</v>
      </c>
      <c r="C43" s="48">
        <v>4934.4790000000003</v>
      </c>
      <c r="D43" t="s">
        <v>83</v>
      </c>
      <c r="E43" s="49">
        <v>2263</v>
      </c>
      <c r="F43" t="b">
        <v>1</v>
      </c>
    </row>
    <row r="44" spans="1:6" x14ac:dyDescent="0.25">
      <c r="A44">
        <v>42</v>
      </c>
      <c r="B44" s="37">
        <v>44750.378472222219</v>
      </c>
      <c r="C44" s="48">
        <v>5360.2939999999999</v>
      </c>
      <c r="D44" t="s">
        <v>84</v>
      </c>
      <c r="E44" s="49">
        <v>2263</v>
      </c>
      <c r="F44" t="b">
        <v>1</v>
      </c>
    </row>
    <row r="45" spans="1:6" x14ac:dyDescent="0.25">
      <c r="A45">
        <v>43</v>
      </c>
      <c r="B45" s="37">
        <v>44750.381944444445</v>
      </c>
      <c r="C45" s="48">
        <v>5332.2879999999996</v>
      </c>
      <c r="D45" t="s">
        <v>85</v>
      </c>
      <c r="E45" s="49">
        <v>2263</v>
      </c>
      <c r="F45" t="b">
        <v>1</v>
      </c>
    </row>
    <row r="46" spans="1:6" x14ac:dyDescent="0.25">
      <c r="A46">
        <v>44</v>
      </c>
      <c r="B46" s="37">
        <v>44750.386111111111</v>
      </c>
      <c r="C46" s="48">
        <v>4814.2169999999996</v>
      </c>
      <c r="D46" t="s">
        <v>82</v>
      </c>
      <c r="E46" s="49">
        <v>2263</v>
      </c>
      <c r="F46" t="b">
        <v>1</v>
      </c>
    </row>
    <row r="47" spans="1:6" x14ac:dyDescent="0.25">
      <c r="A47">
        <v>45</v>
      </c>
      <c r="B47" s="37">
        <v>44750.38958333333</v>
      </c>
      <c r="C47" s="48">
        <v>4906.1899999999996</v>
      </c>
      <c r="D47" t="s">
        <v>83</v>
      </c>
      <c r="E47" s="49">
        <v>2263</v>
      </c>
      <c r="F47" t="b">
        <v>1</v>
      </c>
    </row>
    <row r="48" spans="1:6" x14ac:dyDescent="0.25">
      <c r="A48">
        <v>46</v>
      </c>
      <c r="B48" s="37">
        <v>44750.393055555556</v>
      </c>
      <c r="C48" s="48">
        <v>5280.1310000000003</v>
      </c>
      <c r="D48" t="s">
        <v>84</v>
      </c>
      <c r="E48" s="49">
        <v>2263</v>
      </c>
      <c r="F48" t="b">
        <v>1</v>
      </c>
    </row>
    <row r="49" spans="1:6" x14ac:dyDescent="0.25">
      <c r="A49">
        <v>47</v>
      </c>
      <c r="B49" s="37">
        <v>44750.396527777775</v>
      </c>
      <c r="C49" s="48">
        <v>5323.75</v>
      </c>
      <c r="D49" t="s">
        <v>85</v>
      </c>
      <c r="E49" s="49">
        <v>2263</v>
      </c>
      <c r="F49" t="b">
        <v>1</v>
      </c>
    </row>
    <row r="50" spans="1:6" x14ac:dyDescent="0.25">
      <c r="A50">
        <v>48</v>
      </c>
      <c r="B50" s="37">
        <v>44750.400694444441</v>
      </c>
      <c r="C50" s="48">
        <v>4857.3689999999997</v>
      </c>
      <c r="D50" t="s">
        <v>82</v>
      </c>
      <c r="E50" s="49">
        <v>2263</v>
      </c>
      <c r="F50" t="b">
        <v>1</v>
      </c>
    </row>
    <row r="51" spans="1:6" x14ac:dyDescent="0.25">
      <c r="A51">
        <v>49</v>
      </c>
      <c r="B51" s="37">
        <v>44750.404166666667</v>
      </c>
      <c r="C51" s="48">
        <v>4871.3289999999997</v>
      </c>
      <c r="D51" t="s">
        <v>83</v>
      </c>
      <c r="E51" s="49">
        <v>2263</v>
      </c>
      <c r="F51" t="b">
        <v>1</v>
      </c>
    </row>
    <row r="52" spans="1:6" x14ac:dyDescent="0.25">
      <c r="A52">
        <v>50</v>
      </c>
      <c r="B52" s="37">
        <v>44750.407638888886</v>
      </c>
      <c r="C52" s="48">
        <v>5331.5339999999997</v>
      </c>
      <c r="D52" t="s">
        <v>84</v>
      </c>
      <c r="E52" s="49">
        <v>2263</v>
      </c>
      <c r="F52" t="b">
        <v>1</v>
      </c>
    </row>
    <row r="53" spans="1:6" x14ac:dyDescent="0.25">
      <c r="A53">
        <v>51</v>
      </c>
      <c r="B53" s="37">
        <v>44750.411805555559</v>
      </c>
      <c r="C53" s="48">
        <v>5335.2179999999998</v>
      </c>
      <c r="D53" t="s">
        <v>85</v>
      </c>
      <c r="E53" s="49">
        <v>2263</v>
      </c>
      <c r="F53" t="b">
        <v>1</v>
      </c>
    </row>
    <row r="54" spans="1:6" x14ac:dyDescent="0.25">
      <c r="A54">
        <v>52</v>
      </c>
      <c r="B54" s="37">
        <v>44750.415277777778</v>
      </c>
      <c r="C54" s="48">
        <v>4847.6329999999998</v>
      </c>
      <c r="D54" t="s">
        <v>82</v>
      </c>
      <c r="E54" s="49">
        <v>2263</v>
      </c>
      <c r="F54" t="b">
        <v>1</v>
      </c>
    </row>
    <row r="55" spans="1:6" x14ac:dyDescent="0.25">
      <c r="A55">
        <v>53</v>
      </c>
      <c r="B55" s="37">
        <v>44750.418749999997</v>
      </c>
      <c r="C55" s="48">
        <v>4896.84</v>
      </c>
      <c r="D55" t="s">
        <v>83</v>
      </c>
      <c r="E55" s="49">
        <v>2263</v>
      </c>
      <c r="F55" t="b">
        <v>1</v>
      </c>
    </row>
    <row r="56" spans="1:6" x14ac:dyDescent="0.25">
      <c r="A56">
        <v>54</v>
      </c>
      <c r="B56" s="37">
        <v>44750.422222222223</v>
      </c>
      <c r="C56" s="48">
        <v>5276.741</v>
      </c>
      <c r="D56" t="s">
        <v>84</v>
      </c>
      <c r="E56" s="49">
        <v>2263</v>
      </c>
      <c r="F56" t="b">
        <v>1</v>
      </c>
    </row>
    <row r="57" spans="1:6" x14ac:dyDescent="0.25">
      <c r="A57">
        <v>55</v>
      </c>
      <c r="B57" s="37">
        <v>44750.426388888889</v>
      </c>
      <c r="C57" s="48">
        <v>5384.7259999999997</v>
      </c>
      <c r="D57" t="s">
        <v>85</v>
      </c>
      <c r="E57" s="49">
        <v>2263</v>
      </c>
      <c r="F57" t="b">
        <v>1</v>
      </c>
    </row>
    <row r="58" spans="1:6" x14ac:dyDescent="0.25">
      <c r="A58">
        <v>56</v>
      </c>
      <c r="B58" s="37">
        <v>44750.429861111108</v>
      </c>
      <c r="C58" s="48">
        <v>4806.0559999999996</v>
      </c>
      <c r="D58" t="s">
        <v>82</v>
      </c>
      <c r="E58" s="49">
        <v>2263</v>
      </c>
      <c r="F58" t="b">
        <v>1</v>
      </c>
    </row>
    <row r="59" spans="1:6" x14ac:dyDescent="0.25">
      <c r="A59">
        <v>57</v>
      </c>
      <c r="B59" s="37">
        <v>44750.433333333334</v>
      </c>
      <c r="C59" s="48">
        <v>4836.8639999999996</v>
      </c>
      <c r="D59" t="s">
        <v>83</v>
      </c>
      <c r="E59" s="49">
        <v>2263</v>
      </c>
      <c r="F59" t="b">
        <v>1</v>
      </c>
    </row>
    <row r="60" spans="1:6" x14ac:dyDescent="0.25">
      <c r="A60">
        <v>58</v>
      </c>
      <c r="B60" s="37">
        <v>44750.4375</v>
      </c>
      <c r="C60" s="48">
        <v>5262.6279999999997</v>
      </c>
      <c r="D60" t="s">
        <v>84</v>
      </c>
      <c r="E60" s="49">
        <v>2263</v>
      </c>
      <c r="F60" t="b">
        <v>1</v>
      </c>
    </row>
    <row r="61" spans="1:6" x14ac:dyDescent="0.25">
      <c r="A61">
        <v>59</v>
      </c>
      <c r="B61" s="37">
        <v>44750.440972222219</v>
      </c>
      <c r="C61" s="48">
        <v>5343.4279999999999</v>
      </c>
      <c r="D61" t="s">
        <v>85</v>
      </c>
      <c r="E61" s="49">
        <v>2263</v>
      </c>
      <c r="F61" t="b">
        <v>1</v>
      </c>
    </row>
    <row r="62" spans="1:6" x14ac:dyDescent="0.25">
      <c r="A62">
        <v>60</v>
      </c>
      <c r="B62" s="37">
        <v>44750.444444444445</v>
      </c>
      <c r="C62" s="48">
        <v>4765.7160000000003</v>
      </c>
      <c r="D62" t="s">
        <v>82</v>
      </c>
      <c r="E62" s="49">
        <v>2263</v>
      </c>
      <c r="F62" t="b">
        <v>1</v>
      </c>
    </row>
    <row r="63" spans="1:6" x14ac:dyDescent="0.25">
      <c r="A63">
        <v>61</v>
      </c>
      <c r="B63" s="37">
        <v>44750.447916666664</v>
      </c>
      <c r="C63" s="48">
        <v>4795.0680000000002</v>
      </c>
      <c r="D63" t="s">
        <v>83</v>
      </c>
      <c r="E63" s="49">
        <v>2263</v>
      </c>
      <c r="F63" t="b">
        <v>1</v>
      </c>
    </row>
    <row r="64" spans="1:6" x14ac:dyDescent="0.25">
      <c r="A64">
        <v>62</v>
      </c>
      <c r="B64" s="37">
        <v>44750.45208333333</v>
      </c>
      <c r="C64" s="48">
        <v>5266.9949999999999</v>
      </c>
      <c r="D64" t="s">
        <v>84</v>
      </c>
      <c r="E64" s="49">
        <v>2263</v>
      </c>
      <c r="F64" t="b">
        <v>1</v>
      </c>
    </row>
    <row r="65" spans="1:6" x14ac:dyDescent="0.25">
      <c r="A65">
        <v>63</v>
      </c>
      <c r="B65" s="37">
        <v>44750.455555555556</v>
      </c>
      <c r="C65" s="48">
        <v>5334.7619999999997</v>
      </c>
      <c r="D65" t="s">
        <v>85</v>
      </c>
      <c r="E65" s="49">
        <v>2263</v>
      </c>
      <c r="F65" t="b">
        <v>1</v>
      </c>
    </row>
    <row r="66" spans="1:6" x14ac:dyDescent="0.25">
      <c r="A66">
        <v>64</v>
      </c>
      <c r="B66" s="37">
        <v>44750.488888888889</v>
      </c>
      <c r="C66" s="48">
        <v>4122.5069999999996</v>
      </c>
      <c r="D66" t="s">
        <v>82</v>
      </c>
      <c r="E66">
        <v>1964</v>
      </c>
      <c r="F66" t="b">
        <v>1</v>
      </c>
    </row>
    <row r="67" spans="1:6" x14ac:dyDescent="0.25">
      <c r="A67">
        <v>65</v>
      </c>
      <c r="B67" s="37">
        <v>44750.492361111108</v>
      </c>
      <c r="C67" s="48">
        <v>4111.4399999999996</v>
      </c>
      <c r="D67" t="s">
        <v>83</v>
      </c>
      <c r="E67">
        <v>1964</v>
      </c>
      <c r="F67" t="b">
        <v>1</v>
      </c>
    </row>
    <row r="68" spans="1:6" x14ac:dyDescent="0.25">
      <c r="A68">
        <v>66</v>
      </c>
      <c r="B68" s="37">
        <v>44750.495833333334</v>
      </c>
      <c r="C68" s="48">
        <v>4653.1220000000003</v>
      </c>
      <c r="D68" t="s">
        <v>84</v>
      </c>
      <c r="E68">
        <v>1964</v>
      </c>
      <c r="F68" t="b">
        <v>1</v>
      </c>
    </row>
    <row r="69" spans="1:6" x14ac:dyDescent="0.25">
      <c r="A69">
        <v>67</v>
      </c>
      <c r="B69" s="37">
        <v>44750.5</v>
      </c>
      <c r="C69" s="48">
        <v>4694.1760000000004</v>
      </c>
      <c r="D69" t="s">
        <v>85</v>
      </c>
      <c r="E69">
        <v>1964</v>
      </c>
      <c r="F69" t="b">
        <v>1</v>
      </c>
    </row>
    <row r="70" spans="1:6" x14ac:dyDescent="0.25">
      <c r="A70">
        <v>68</v>
      </c>
      <c r="B70" s="37">
        <v>44750.503472222219</v>
      </c>
      <c r="C70" s="48">
        <v>4120.0910000000003</v>
      </c>
      <c r="D70" t="s">
        <v>82</v>
      </c>
      <c r="E70">
        <v>1964</v>
      </c>
      <c r="F70" t="b">
        <v>1</v>
      </c>
    </row>
    <row r="71" spans="1:6" x14ac:dyDescent="0.25">
      <c r="A71">
        <v>69</v>
      </c>
      <c r="B71" s="37">
        <v>44750.506944444445</v>
      </c>
      <c r="C71" s="48">
        <v>4150.3410000000003</v>
      </c>
      <c r="D71" t="s">
        <v>83</v>
      </c>
      <c r="E71">
        <v>1964</v>
      </c>
      <c r="F71" t="b">
        <v>1</v>
      </c>
    </row>
    <row r="72" spans="1:6" x14ac:dyDescent="0.25">
      <c r="A72">
        <v>70</v>
      </c>
      <c r="B72" s="37">
        <v>44750.511111111111</v>
      </c>
      <c r="C72" s="48">
        <v>4660.8180000000002</v>
      </c>
      <c r="D72" t="s">
        <v>84</v>
      </c>
      <c r="E72">
        <v>1964</v>
      </c>
      <c r="F72" t="b">
        <v>1</v>
      </c>
    </row>
    <row r="73" spans="1:6" x14ac:dyDescent="0.25">
      <c r="A73">
        <v>71</v>
      </c>
      <c r="B73" s="37">
        <v>44750.51458333333</v>
      </c>
      <c r="C73" s="48">
        <v>4687.277</v>
      </c>
      <c r="D73" t="s">
        <v>85</v>
      </c>
      <c r="E73">
        <v>1964</v>
      </c>
      <c r="F73" t="b">
        <v>1</v>
      </c>
    </row>
    <row r="74" spans="1:6" x14ac:dyDescent="0.25">
      <c r="A74">
        <v>72</v>
      </c>
      <c r="B74" s="37">
        <v>44750.518055555556</v>
      </c>
      <c r="C74" s="48">
        <v>4132.3670000000002</v>
      </c>
      <c r="D74" t="s">
        <v>82</v>
      </c>
      <c r="E74">
        <v>1964</v>
      </c>
      <c r="F74" t="b">
        <v>1</v>
      </c>
    </row>
    <row r="75" spans="1:6" x14ac:dyDescent="0.25">
      <c r="A75">
        <v>73</v>
      </c>
      <c r="B75" s="37">
        <v>44750.521527777775</v>
      </c>
      <c r="C75" s="48">
        <v>4077.4639999999999</v>
      </c>
      <c r="D75" t="s">
        <v>83</v>
      </c>
      <c r="E75">
        <v>1964</v>
      </c>
      <c r="F75" t="b">
        <v>1</v>
      </c>
    </row>
    <row r="76" spans="1:6" x14ac:dyDescent="0.25">
      <c r="A76">
        <v>74</v>
      </c>
      <c r="B76" s="37">
        <v>44750.525694444441</v>
      </c>
      <c r="C76" s="48">
        <v>4598.1899999999996</v>
      </c>
      <c r="D76" t="s">
        <v>84</v>
      </c>
      <c r="E76">
        <v>1964</v>
      </c>
      <c r="F76" t="b">
        <v>1</v>
      </c>
    </row>
    <row r="77" spans="1:6" x14ac:dyDescent="0.25">
      <c r="A77">
        <v>75</v>
      </c>
      <c r="B77" s="37">
        <v>44750.529166666667</v>
      </c>
      <c r="C77" s="48">
        <v>4648.8919999999998</v>
      </c>
      <c r="D77" t="s">
        <v>85</v>
      </c>
      <c r="E77">
        <v>1964</v>
      </c>
      <c r="F77" t="b">
        <v>1</v>
      </c>
    </row>
    <row r="78" spans="1:6" x14ac:dyDescent="0.25">
      <c r="A78">
        <v>76</v>
      </c>
      <c r="B78" s="37">
        <v>44750.532638888886</v>
      </c>
      <c r="C78" s="48">
        <v>4092.6390000000001</v>
      </c>
      <c r="D78" t="s">
        <v>82</v>
      </c>
      <c r="E78">
        <v>1964</v>
      </c>
      <c r="F78" t="b">
        <v>1</v>
      </c>
    </row>
    <row r="79" spans="1:6" x14ac:dyDescent="0.25">
      <c r="A79">
        <v>77</v>
      </c>
      <c r="B79" s="37">
        <v>44750.536805555559</v>
      </c>
      <c r="C79" s="48">
        <v>4109.3069999999998</v>
      </c>
      <c r="D79" t="s">
        <v>83</v>
      </c>
      <c r="E79">
        <v>1964</v>
      </c>
      <c r="F79" t="b">
        <v>1</v>
      </c>
    </row>
    <row r="80" spans="1:6" x14ac:dyDescent="0.25">
      <c r="A80">
        <v>78</v>
      </c>
      <c r="B80" s="37">
        <v>44750.540277777778</v>
      </c>
      <c r="C80" s="48">
        <v>4627.268</v>
      </c>
      <c r="D80" t="s">
        <v>84</v>
      </c>
      <c r="E80">
        <v>1964</v>
      </c>
      <c r="F80" t="b">
        <v>1</v>
      </c>
    </row>
    <row r="81" spans="1:6" x14ac:dyDescent="0.25">
      <c r="A81">
        <v>79</v>
      </c>
      <c r="B81" s="37">
        <v>44750.543749999997</v>
      </c>
      <c r="C81" s="48">
        <v>4694.6729999999998</v>
      </c>
      <c r="D81" t="s">
        <v>85</v>
      </c>
      <c r="E81">
        <v>1964</v>
      </c>
      <c r="F81" t="b">
        <v>1</v>
      </c>
    </row>
    <row r="82" spans="1:6" x14ac:dyDescent="0.25">
      <c r="A82">
        <v>80</v>
      </c>
      <c r="B82" s="37">
        <v>44750.547222222223</v>
      </c>
      <c r="C82" s="48">
        <v>4135.2700000000004</v>
      </c>
      <c r="D82" t="s">
        <v>82</v>
      </c>
      <c r="E82">
        <v>1964</v>
      </c>
      <c r="F82" t="b">
        <v>1</v>
      </c>
    </row>
    <row r="83" spans="1:6" x14ac:dyDescent="0.25">
      <c r="A83">
        <v>81</v>
      </c>
      <c r="B83" s="37">
        <v>44750.551388888889</v>
      </c>
      <c r="C83" s="48">
        <v>4087.5219999999999</v>
      </c>
      <c r="D83" t="s">
        <v>83</v>
      </c>
      <c r="E83">
        <v>1964</v>
      </c>
      <c r="F83" t="b">
        <v>1</v>
      </c>
    </row>
    <row r="84" spans="1:6" x14ac:dyDescent="0.25">
      <c r="A84">
        <v>82</v>
      </c>
      <c r="B84" s="37">
        <v>44750.554861111108</v>
      </c>
      <c r="C84" s="48">
        <v>4624.0169999999998</v>
      </c>
      <c r="D84" t="s">
        <v>84</v>
      </c>
      <c r="E84">
        <v>1964</v>
      </c>
      <c r="F84" t="b">
        <v>1</v>
      </c>
    </row>
    <row r="85" spans="1:6" x14ac:dyDescent="0.25">
      <c r="A85">
        <v>83</v>
      </c>
      <c r="B85" s="37">
        <v>44750.558333333334</v>
      </c>
      <c r="C85" s="48">
        <v>4739.7370000000001</v>
      </c>
      <c r="D85" t="s">
        <v>85</v>
      </c>
      <c r="E85">
        <v>1964</v>
      </c>
      <c r="F85" t="b">
        <v>1</v>
      </c>
    </row>
    <row r="86" spans="1:6" x14ac:dyDescent="0.25">
      <c r="A86">
        <v>84</v>
      </c>
      <c r="B86" s="37">
        <v>44750.5625</v>
      </c>
      <c r="C86" s="48">
        <v>4163.665</v>
      </c>
      <c r="D86" t="s">
        <v>82</v>
      </c>
      <c r="E86">
        <v>1964</v>
      </c>
      <c r="F86" t="b">
        <v>1</v>
      </c>
    </row>
    <row r="87" spans="1:6" x14ac:dyDescent="0.25">
      <c r="A87">
        <v>85</v>
      </c>
      <c r="B87" s="37">
        <v>44750.565972222219</v>
      </c>
      <c r="C87" s="48">
        <v>4119.7809999999999</v>
      </c>
      <c r="D87" t="s">
        <v>83</v>
      </c>
      <c r="E87">
        <v>1964</v>
      </c>
      <c r="F87" t="b">
        <v>1</v>
      </c>
    </row>
    <row r="88" spans="1:6" x14ac:dyDescent="0.25">
      <c r="A88">
        <v>86</v>
      </c>
      <c r="B88" s="37">
        <v>44750.569444444445</v>
      </c>
      <c r="C88" s="48">
        <v>4669.3069999999998</v>
      </c>
      <c r="D88" t="s">
        <v>84</v>
      </c>
      <c r="E88">
        <v>1964</v>
      </c>
      <c r="F88" t="b">
        <v>1</v>
      </c>
    </row>
    <row r="89" spans="1:6" x14ac:dyDescent="0.25">
      <c r="A89">
        <v>87</v>
      </c>
      <c r="B89" s="37">
        <v>44750.573611111111</v>
      </c>
      <c r="C89" s="48">
        <v>4639.8559999999998</v>
      </c>
      <c r="D89" t="s">
        <v>85</v>
      </c>
      <c r="E89">
        <v>1964</v>
      </c>
      <c r="F89" t="b">
        <v>1</v>
      </c>
    </row>
    <row r="90" spans="1:6" x14ac:dyDescent="0.25">
      <c r="A90">
        <v>88</v>
      </c>
      <c r="B90" s="37">
        <v>44753.45416666667</v>
      </c>
      <c r="C90">
        <v>3278.3150000000001</v>
      </c>
      <c r="D90" t="s">
        <v>82</v>
      </c>
      <c r="E90">
        <v>1675</v>
      </c>
      <c r="F90" t="b">
        <v>1</v>
      </c>
    </row>
    <row r="91" spans="1:6" x14ac:dyDescent="0.25">
      <c r="A91">
        <v>89</v>
      </c>
      <c r="B91" s="37">
        <v>44753.457638888889</v>
      </c>
      <c r="C91">
        <v>3243.0079999999998</v>
      </c>
      <c r="D91" t="s">
        <v>83</v>
      </c>
      <c r="E91">
        <v>1675</v>
      </c>
      <c r="F91" t="b">
        <v>1</v>
      </c>
    </row>
    <row r="92" spans="1:6" x14ac:dyDescent="0.25">
      <c r="A92">
        <v>90</v>
      </c>
      <c r="B92" s="37">
        <v>44753.461805555555</v>
      </c>
      <c r="C92">
        <v>3959.2649999999999</v>
      </c>
      <c r="D92" t="s">
        <v>84</v>
      </c>
      <c r="E92">
        <v>1675</v>
      </c>
      <c r="F92" t="b">
        <v>1</v>
      </c>
    </row>
    <row r="93" spans="1:6" x14ac:dyDescent="0.25">
      <c r="A93">
        <v>91</v>
      </c>
      <c r="B93" s="37">
        <v>44753.465277777781</v>
      </c>
      <c r="C93">
        <v>4001.2330000000002</v>
      </c>
      <c r="D93" t="s">
        <v>85</v>
      </c>
      <c r="E93">
        <v>1675</v>
      </c>
      <c r="F93" t="b">
        <v>1</v>
      </c>
    </row>
    <row r="94" spans="1:6" x14ac:dyDescent="0.25">
      <c r="A94">
        <v>92</v>
      </c>
      <c r="B94" s="37">
        <v>44753.46875</v>
      </c>
      <c r="C94">
        <v>3280.2</v>
      </c>
      <c r="D94" t="s">
        <v>82</v>
      </c>
      <c r="E94">
        <v>1675</v>
      </c>
      <c r="F94" t="b">
        <v>1</v>
      </c>
    </row>
    <row r="95" spans="1:6" x14ac:dyDescent="0.25">
      <c r="A95">
        <v>93</v>
      </c>
      <c r="B95" s="37">
        <v>44753.472222222219</v>
      </c>
      <c r="C95">
        <v>3296.37</v>
      </c>
      <c r="D95" t="s">
        <v>83</v>
      </c>
      <c r="E95">
        <v>1675</v>
      </c>
      <c r="F95" t="b">
        <v>1</v>
      </c>
    </row>
    <row r="96" spans="1:6" x14ac:dyDescent="0.25">
      <c r="A96">
        <v>94</v>
      </c>
      <c r="B96" s="37">
        <v>44753.476388888892</v>
      </c>
      <c r="C96">
        <v>3867.4670000000001</v>
      </c>
      <c r="D96" t="s">
        <v>84</v>
      </c>
      <c r="E96">
        <v>1675</v>
      </c>
      <c r="F96" t="b">
        <v>1</v>
      </c>
    </row>
    <row r="97" spans="1:6" x14ac:dyDescent="0.25">
      <c r="A97">
        <v>95</v>
      </c>
      <c r="B97" s="37">
        <v>44753.479861111111</v>
      </c>
      <c r="C97">
        <v>3880.0320000000002</v>
      </c>
      <c r="D97" t="s">
        <v>85</v>
      </c>
      <c r="E97">
        <v>1675</v>
      </c>
      <c r="F97" t="b">
        <v>1</v>
      </c>
    </row>
    <row r="98" spans="1:6" x14ac:dyDescent="0.25">
      <c r="A98">
        <v>96</v>
      </c>
      <c r="B98" s="37">
        <v>44753.48333333333</v>
      </c>
      <c r="C98">
        <v>3209.86</v>
      </c>
      <c r="D98" t="s">
        <v>82</v>
      </c>
      <c r="E98">
        <v>1675</v>
      </c>
      <c r="F98" t="b">
        <v>1</v>
      </c>
    </row>
    <row r="99" spans="1:6" x14ac:dyDescent="0.25">
      <c r="A99">
        <v>97</v>
      </c>
      <c r="B99" s="37">
        <v>44753.487500000003</v>
      </c>
      <c r="C99">
        <v>3219.3609999999999</v>
      </c>
      <c r="D99" t="s">
        <v>83</v>
      </c>
      <c r="E99">
        <v>1675</v>
      </c>
      <c r="F99" t="b">
        <v>1</v>
      </c>
    </row>
    <row r="100" spans="1:6" x14ac:dyDescent="0.25">
      <c r="A100">
        <v>98</v>
      </c>
      <c r="B100" s="37">
        <v>44753.490972222222</v>
      </c>
      <c r="C100">
        <v>3851.9009999999998</v>
      </c>
      <c r="D100" t="s">
        <v>84</v>
      </c>
      <c r="E100">
        <v>1675</v>
      </c>
      <c r="F100" t="b">
        <v>1</v>
      </c>
    </row>
    <row r="101" spans="1:6" x14ac:dyDescent="0.25">
      <c r="A101">
        <v>99</v>
      </c>
      <c r="B101" s="37">
        <v>44753.494444444441</v>
      </c>
      <c r="C101">
        <v>3906.1970000000001</v>
      </c>
      <c r="D101" t="s">
        <v>85</v>
      </c>
      <c r="E101">
        <v>1675</v>
      </c>
      <c r="F101" t="b">
        <v>1</v>
      </c>
    </row>
    <row r="102" spans="1:6" x14ac:dyDescent="0.25">
      <c r="A102">
        <v>100</v>
      </c>
      <c r="B102" s="37">
        <v>44753.498611111114</v>
      </c>
      <c r="C102">
        <v>3219.0790000000002</v>
      </c>
      <c r="D102" t="s">
        <v>82</v>
      </c>
      <c r="E102">
        <v>1675</v>
      </c>
      <c r="F102" t="b">
        <v>1</v>
      </c>
    </row>
    <row r="103" spans="1:6" x14ac:dyDescent="0.25">
      <c r="A103">
        <v>101</v>
      </c>
      <c r="B103" s="37">
        <v>44753.502083333333</v>
      </c>
      <c r="C103">
        <v>3210.567</v>
      </c>
      <c r="D103" t="s">
        <v>83</v>
      </c>
      <c r="E103">
        <v>1675</v>
      </c>
      <c r="F103" t="b">
        <v>1</v>
      </c>
    </row>
    <row r="104" spans="1:6" x14ac:dyDescent="0.25">
      <c r="A104">
        <v>102</v>
      </c>
      <c r="B104" s="37">
        <v>44753.505555555559</v>
      </c>
      <c r="C104">
        <v>3869.2730000000001</v>
      </c>
      <c r="D104" t="s">
        <v>84</v>
      </c>
      <c r="E104">
        <v>1675</v>
      </c>
      <c r="F104" t="b">
        <v>1</v>
      </c>
    </row>
    <row r="105" spans="1:6" x14ac:dyDescent="0.25">
      <c r="A105">
        <v>103</v>
      </c>
      <c r="B105" s="37">
        <v>44753.509027777778</v>
      </c>
      <c r="C105">
        <v>3916.681</v>
      </c>
      <c r="D105" t="s">
        <v>85</v>
      </c>
      <c r="E105">
        <v>1675</v>
      </c>
      <c r="F105" t="b">
        <v>1</v>
      </c>
    </row>
    <row r="106" spans="1:6" x14ac:dyDescent="0.25">
      <c r="A106">
        <v>104</v>
      </c>
      <c r="B106" s="37">
        <v>44753.527777777781</v>
      </c>
      <c r="C106" s="48">
        <v>2449.0230000000001</v>
      </c>
      <c r="D106" t="s">
        <v>82</v>
      </c>
      <c r="E106">
        <v>1367</v>
      </c>
      <c r="F106" t="b">
        <v>1</v>
      </c>
    </row>
    <row r="107" spans="1:6" x14ac:dyDescent="0.25">
      <c r="A107">
        <v>105</v>
      </c>
      <c r="B107" s="37">
        <v>44753.53125</v>
      </c>
      <c r="C107" s="48">
        <v>2455.2190000000001</v>
      </c>
      <c r="D107" t="s">
        <v>83</v>
      </c>
      <c r="E107">
        <v>1367</v>
      </c>
      <c r="F107" t="b">
        <v>1</v>
      </c>
    </row>
    <row r="108" spans="1:6" x14ac:dyDescent="0.25">
      <c r="A108">
        <v>106</v>
      </c>
      <c r="B108" s="37">
        <v>44753.535416666666</v>
      </c>
      <c r="C108" s="48">
        <v>3191.7930000000001</v>
      </c>
      <c r="D108" t="s">
        <v>84</v>
      </c>
      <c r="E108">
        <v>1367</v>
      </c>
      <c r="F108" t="b">
        <v>1</v>
      </c>
    </row>
    <row r="109" spans="1:6" x14ac:dyDescent="0.25">
      <c r="A109">
        <v>107</v>
      </c>
      <c r="B109" s="37">
        <v>44753.538888888892</v>
      </c>
      <c r="C109" s="48">
        <v>3184.9479999999999</v>
      </c>
      <c r="D109" t="s">
        <v>85</v>
      </c>
      <c r="E109">
        <v>1367</v>
      </c>
      <c r="F109" t="b">
        <v>1</v>
      </c>
    </row>
    <row r="110" spans="1:6" x14ac:dyDescent="0.25">
      <c r="A110">
        <v>108</v>
      </c>
      <c r="B110" s="37">
        <v>44753.542361111111</v>
      </c>
      <c r="C110" s="48">
        <v>2419.0569999999998</v>
      </c>
      <c r="D110" t="s">
        <v>82</v>
      </c>
      <c r="E110">
        <v>1367</v>
      </c>
      <c r="F110" t="b">
        <v>1</v>
      </c>
    </row>
    <row r="111" spans="1:6" x14ac:dyDescent="0.25">
      <c r="A111">
        <v>109</v>
      </c>
      <c r="B111" s="37">
        <v>44753.54583333333</v>
      </c>
      <c r="C111" s="48">
        <v>2452.8249999999998</v>
      </c>
      <c r="D111" t="s">
        <v>83</v>
      </c>
      <c r="E111">
        <v>1367</v>
      </c>
      <c r="F111" t="b">
        <v>1</v>
      </c>
    </row>
    <row r="112" spans="1:6" x14ac:dyDescent="0.25">
      <c r="A112">
        <v>110</v>
      </c>
      <c r="B112" s="37">
        <v>44753.55</v>
      </c>
      <c r="C112" s="48">
        <v>3152.375</v>
      </c>
      <c r="D112" t="s">
        <v>84</v>
      </c>
      <c r="E112">
        <v>1367</v>
      </c>
      <c r="F112" t="b">
        <v>1</v>
      </c>
    </row>
    <row r="113" spans="1:6" x14ac:dyDescent="0.25">
      <c r="A113">
        <v>111</v>
      </c>
      <c r="B113" s="37">
        <v>44753.553472222222</v>
      </c>
      <c r="C113" s="48">
        <v>3163.2910000000002</v>
      </c>
      <c r="D113" t="s">
        <v>85</v>
      </c>
      <c r="E113">
        <v>1367</v>
      </c>
      <c r="F113" t="b">
        <v>1</v>
      </c>
    </row>
    <row r="114" spans="1:6" x14ac:dyDescent="0.25">
      <c r="A114">
        <v>112</v>
      </c>
      <c r="B114" s="37">
        <v>44753.556944444441</v>
      </c>
      <c r="C114" s="48">
        <v>2411.0129999999999</v>
      </c>
      <c r="D114" t="s">
        <v>82</v>
      </c>
      <c r="E114">
        <v>1367</v>
      </c>
      <c r="F114" t="b">
        <v>1</v>
      </c>
    </row>
    <row r="115" spans="1:6" x14ac:dyDescent="0.25">
      <c r="A115">
        <v>113</v>
      </c>
      <c r="B115" s="37">
        <v>44753.561111111114</v>
      </c>
      <c r="C115" s="48">
        <v>2454.915</v>
      </c>
      <c r="D115" t="s">
        <v>83</v>
      </c>
      <c r="E115">
        <v>1367</v>
      </c>
      <c r="F115" t="b">
        <v>1</v>
      </c>
    </row>
    <row r="116" spans="1:6" x14ac:dyDescent="0.25">
      <c r="A116">
        <v>114</v>
      </c>
      <c r="B116" s="37">
        <v>44753.564583333333</v>
      </c>
      <c r="C116" s="48">
        <v>3172.703</v>
      </c>
      <c r="D116" t="s">
        <v>84</v>
      </c>
      <c r="E116">
        <v>1367</v>
      </c>
      <c r="F116" t="b">
        <v>1</v>
      </c>
    </row>
    <row r="117" spans="1:6" x14ac:dyDescent="0.25">
      <c r="A117">
        <v>115</v>
      </c>
      <c r="B117" s="37">
        <v>44753.568055555559</v>
      </c>
      <c r="C117" s="48">
        <v>3170.7109999999998</v>
      </c>
      <c r="D117" t="s">
        <v>85</v>
      </c>
      <c r="E117">
        <v>1367</v>
      </c>
      <c r="F117" t="b">
        <v>1</v>
      </c>
    </row>
    <row r="118" spans="1:6" x14ac:dyDescent="0.25">
      <c r="A118">
        <v>116</v>
      </c>
      <c r="B118" s="37">
        <v>44753.571527777778</v>
      </c>
      <c r="C118" s="48">
        <v>2378.2159999999999</v>
      </c>
      <c r="D118" t="s">
        <v>82</v>
      </c>
      <c r="E118">
        <v>1367</v>
      </c>
      <c r="F118" t="b">
        <v>1</v>
      </c>
    </row>
    <row r="119" spans="1:6" x14ac:dyDescent="0.25">
      <c r="A119">
        <v>117</v>
      </c>
      <c r="B119" s="37">
        <v>44753.575694444444</v>
      </c>
      <c r="C119" s="48">
        <v>2413.5529999999999</v>
      </c>
      <c r="D119" t="s">
        <v>83</v>
      </c>
      <c r="E119">
        <v>1367</v>
      </c>
      <c r="F119" t="b">
        <v>1</v>
      </c>
    </row>
    <row r="120" spans="1:6" x14ac:dyDescent="0.25">
      <c r="A120">
        <v>118</v>
      </c>
      <c r="B120" s="37">
        <v>44753.57916666667</v>
      </c>
      <c r="C120" s="48">
        <v>3166.3229999999999</v>
      </c>
      <c r="D120" t="s">
        <v>84</v>
      </c>
      <c r="E120">
        <v>1367</v>
      </c>
      <c r="F120" t="b">
        <v>1</v>
      </c>
    </row>
    <row r="121" spans="1:6" x14ac:dyDescent="0.25">
      <c r="A121">
        <v>119</v>
      </c>
      <c r="B121" s="37">
        <v>44753.582638888889</v>
      </c>
      <c r="C121" s="48">
        <v>3108.6289999999999</v>
      </c>
      <c r="D121" t="s">
        <v>85</v>
      </c>
      <c r="E121">
        <v>1367</v>
      </c>
      <c r="F121" t="b">
        <v>1</v>
      </c>
    </row>
    <row r="122" spans="1:6" x14ac:dyDescent="0.25">
      <c r="A122">
        <v>120</v>
      </c>
      <c r="B122" s="37">
        <v>44753.586805555555</v>
      </c>
      <c r="C122" s="48">
        <v>2401.556</v>
      </c>
      <c r="D122" t="s">
        <v>82</v>
      </c>
      <c r="E122">
        <v>1367</v>
      </c>
      <c r="F122" t="b">
        <v>1</v>
      </c>
    </row>
    <row r="123" spans="1:6" x14ac:dyDescent="0.25">
      <c r="A123">
        <v>121</v>
      </c>
      <c r="B123" s="37">
        <v>44753.590277777781</v>
      </c>
      <c r="C123" s="48">
        <v>2397.692</v>
      </c>
      <c r="D123" t="s">
        <v>83</v>
      </c>
      <c r="E123">
        <v>1367</v>
      </c>
      <c r="F123" t="b">
        <v>1</v>
      </c>
    </row>
    <row r="124" spans="1:6" x14ac:dyDescent="0.25">
      <c r="A124">
        <v>122</v>
      </c>
      <c r="B124" s="37">
        <v>44753.59375</v>
      </c>
      <c r="C124" s="48">
        <v>3080.1869999999999</v>
      </c>
      <c r="D124" t="s">
        <v>84</v>
      </c>
      <c r="E124">
        <v>1367</v>
      </c>
      <c r="F124" t="b">
        <v>1</v>
      </c>
    </row>
    <row r="125" spans="1:6" x14ac:dyDescent="0.25">
      <c r="A125">
        <v>123</v>
      </c>
      <c r="B125" s="37">
        <v>44753.597916666666</v>
      </c>
      <c r="C125" s="48">
        <v>3148.4090000000001</v>
      </c>
      <c r="D125" t="s">
        <v>85</v>
      </c>
      <c r="E125">
        <v>1367</v>
      </c>
      <c r="F125" t="b">
        <v>1</v>
      </c>
    </row>
    <row r="126" spans="1:6" x14ac:dyDescent="0.25">
      <c r="A126">
        <v>124</v>
      </c>
      <c r="B126" s="37">
        <v>44753.601388888892</v>
      </c>
      <c r="C126" s="48">
        <v>2417.9450000000002</v>
      </c>
      <c r="D126" t="s">
        <v>82</v>
      </c>
      <c r="E126">
        <v>1367</v>
      </c>
      <c r="F126" t="b">
        <v>1</v>
      </c>
    </row>
    <row r="127" spans="1:6" x14ac:dyDescent="0.25">
      <c r="A127">
        <v>125</v>
      </c>
      <c r="B127" s="37">
        <v>44753.604861111111</v>
      </c>
      <c r="C127" s="48">
        <v>2413.2660000000001</v>
      </c>
      <c r="D127" t="s">
        <v>83</v>
      </c>
      <c r="E127">
        <v>1367</v>
      </c>
      <c r="F127" t="b">
        <v>1</v>
      </c>
    </row>
    <row r="128" spans="1:6" x14ac:dyDescent="0.25">
      <c r="A128">
        <v>126</v>
      </c>
      <c r="B128" s="37">
        <v>44753.60833333333</v>
      </c>
      <c r="C128" s="48">
        <v>3103.3209999999999</v>
      </c>
      <c r="D128" t="s">
        <v>84</v>
      </c>
      <c r="E128">
        <v>1367</v>
      </c>
      <c r="F128" t="b">
        <v>1</v>
      </c>
    </row>
    <row r="129" spans="1:6" x14ac:dyDescent="0.25">
      <c r="A129">
        <v>127</v>
      </c>
      <c r="B129" s="37">
        <v>44753.612500000003</v>
      </c>
      <c r="C129" s="48">
        <v>3141.2860000000001</v>
      </c>
      <c r="D129" t="s">
        <v>85</v>
      </c>
      <c r="E129">
        <v>1367</v>
      </c>
      <c r="F129" t="b">
        <v>1</v>
      </c>
    </row>
    <row r="130" spans="1:6" x14ac:dyDescent="0.25">
      <c r="A130">
        <v>128</v>
      </c>
      <c r="B130" s="37">
        <v>44753.645138888889</v>
      </c>
      <c r="C130" s="48">
        <v>5418.07</v>
      </c>
      <c r="D130" t="s">
        <v>82</v>
      </c>
      <c r="E130">
        <v>1071</v>
      </c>
      <c r="F130" t="b">
        <v>1</v>
      </c>
    </row>
    <row r="131" spans="1:6" x14ac:dyDescent="0.25">
      <c r="A131">
        <v>129</v>
      </c>
      <c r="B131" s="37">
        <v>44753.649305555555</v>
      </c>
      <c r="C131" s="48">
        <v>5408.6549999999997</v>
      </c>
      <c r="D131" t="s">
        <v>83</v>
      </c>
      <c r="E131">
        <v>1071</v>
      </c>
      <c r="F131" t="b">
        <v>1</v>
      </c>
    </row>
    <row r="132" spans="1:6" x14ac:dyDescent="0.25">
      <c r="A132">
        <v>130</v>
      </c>
      <c r="B132" s="37">
        <v>44753.652777777781</v>
      </c>
      <c r="C132" s="48">
        <v>2490.663</v>
      </c>
      <c r="D132" t="s">
        <v>84</v>
      </c>
      <c r="E132">
        <v>1071</v>
      </c>
      <c r="F132" t="b">
        <v>1</v>
      </c>
    </row>
    <row r="133" spans="1:6" x14ac:dyDescent="0.25">
      <c r="A133">
        <v>131</v>
      </c>
      <c r="B133" s="37">
        <v>44753.65625</v>
      </c>
      <c r="C133" s="48">
        <v>2483.261</v>
      </c>
      <c r="D133" t="s">
        <v>85</v>
      </c>
      <c r="E133">
        <v>1071</v>
      </c>
      <c r="F133" t="b">
        <v>1</v>
      </c>
    </row>
    <row r="134" spans="1:6" x14ac:dyDescent="0.25">
      <c r="A134">
        <v>132</v>
      </c>
      <c r="B134" s="37">
        <v>44753.660416666666</v>
      </c>
      <c r="C134" s="48">
        <v>5353.0079999999998</v>
      </c>
      <c r="D134" t="s">
        <v>82</v>
      </c>
      <c r="E134">
        <v>1071</v>
      </c>
      <c r="F134" t="b">
        <v>1</v>
      </c>
    </row>
    <row r="135" spans="1:6" x14ac:dyDescent="0.25">
      <c r="A135">
        <v>133</v>
      </c>
      <c r="B135" s="37">
        <v>44753.663888888892</v>
      </c>
      <c r="C135" s="48">
        <v>5452.835</v>
      </c>
      <c r="D135" t="s">
        <v>83</v>
      </c>
      <c r="E135">
        <v>1071</v>
      </c>
      <c r="F135" t="b">
        <v>1</v>
      </c>
    </row>
    <row r="136" spans="1:6" x14ac:dyDescent="0.25">
      <c r="A136">
        <v>134</v>
      </c>
      <c r="B136" s="37">
        <v>44753.667361111111</v>
      </c>
      <c r="C136" s="48">
        <v>2470.221</v>
      </c>
      <c r="D136" t="s">
        <v>84</v>
      </c>
      <c r="E136">
        <v>1071</v>
      </c>
      <c r="F136" t="b">
        <v>1</v>
      </c>
    </row>
    <row r="137" spans="1:6" x14ac:dyDescent="0.25">
      <c r="A137">
        <v>135</v>
      </c>
      <c r="B137" s="37">
        <v>44753.67083333333</v>
      </c>
      <c r="C137" s="48">
        <v>2524.5149999999999</v>
      </c>
      <c r="D137" t="s">
        <v>85</v>
      </c>
      <c r="E137">
        <v>1071</v>
      </c>
      <c r="F137" t="b">
        <v>1</v>
      </c>
    </row>
    <row r="138" spans="1:6" x14ac:dyDescent="0.25">
      <c r="A138">
        <v>136</v>
      </c>
      <c r="B138" s="37">
        <v>44753.675000000003</v>
      </c>
      <c r="C138" s="48">
        <v>5420.5389999999998</v>
      </c>
      <c r="D138" t="s">
        <v>82</v>
      </c>
      <c r="E138">
        <v>1071</v>
      </c>
      <c r="F138" t="b">
        <v>1</v>
      </c>
    </row>
    <row r="139" spans="1:6" x14ac:dyDescent="0.25">
      <c r="A139">
        <v>137</v>
      </c>
      <c r="B139" s="37">
        <v>44753.678472222222</v>
      </c>
      <c r="C139" s="48">
        <v>5386.8310000000001</v>
      </c>
      <c r="D139" t="s">
        <v>83</v>
      </c>
      <c r="E139">
        <v>1071</v>
      </c>
      <c r="F139" t="b">
        <v>1</v>
      </c>
    </row>
    <row r="140" spans="1:6" x14ac:dyDescent="0.25">
      <c r="A140">
        <v>138</v>
      </c>
      <c r="B140" s="37">
        <v>44753.681944444441</v>
      </c>
      <c r="C140" s="48">
        <v>2432.5250000000001</v>
      </c>
      <c r="D140" t="s">
        <v>84</v>
      </c>
      <c r="E140">
        <v>1071</v>
      </c>
      <c r="F140" t="b">
        <v>1</v>
      </c>
    </row>
    <row r="141" spans="1:6" x14ac:dyDescent="0.25">
      <c r="A141">
        <v>139</v>
      </c>
      <c r="B141" s="37">
        <v>44753.686111111114</v>
      </c>
      <c r="C141" s="48">
        <v>2558.127</v>
      </c>
      <c r="D141" t="s">
        <v>85</v>
      </c>
      <c r="E141">
        <v>1071</v>
      </c>
      <c r="F141" t="b">
        <v>1</v>
      </c>
    </row>
    <row r="142" spans="1:6" x14ac:dyDescent="0.25">
      <c r="A142">
        <v>140</v>
      </c>
      <c r="B142" s="37">
        <v>44753.689583333333</v>
      </c>
      <c r="C142" s="48">
        <v>5425.9610000000002</v>
      </c>
      <c r="D142" t="s">
        <v>82</v>
      </c>
      <c r="E142">
        <v>1071</v>
      </c>
      <c r="F142" t="b">
        <v>1</v>
      </c>
    </row>
    <row r="143" spans="1:6" x14ac:dyDescent="0.25">
      <c r="A143">
        <v>141</v>
      </c>
      <c r="B143" s="37">
        <v>44753.693055555559</v>
      </c>
      <c r="C143" s="48">
        <v>5409.2749999999996</v>
      </c>
      <c r="D143" t="s">
        <v>83</v>
      </c>
      <c r="E143">
        <v>1071</v>
      </c>
      <c r="F143" t="b">
        <v>1</v>
      </c>
    </row>
    <row r="144" spans="1:6" x14ac:dyDescent="0.25">
      <c r="A144">
        <v>142</v>
      </c>
      <c r="B144" s="37">
        <v>44753.697222222225</v>
      </c>
      <c r="C144" s="48">
        <v>2449.2979999999998</v>
      </c>
      <c r="D144" t="s">
        <v>84</v>
      </c>
      <c r="E144">
        <v>1071</v>
      </c>
      <c r="F144" t="b">
        <v>1</v>
      </c>
    </row>
    <row r="145" spans="1:6" x14ac:dyDescent="0.25">
      <c r="A145">
        <v>143</v>
      </c>
      <c r="B145" s="37">
        <v>44753.700694444444</v>
      </c>
      <c r="C145" s="48">
        <v>2495.9679999999998</v>
      </c>
      <c r="D145" t="s">
        <v>85</v>
      </c>
      <c r="E145">
        <v>1071</v>
      </c>
      <c r="F145" t="b">
        <v>1</v>
      </c>
    </row>
    <row r="146" spans="1:6" x14ac:dyDescent="0.25">
      <c r="A146">
        <v>144</v>
      </c>
      <c r="B146" s="37">
        <v>44753.70416666667</v>
      </c>
      <c r="C146" s="48">
        <v>5402.5659999999998</v>
      </c>
      <c r="D146" t="s">
        <v>82</v>
      </c>
      <c r="E146">
        <v>1071</v>
      </c>
      <c r="F146" t="b">
        <v>1</v>
      </c>
    </row>
    <row r="147" spans="1:6" x14ac:dyDescent="0.25">
      <c r="A147">
        <v>145</v>
      </c>
      <c r="B147" s="37">
        <v>44753.707638888889</v>
      </c>
      <c r="C147" s="48">
        <v>5058.826</v>
      </c>
      <c r="D147" t="s">
        <v>83</v>
      </c>
      <c r="E147">
        <v>1071</v>
      </c>
      <c r="F147" t="b">
        <v>1</v>
      </c>
    </row>
    <row r="148" spans="1:6" x14ac:dyDescent="0.25">
      <c r="A148">
        <v>146</v>
      </c>
      <c r="B148" s="37">
        <v>44753.711805555555</v>
      </c>
      <c r="C148" s="48">
        <v>2511.5810000000001</v>
      </c>
      <c r="D148" t="s">
        <v>84</v>
      </c>
      <c r="E148">
        <v>1071</v>
      </c>
      <c r="F148" t="b">
        <v>1</v>
      </c>
    </row>
    <row r="149" spans="1:6" x14ac:dyDescent="0.25">
      <c r="A149">
        <v>147</v>
      </c>
      <c r="B149" s="37">
        <v>44753.715277777781</v>
      </c>
      <c r="C149" s="48">
        <v>2476.25</v>
      </c>
      <c r="D149" t="s">
        <v>85</v>
      </c>
      <c r="E149">
        <v>1071</v>
      </c>
      <c r="F149" t="b">
        <v>1</v>
      </c>
    </row>
    <row r="150" spans="1:6" x14ac:dyDescent="0.25">
      <c r="A150">
        <v>148</v>
      </c>
      <c r="B150" s="37">
        <v>44753.71875</v>
      </c>
      <c r="C150" s="48">
        <v>5418.5770000000002</v>
      </c>
      <c r="D150" t="s">
        <v>82</v>
      </c>
      <c r="E150">
        <v>1071</v>
      </c>
      <c r="F150" t="b">
        <v>1</v>
      </c>
    </row>
    <row r="151" spans="1:6" x14ac:dyDescent="0.25">
      <c r="A151">
        <v>149</v>
      </c>
      <c r="B151" s="37">
        <v>44753.722916666666</v>
      </c>
      <c r="C151" s="48">
        <v>5508.9759999999997</v>
      </c>
      <c r="D151" t="s">
        <v>83</v>
      </c>
      <c r="E151">
        <v>1071</v>
      </c>
      <c r="F151" t="b">
        <v>1</v>
      </c>
    </row>
    <row r="152" spans="1:6" x14ac:dyDescent="0.25">
      <c r="A152">
        <v>150</v>
      </c>
      <c r="B152" s="37">
        <v>44753.726388888892</v>
      </c>
      <c r="C152" s="48">
        <v>2447.4679999999998</v>
      </c>
      <c r="D152" t="s">
        <v>84</v>
      </c>
      <c r="E152">
        <v>1071</v>
      </c>
      <c r="F152" t="b">
        <v>1</v>
      </c>
    </row>
    <row r="153" spans="1:6" x14ac:dyDescent="0.25">
      <c r="A153">
        <v>151</v>
      </c>
      <c r="B153" s="37">
        <v>44753.729861111111</v>
      </c>
      <c r="C153" s="48">
        <v>2503.87</v>
      </c>
      <c r="D153" t="s">
        <v>85</v>
      </c>
      <c r="E153">
        <v>1071</v>
      </c>
      <c r="F153" t="b">
        <v>1</v>
      </c>
    </row>
    <row r="154" spans="1:6" x14ac:dyDescent="0.25">
      <c r="A154">
        <v>152</v>
      </c>
      <c r="B154" s="37">
        <v>44753.773611111108</v>
      </c>
      <c r="C154">
        <v>53.109000000000002</v>
      </c>
      <c r="D154" t="s">
        <v>72</v>
      </c>
      <c r="E154">
        <v>0</v>
      </c>
      <c r="F154" t="b">
        <v>1</v>
      </c>
    </row>
    <row r="155" spans="1:6" x14ac:dyDescent="0.25">
      <c r="A155">
        <v>153</v>
      </c>
      <c r="B155" s="37">
        <v>44753.777083333334</v>
      </c>
      <c r="C155">
        <v>35.405000000000001</v>
      </c>
      <c r="D155" t="s">
        <v>71</v>
      </c>
      <c r="E155">
        <v>0</v>
      </c>
      <c r="F155" t="b">
        <v>1</v>
      </c>
    </row>
    <row r="156" spans="1:6" x14ac:dyDescent="0.25">
      <c r="A156">
        <v>154</v>
      </c>
      <c r="B156" s="37">
        <v>44753.780555555553</v>
      </c>
      <c r="C156">
        <v>37.918999999999997</v>
      </c>
      <c r="D156" t="s">
        <v>72</v>
      </c>
      <c r="E156">
        <v>0</v>
      </c>
      <c r="F156" t="b">
        <v>1</v>
      </c>
    </row>
    <row r="157" spans="1:6" x14ac:dyDescent="0.25">
      <c r="A157">
        <v>155</v>
      </c>
      <c r="B157" s="37">
        <v>44753.784722222219</v>
      </c>
      <c r="C157">
        <v>27.039000000000001</v>
      </c>
      <c r="D157" t="s">
        <v>71</v>
      </c>
      <c r="E157">
        <v>0</v>
      </c>
      <c r="F157" t="b">
        <v>1</v>
      </c>
    </row>
    <row r="158" spans="1:6" x14ac:dyDescent="0.25">
      <c r="A158">
        <v>156</v>
      </c>
      <c r="B158" s="37">
        <v>44753.788194444445</v>
      </c>
      <c r="C158">
        <v>26.797000000000001</v>
      </c>
      <c r="D158" t="s">
        <v>72</v>
      </c>
      <c r="E158">
        <v>0</v>
      </c>
      <c r="F158" t="b">
        <v>1</v>
      </c>
    </row>
    <row r="159" spans="1:6" x14ac:dyDescent="0.25">
      <c r="A159">
        <v>157</v>
      </c>
      <c r="B159" s="37">
        <v>44753.791666666664</v>
      </c>
      <c r="C159">
        <v>17.843</v>
      </c>
      <c r="D159" t="s">
        <v>71</v>
      </c>
      <c r="E159">
        <v>0</v>
      </c>
      <c r="F159" t="b">
        <v>1</v>
      </c>
    </row>
    <row r="160" spans="1:6" x14ac:dyDescent="0.25">
      <c r="A160">
        <v>158</v>
      </c>
      <c r="B160" s="37">
        <v>44753.795138888891</v>
      </c>
      <c r="C160">
        <v>20.219000000000001</v>
      </c>
      <c r="D160" t="s">
        <v>72</v>
      </c>
      <c r="E160">
        <v>0</v>
      </c>
      <c r="F160" t="b">
        <v>1</v>
      </c>
    </row>
    <row r="161" spans="1:6" x14ac:dyDescent="0.25">
      <c r="A161">
        <v>159</v>
      </c>
      <c r="B161" s="37">
        <v>44753.799305555556</v>
      </c>
      <c r="C161">
        <v>14.23</v>
      </c>
      <c r="D161" t="s">
        <v>71</v>
      </c>
      <c r="E161">
        <v>0</v>
      </c>
      <c r="F161" t="b">
        <v>1</v>
      </c>
    </row>
    <row r="162" spans="1:6" x14ac:dyDescent="0.25">
      <c r="A162">
        <v>160</v>
      </c>
      <c r="B162" s="37">
        <v>44753.802777777775</v>
      </c>
      <c r="C162">
        <v>12.151999999999999</v>
      </c>
      <c r="D162" t="s">
        <v>72</v>
      </c>
      <c r="E162">
        <v>0</v>
      </c>
      <c r="F162" t="b">
        <v>1</v>
      </c>
    </row>
    <row r="163" spans="1:6" x14ac:dyDescent="0.25">
      <c r="A163">
        <v>161</v>
      </c>
      <c r="B163" s="37">
        <v>44753.806250000001</v>
      </c>
      <c r="C163">
        <v>14.661</v>
      </c>
      <c r="D163" t="s">
        <v>71</v>
      </c>
      <c r="E163">
        <v>0</v>
      </c>
      <c r="F163" t="b">
        <v>1</v>
      </c>
    </row>
    <row r="164" spans="1:6" x14ac:dyDescent="0.25">
      <c r="A164">
        <v>162</v>
      </c>
      <c r="B164" s="37">
        <v>44753.810416666667</v>
      </c>
      <c r="C164">
        <v>8.8569999999999993</v>
      </c>
      <c r="D164" t="s">
        <v>72</v>
      </c>
      <c r="E164">
        <v>0</v>
      </c>
      <c r="F164" t="b">
        <v>1</v>
      </c>
    </row>
    <row r="165" spans="1:6" x14ac:dyDescent="0.25">
      <c r="A165">
        <v>163</v>
      </c>
      <c r="B165" s="37">
        <v>44753.813888888886</v>
      </c>
      <c r="C165">
        <v>9.1639999999999997</v>
      </c>
      <c r="D165" t="s">
        <v>71</v>
      </c>
      <c r="E165">
        <v>0</v>
      </c>
      <c r="F165" t="b">
        <v>1</v>
      </c>
    </row>
    <row r="166" spans="1:6" x14ac:dyDescent="0.25">
      <c r="A166">
        <v>164</v>
      </c>
      <c r="B166" s="37">
        <v>44753.817361111112</v>
      </c>
      <c r="C166">
        <v>10.4</v>
      </c>
      <c r="D166" t="s">
        <v>72</v>
      </c>
      <c r="E166">
        <v>0</v>
      </c>
      <c r="F166" t="b">
        <v>1</v>
      </c>
    </row>
    <row r="167" spans="1:6" x14ac:dyDescent="0.25">
      <c r="A167">
        <v>165</v>
      </c>
      <c r="B167" s="37">
        <v>44753.820833333331</v>
      </c>
      <c r="C167">
        <v>6.6529999999999996</v>
      </c>
      <c r="D167" t="s">
        <v>71</v>
      </c>
      <c r="E167">
        <v>0</v>
      </c>
      <c r="F167" t="b">
        <v>1</v>
      </c>
    </row>
    <row r="168" spans="1:6" x14ac:dyDescent="0.25">
      <c r="A168">
        <v>166</v>
      </c>
      <c r="B168" s="37">
        <v>44753.824999999997</v>
      </c>
      <c r="C168">
        <v>5.9039999999999999</v>
      </c>
      <c r="D168" t="s">
        <v>72</v>
      </c>
      <c r="E168">
        <v>0</v>
      </c>
      <c r="F168" t="b">
        <v>1</v>
      </c>
    </row>
    <row r="169" spans="1:6" x14ac:dyDescent="0.25">
      <c r="A169">
        <v>167</v>
      </c>
      <c r="B169" s="37">
        <v>44753.828472222223</v>
      </c>
      <c r="C169">
        <v>27.959</v>
      </c>
      <c r="D169" t="s">
        <v>71</v>
      </c>
      <c r="E169">
        <v>0</v>
      </c>
      <c r="F169" t="b">
        <v>1</v>
      </c>
    </row>
    <row r="170" spans="1:6" x14ac:dyDescent="0.25">
      <c r="A170">
        <v>168</v>
      </c>
      <c r="B170" s="37">
        <v>44753.831944444442</v>
      </c>
      <c r="C170">
        <v>6.0650000000000004</v>
      </c>
      <c r="D170" t="s">
        <v>72</v>
      </c>
      <c r="E170">
        <v>0</v>
      </c>
      <c r="F170" t="b">
        <v>1</v>
      </c>
    </row>
    <row r="171" spans="1:6" x14ac:dyDescent="0.25">
      <c r="A171">
        <v>169</v>
      </c>
      <c r="B171" s="37">
        <v>44753.836111111108</v>
      </c>
      <c r="C171">
        <v>5.9169999999999998</v>
      </c>
      <c r="D171" t="s">
        <v>71</v>
      </c>
      <c r="E171">
        <v>0</v>
      </c>
      <c r="F171" t="b">
        <v>1</v>
      </c>
    </row>
    <row r="172" spans="1:6" x14ac:dyDescent="0.25">
      <c r="A172">
        <v>170</v>
      </c>
      <c r="B172" s="37">
        <v>44753.839583333334</v>
      </c>
      <c r="C172">
        <v>3.488</v>
      </c>
      <c r="D172" t="s">
        <v>72</v>
      </c>
      <c r="E172">
        <v>0</v>
      </c>
      <c r="F172" t="b">
        <v>1</v>
      </c>
    </row>
    <row r="173" spans="1:6" x14ac:dyDescent="0.25">
      <c r="A173">
        <v>171</v>
      </c>
      <c r="B173" s="37">
        <v>44753.843055555553</v>
      </c>
      <c r="C173">
        <v>7.1669999999999998</v>
      </c>
      <c r="D173" t="s">
        <v>71</v>
      </c>
      <c r="E173">
        <v>0</v>
      </c>
      <c r="F173" t="b">
        <v>1</v>
      </c>
    </row>
    <row r="174" spans="1:6" x14ac:dyDescent="0.25">
      <c r="A174">
        <v>172</v>
      </c>
      <c r="B174" s="37">
        <v>44753.847222222219</v>
      </c>
      <c r="C174">
        <v>4.2539999999999996</v>
      </c>
      <c r="D174" t="s">
        <v>72</v>
      </c>
      <c r="E174">
        <v>0</v>
      </c>
      <c r="F174" t="b">
        <v>1</v>
      </c>
    </row>
    <row r="175" spans="1:6" x14ac:dyDescent="0.25">
      <c r="A175">
        <v>173</v>
      </c>
      <c r="B175" s="37">
        <v>44753.850694444445</v>
      </c>
      <c r="C175">
        <v>6.3710000000000004</v>
      </c>
      <c r="D175" t="s">
        <v>71</v>
      </c>
      <c r="E175">
        <v>0</v>
      </c>
      <c r="F175" t="b">
        <v>1</v>
      </c>
    </row>
    <row r="176" spans="1:6" x14ac:dyDescent="0.25">
      <c r="A176">
        <v>174</v>
      </c>
      <c r="B176" s="37">
        <v>44753.854166666664</v>
      </c>
      <c r="C176">
        <v>8.2530000000000001</v>
      </c>
      <c r="D176" t="s">
        <v>72</v>
      </c>
      <c r="E176">
        <v>0</v>
      </c>
      <c r="F176" t="b">
        <v>1</v>
      </c>
    </row>
    <row r="177" spans="1:6" x14ac:dyDescent="0.25">
      <c r="A177">
        <v>175</v>
      </c>
      <c r="B177" s="37">
        <v>44753.857638888891</v>
      </c>
      <c r="C177">
        <v>5.577</v>
      </c>
      <c r="D177" t="s">
        <v>71</v>
      </c>
      <c r="E177">
        <v>0</v>
      </c>
      <c r="F177" t="b">
        <v>1</v>
      </c>
    </row>
    <row r="178" spans="1:6" x14ac:dyDescent="0.25">
      <c r="A178">
        <v>176</v>
      </c>
      <c r="B178" s="37">
        <v>44753.861805555556</v>
      </c>
      <c r="C178">
        <v>5.6849999999999996</v>
      </c>
      <c r="D178" t="s">
        <v>72</v>
      </c>
      <c r="E178">
        <v>0</v>
      </c>
      <c r="F178" t="b">
        <v>1</v>
      </c>
    </row>
    <row r="179" spans="1:6" x14ac:dyDescent="0.25">
      <c r="A179">
        <v>177</v>
      </c>
      <c r="B179" s="37">
        <v>44753.865277777775</v>
      </c>
      <c r="C179">
        <v>4.7549999999999999</v>
      </c>
      <c r="D179" t="s">
        <v>71</v>
      </c>
      <c r="E179">
        <v>0</v>
      </c>
      <c r="F179" t="b">
        <v>1</v>
      </c>
    </row>
    <row r="180" spans="1:6" x14ac:dyDescent="0.25">
      <c r="A180">
        <v>178</v>
      </c>
      <c r="B180" s="37">
        <v>44753.868750000001</v>
      </c>
      <c r="C180">
        <v>5.069</v>
      </c>
      <c r="D180" t="s">
        <v>72</v>
      </c>
      <c r="E180">
        <v>0</v>
      </c>
      <c r="F180" t="b">
        <v>1</v>
      </c>
    </row>
    <row r="181" spans="1:6" x14ac:dyDescent="0.25">
      <c r="A181">
        <v>179</v>
      </c>
      <c r="B181" s="37">
        <v>44753.872916666667</v>
      </c>
      <c r="C181">
        <v>6.1520000000000001</v>
      </c>
      <c r="D181" t="s">
        <v>71</v>
      </c>
      <c r="E181">
        <v>0</v>
      </c>
      <c r="F181" t="b">
        <v>1</v>
      </c>
    </row>
    <row r="182" spans="1:6" x14ac:dyDescent="0.25">
      <c r="A182">
        <v>180</v>
      </c>
      <c r="B182" s="37">
        <v>44753.876388888886</v>
      </c>
      <c r="C182">
        <v>5.9050000000000002</v>
      </c>
      <c r="D182" t="s">
        <v>72</v>
      </c>
      <c r="E182">
        <v>0</v>
      </c>
      <c r="F182" t="b">
        <v>1</v>
      </c>
    </row>
    <row r="183" spans="1:6" x14ac:dyDescent="0.25">
      <c r="A183">
        <v>181</v>
      </c>
      <c r="B183" s="37">
        <v>44753.879861111112</v>
      </c>
      <c r="C183">
        <v>5.6929999999999996</v>
      </c>
      <c r="D183" t="s">
        <v>71</v>
      </c>
      <c r="E183">
        <v>0</v>
      </c>
      <c r="F183" t="b">
        <v>1</v>
      </c>
    </row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General</vt:lpstr>
      <vt:lpstr>Candidate G1</vt:lpstr>
      <vt:lpstr>Flow G1</vt:lpstr>
      <vt:lpstr>PMGS G2</vt:lpstr>
      <vt:lpstr>Flow G2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chemistry</dc:creator>
  <cp:lastModifiedBy>Iris de Krom</cp:lastModifiedBy>
  <dcterms:created xsi:type="dcterms:W3CDTF">2017-08-10T06:22:12Z</dcterms:created>
  <dcterms:modified xsi:type="dcterms:W3CDTF">2023-11-14T11:43:50Z</dcterms:modified>
</cp:coreProperties>
</file>